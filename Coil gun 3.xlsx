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rikf\Downloads\"/>
    </mc:Choice>
  </mc:AlternateContent>
  <xr:revisionPtr revIDLastSave="0" documentId="13_ncr:1_{10C79859-1933-4ADD-BEE2-901E9FC21918}" xr6:coauthVersionLast="47" xr6:coauthVersionMax="47" xr10:uidLastSave="{00000000-0000-0000-0000-000000000000}"/>
  <bookViews>
    <workbookView xWindow="7740" yWindow="0" windowWidth="22510" windowHeight="16910" xr2:uid="{00000000-000D-0000-FFFF-FFFF00000000}"/>
  </bookViews>
  <sheets>
    <sheet name="Coil Chart" sheetId="1" r:id="rId1"/>
    <sheet name="Coil Comparison" sheetId="2" r:id="rId2"/>
    <sheet name="Sim 2.0 100mm" sheetId="3" r:id="rId3"/>
    <sheet name="Sim 2.0 50mm" sheetId="4" r:id="rId4"/>
    <sheet name="Force mapping" sheetId="5" r:id="rId5"/>
    <sheet name="Field Mapping" sheetId="6" r:id="rId6"/>
    <sheet name="Sheet7" sheetId="7" r:id="rId7"/>
  </sheets>
  <definedNames>
    <definedName name="_xlnm._FilterDatabase" localSheetId="6" hidden="1">Sheet7!$D$3:$G$164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64" i="7" l="1"/>
  <c r="M162" i="7"/>
  <c r="M160" i="7"/>
  <c r="M158" i="7"/>
  <c r="M156" i="7"/>
  <c r="M154" i="7"/>
  <c r="M152" i="7"/>
  <c r="M150" i="7"/>
  <c r="M148" i="7"/>
  <c r="M146" i="7"/>
  <c r="M144" i="7"/>
  <c r="M142" i="7"/>
  <c r="M140" i="7"/>
  <c r="M138" i="7"/>
  <c r="M136" i="7"/>
  <c r="M134" i="7"/>
  <c r="M132" i="7"/>
  <c r="M130" i="7"/>
  <c r="M128" i="7"/>
  <c r="M126" i="7"/>
  <c r="M124" i="7"/>
  <c r="M122" i="7"/>
  <c r="M120" i="7"/>
  <c r="M118" i="7"/>
  <c r="M116" i="7"/>
  <c r="M114" i="7"/>
  <c r="M112" i="7"/>
  <c r="M110" i="7"/>
  <c r="M108" i="7"/>
  <c r="M106" i="7"/>
  <c r="M104" i="7"/>
  <c r="M102" i="7"/>
  <c r="M100" i="7"/>
  <c r="M98" i="7"/>
  <c r="M96" i="7"/>
  <c r="M94" i="7"/>
  <c r="M92" i="7"/>
  <c r="M90" i="7"/>
  <c r="M88" i="7"/>
  <c r="M86" i="7"/>
  <c r="M84" i="7"/>
  <c r="M82" i="7"/>
  <c r="M80" i="7"/>
  <c r="M78" i="7"/>
  <c r="M76" i="7"/>
  <c r="M74" i="7"/>
  <c r="M72" i="7"/>
  <c r="M70" i="7"/>
  <c r="M68" i="7"/>
  <c r="M66" i="7"/>
  <c r="M64" i="7"/>
  <c r="M62" i="7"/>
  <c r="M60" i="7"/>
  <c r="M58" i="7"/>
  <c r="M56" i="7"/>
  <c r="M54" i="7"/>
  <c r="M52" i="7"/>
  <c r="M50" i="7"/>
  <c r="M48" i="7"/>
  <c r="M46" i="7"/>
  <c r="M44" i="7"/>
  <c r="M42" i="7"/>
  <c r="M40" i="7"/>
  <c r="M38" i="7"/>
  <c r="M36" i="7"/>
  <c r="E36" i="7"/>
  <c r="E38" i="7" s="1"/>
  <c r="E40" i="7" s="1"/>
  <c r="E42" i="7" s="1"/>
  <c r="E44" i="7" s="1"/>
  <c r="E46" i="7" s="1"/>
  <c r="E48" i="7" s="1"/>
  <c r="E50" i="7" s="1"/>
  <c r="E52" i="7" s="1"/>
  <c r="E54" i="7" s="1"/>
  <c r="E56" i="7" s="1"/>
  <c r="E58" i="7" s="1"/>
  <c r="E60" i="7" s="1"/>
  <c r="E62" i="7" s="1"/>
  <c r="E64" i="7" s="1"/>
  <c r="E66" i="7" s="1"/>
  <c r="E68" i="7" s="1"/>
  <c r="E70" i="7" s="1"/>
  <c r="E72" i="7" s="1"/>
  <c r="E74" i="7" s="1"/>
  <c r="E76" i="7" s="1"/>
  <c r="E78" i="7" s="1"/>
  <c r="E80" i="7" s="1"/>
  <c r="E82" i="7" s="1"/>
  <c r="E84" i="7" s="1"/>
  <c r="E86" i="7" s="1"/>
  <c r="E88" i="7" s="1"/>
  <c r="E90" i="7" s="1"/>
  <c r="E92" i="7" s="1"/>
  <c r="E94" i="7" s="1"/>
  <c r="E96" i="7" s="1"/>
  <c r="E98" i="7" s="1"/>
  <c r="E100" i="7" s="1"/>
  <c r="E102" i="7" s="1"/>
  <c r="E104" i="7" s="1"/>
  <c r="E106" i="7" s="1"/>
  <c r="E108" i="7" s="1"/>
  <c r="E110" i="7" s="1"/>
  <c r="E112" i="7" s="1"/>
  <c r="E114" i="7" s="1"/>
  <c r="E116" i="7" s="1"/>
  <c r="E118" i="7" s="1"/>
  <c r="E120" i="7" s="1"/>
  <c r="E122" i="7" s="1"/>
  <c r="E124" i="7" s="1"/>
  <c r="E126" i="7" s="1"/>
  <c r="E128" i="7" s="1"/>
  <c r="E130" i="7" s="1"/>
  <c r="E132" i="7" s="1"/>
  <c r="E134" i="7" s="1"/>
  <c r="E136" i="7" s="1"/>
  <c r="E138" i="7" s="1"/>
  <c r="E140" i="7" s="1"/>
  <c r="E142" i="7" s="1"/>
  <c r="E144" i="7" s="1"/>
  <c r="E146" i="7" s="1"/>
  <c r="E148" i="7" s="1"/>
  <c r="E150" i="7" s="1"/>
  <c r="E152" i="7" s="1"/>
  <c r="E154" i="7" s="1"/>
  <c r="E156" i="7" s="1"/>
  <c r="E158" i="7" s="1"/>
  <c r="E160" i="7" s="1"/>
  <c r="E162" i="7" s="1"/>
  <c r="E164" i="7" s="1"/>
  <c r="M34" i="7"/>
  <c r="M32" i="7"/>
  <c r="M30" i="7"/>
  <c r="M28" i="7"/>
  <c r="M26" i="7"/>
  <c r="M24" i="7"/>
  <c r="M22" i="7"/>
  <c r="M20" i="7"/>
  <c r="E20" i="7"/>
  <c r="E22" i="7" s="1"/>
  <c r="E24" i="7" s="1"/>
  <c r="E26" i="7" s="1"/>
  <c r="E28" i="7" s="1"/>
  <c r="E30" i="7" s="1"/>
  <c r="E32" i="7" s="1"/>
  <c r="E34" i="7" s="1"/>
  <c r="M18" i="7"/>
  <c r="M16" i="7"/>
  <c r="M14" i="7"/>
  <c r="M12" i="7"/>
  <c r="M10" i="7"/>
  <c r="M8" i="7"/>
  <c r="E8" i="7"/>
  <c r="E10" i="7" s="1"/>
  <c r="E12" i="7" s="1"/>
  <c r="E14" i="7" s="1"/>
  <c r="E16" i="7" s="1"/>
  <c r="E18" i="7" s="1"/>
  <c r="M6" i="7"/>
  <c r="M4" i="7"/>
  <c r="G327" i="6"/>
  <c r="E327" i="6"/>
  <c r="E326" i="6"/>
  <c r="G326" i="6" s="1"/>
  <c r="E325" i="6"/>
  <c r="G325" i="6" s="1"/>
  <c r="G324" i="6"/>
  <c r="E324" i="6"/>
  <c r="E323" i="6"/>
  <c r="G323" i="6" s="1"/>
  <c r="G322" i="6"/>
  <c r="E322" i="6"/>
  <c r="G321" i="6"/>
  <c r="E321" i="6"/>
  <c r="E320" i="6"/>
  <c r="G320" i="6" s="1"/>
  <c r="E319" i="6"/>
  <c r="G319" i="6" s="1"/>
  <c r="G318" i="6"/>
  <c r="E318" i="6"/>
  <c r="E317" i="6"/>
  <c r="G317" i="6" s="1"/>
  <c r="G316" i="6"/>
  <c r="E316" i="6"/>
  <c r="G315" i="6"/>
  <c r="E315" i="6"/>
  <c r="E314" i="6"/>
  <c r="G314" i="6" s="1"/>
  <c r="E313" i="6"/>
  <c r="G313" i="6" s="1"/>
  <c r="G312" i="6"/>
  <c r="E312" i="6"/>
  <c r="E311" i="6"/>
  <c r="G311" i="6" s="1"/>
  <c r="G310" i="6"/>
  <c r="E310" i="6"/>
  <c r="G309" i="6"/>
  <c r="E309" i="6"/>
  <c r="E308" i="6"/>
  <c r="G308" i="6" s="1"/>
  <c r="E307" i="6"/>
  <c r="G307" i="6" s="1"/>
  <c r="G306" i="6"/>
  <c r="E306" i="6"/>
  <c r="G305" i="6"/>
  <c r="E305" i="6"/>
  <c r="G304" i="6"/>
  <c r="E304" i="6"/>
  <c r="G303" i="6"/>
  <c r="E303" i="6"/>
  <c r="E302" i="6"/>
  <c r="G302" i="6" s="1"/>
  <c r="E301" i="6"/>
  <c r="G301" i="6" s="1"/>
  <c r="G300" i="6"/>
  <c r="E300" i="6"/>
  <c r="G299" i="6"/>
  <c r="E299" i="6"/>
  <c r="G298" i="6"/>
  <c r="E298" i="6"/>
  <c r="G297" i="6"/>
  <c r="E297" i="6"/>
  <c r="E296" i="6"/>
  <c r="G296" i="6" s="1"/>
  <c r="E295" i="6"/>
  <c r="G295" i="6" s="1"/>
  <c r="G294" i="6"/>
  <c r="E294" i="6"/>
  <c r="E293" i="6"/>
  <c r="G293" i="6" s="1"/>
  <c r="G292" i="6"/>
  <c r="E292" i="6"/>
  <c r="G291" i="6"/>
  <c r="E291" i="6"/>
  <c r="E290" i="6"/>
  <c r="G290" i="6" s="1"/>
  <c r="E289" i="6"/>
  <c r="G289" i="6" s="1"/>
  <c r="G288" i="6"/>
  <c r="E288" i="6"/>
  <c r="E287" i="6"/>
  <c r="G287" i="6" s="1"/>
  <c r="G286" i="6"/>
  <c r="E286" i="6"/>
  <c r="G285" i="6"/>
  <c r="E285" i="6"/>
  <c r="E284" i="6"/>
  <c r="G284" i="6" s="1"/>
  <c r="E283" i="6"/>
  <c r="G283" i="6" s="1"/>
  <c r="G282" i="6"/>
  <c r="E282" i="6"/>
  <c r="E281" i="6"/>
  <c r="G281" i="6" s="1"/>
  <c r="G280" i="6"/>
  <c r="E280" i="6"/>
  <c r="G279" i="6"/>
  <c r="E279" i="6"/>
  <c r="E278" i="6"/>
  <c r="G278" i="6" s="1"/>
  <c r="E277" i="6"/>
  <c r="G277" i="6" s="1"/>
  <c r="G276" i="6"/>
  <c r="E276" i="6"/>
  <c r="E275" i="6"/>
  <c r="G275" i="6" s="1"/>
  <c r="G274" i="6"/>
  <c r="E274" i="6"/>
  <c r="G273" i="6"/>
  <c r="E273" i="6"/>
  <c r="E272" i="6"/>
  <c r="G272" i="6" s="1"/>
  <c r="E271" i="6"/>
  <c r="G271" i="6" s="1"/>
  <c r="G270" i="6"/>
  <c r="E270" i="6"/>
  <c r="G269" i="6"/>
  <c r="E269" i="6"/>
  <c r="G268" i="6"/>
  <c r="E268" i="6"/>
  <c r="G267" i="6"/>
  <c r="E267" i="6"/>
  <c r="E266" i="6"/>
  <c r="G266" i="6" s="1"/>
  <c r="E265" i="6"/>
  <c r="G265" i="6" s="1"/>
  <c r="G264" i="6"/>
  <c r="E264" i="6"/>
  <c r="G263" i="6"/>
  <c r="E263" i="6"/>
  <c r="G262" i="6"/>
  <c r="E262" i="6"/>
  <c r="G261" i="6"/>
  <c r="E261" i="6"/>
  <c r="E260" i="6"/>
  <c r="G260" i="6" s="1"/>
  <c r="E259" i="6"/>
  <c r="G259" i="6" s="1"/>
  <c r="G258" i="6"/>
  <c r="E258" i="6"/>
  <c r="E257" i="6"/>
  <c r="G257" i="6" s="1"/>
  <c r="G256" i="6"/>
  <c r="E256" i="6"/>
  <c r="G255" i="6"/>
  <c r="E255" i="6"/>
  <c r="E254" i="6"/>
  <c r="G254" i="6" s="1"/>
  <c r="E253" i="6"/>
  <c r="G253" i="6" s="1"/>
  <c r="G252" i="6"/>
  <c r="E252" i="6"/>
  <c r="E251" i="6"/>
  <c r="G251" i="6" s="1"/>
  <c r="G250" i="6"/>
  <c r="E250" i="6"/>
  <c r="G249" i="6"/>
  <c r="E249" i="6"/>
  <c r="G248" i="6"/>
  <c r="E248" i="6"/>
  <c r="E247" i="6"/>
  <c r="G247" i="6" s="1"/>
  <c r="G246" i="6"/>
  <c r="E246" i="6"/>
  <c r="E245" i="6"/>
  <c r="G245" i="6" s="1"/>
  <c r="G244" i="6"/>
  <c r="E244" i="6"/>
  <c r="G243" i="6"/>
  <c r="E243" i="6"/>
  <c r="G242" i="6"/>
  <c r="E242" i="6"/>
  <c r="E241" i="6"/>
  <c r="G241" i="6" s="1"/>
  <c r="G240" i="6"/>
  <c r="E240" i="6"/>
  <c r="E239" i="6"/>
  <c r="G239" i="6" s="1"/>
  <c r="G238" i="6"/>
  <c r="E238" i="6"/>
  <c r="G237" i="6"/>
  <c r="E237" i="6"/>
  <c r="E236" i="6"/>
  <c r="G236" i="6" s="1"/>
  <c r="E235" i="6"/>
  <c r="G235" i="6" s="1"/>
  <c r="G234" i="6"/>
  <c r="E234" i="6"/>
  <c r="E233" i="6"/>
  <c r="G233" i="6" s="1"/>
  <c r="G232" i="6"/>
  <c r="E232" i="6"/>
  <c r="G231" i="6"/>
  <c r="E231" i="6"/>
  <c r="G230" i="6"/>
  <c r="E230" i="6"/>
  <c r="E229" i="6"/>
  <c r="G229" i="6" s="1"/>
  <c r="G228" i="6"/>
  <c r="E228" i="6"/>
  <c r="E227" i="6"/>
  <c r="G227" i="6" s="1"/>
  <c r="G226" i="6"/>
  <c r="E226" i="6"/>
  <c r="G225" i="6"/>
  <c r="E225" i="6"/>
  <c r="E224" i="6"/>
  <c r="G224" i="6" s="1"/>
  <c r="E223" i="6"/>
  <c r="G223" i="6" s="1"/>
  <c r="G222" i="6"/>
  <c r="E222" i="6"/>
  <c r="E221" i="6"/>
  <c r="G221" i="6" s="1"/>
  <c r="G220" i="6"/>
  <c r="E220" i="6"/>
  <c r="G219" i="6"/>
  <c r="E219" i="6"/>
  <c r="E218" i="6"/>
  <c r="G218" i="6" s="1"/>
  <c r="E217" i="6"/>
  <c r="G217" i="6" s="1"/>
  <c r="G216" i="6"/>
  <c r="E216" i="6"/>
  <c r="G215" i="6"/>
  <c r="E215" i="6"/>
  <c r="G214" i="6"/>
  <c r="E214" i="6"/>
  <c r="G213" i="6"/>
  <c r="E213" i="6"/>
  <c r="E212" i="6"/>
  <c r="G212" i="6" s="1"/>
  <c r="E211" i="6"/>
  <c r="G211" i="6" s="1"/>
  <c r="G210" i="6"/>
  <c r="E210" i="6"/>
  <c r="G209" i="6"/>
  <c r="E209" i="6"/>
  <c r="G208" i="6"/>
  <c r="E208" i="6"/>
  <c r="G207" i="6"/>
  <c r="E207" i="6"/>
  <c r="E206" i="6"/>
  <c r="G206" i="6" s="1"/>
  <c r="E205" i="6"/>
  <c r="G205" i="6" s="1"/>
  <c r="G204" i="6"/>
  <c r="E204" i="6"/>
  <c r="E203" i="6"/>
  <c r="G203" i="6" s="1"/>
  <c r="G202" i="6"/>
  <c r="E202" i="6"/>
  <c r="G201" i="6"/>
  <c r="E201" i="6"/>
  <c r="E200" i="6"/>
  <c r="G200" i="6" s="1"/>
  <c r="E199" i="6"/>
  <c r="G199" i="6" s="1"/>
  <c r="G198" i="6"/>
  <c r="E198" i="6"/>
  <c r="G197" i="6"/>
  <c r="E197" i="6"/>
  <c r="G196" i="6"/>
  <c r="E196" i="6"/>
  <c r="G195" i="6"/>
  <c r="E195" i="6"/>
  <c r="E194" i="6"/>
  <c r="G194" i="6" s="1"/>
  <c r="E193" i="6"/>
  <c r="G193" i="6" s="1"/>
  <c r="G192" i="6"/>
  <c r="E192" i="6"/>
  <c r="E191" i="6"/>
  <c r="G191" i="6" s="1"/>
  <c r="G190" i="6"/>
  <c r="E190" i="6"/>
  <c r="G189" i="6"/>
  <c r="E189" i="6"/>
  <c r="E188" i="6"/>
  <c r="G188" i="6" s="1"/>
  <c r="E187" i="6"/>
  <c r="G187" i="6" s="1"/>
  <c r="G186" i="6"/>
  <c r="E186" i="6"/>
  <c r="E185" i="6"/>
  <c r="G185" i="6" s="1"/>
  <c r="G184" i="6"/>
  <c r="E184" i="6"/>
  <c r="G183" i="6"/>
  <c r="E183" i="6"/>
  <c r="E182" i="6"/>
  <c r="G182" i="6" s="1"/>
  <c r="E181" i="6"/>
  <c r="G181" i="6" s="1"/>
  <c r="G180" i="6"/>
  <c r="E180" i="6"/>
  <c r="E179" i="6"/>
  <c r="G179" i="6" s="1"/>
  <c r="G178" i="6"/>
  <c r="E178" i="6"/>
  <c r="G177" i="6"/>
  <c r="E177" i="6"/>
  <c r="G176" i="6"/>
  <c r="E176" i="6"/>
  <c r="E175" i="6"/>
  <c r="G175" i="6" s="1"/>
  <c r="G174" i="6"/>
  <c r="E174" i="6"/>
  <c r="E173" i="6"/>
  <c r="G173" i="6" s="1"/>
  <c r="G172" i="6"/>
  <c r="E172" i="6"/>
  <c r="G171" i="6"/>
  <c r="E171" i="6"/>
  <c r="G170" i="6"/>
  <c r="E170" i="6"/>
  <c r="E169" i="6"/>
  <c r="G169" i="6" s="1"/>
  <c r="G168" i="6"/>
  <c r="E168" i="6"/>
  <c r="E167" i="6"/>
  <c r="G167" i="6" s="1"/>
  <c r="J163" i="6"/>
  <c r="G163" i="6"/>
  <c r="M162" i="6"/>
  <c r="L162" i="6"/>
  <c r="J162" i="6"/>
  <c r="I162" i="6"/>
  <c r="G162" i="6"/>
  <c r="F162" i="6"/>
  <c r="D162" i="6"/>
  <c r="C162" i="6"/>
  <c r="J161" i="6"/>
  <c r="G161" i="6"/>
  <c r="M160" i="6"/>
  <c r="L160" i="6"/>
  <c r="J160" i="6"/>
  <c r="I160" i="6"/>
  <c r="G160" i="6"/>
  <c r="F160" i="6"/>
  <c r="D160" i="6"/>
  <c r="C160" i="6"/>
  <c r="J159" i="6"/>
  <c r="G159" i="6"/>
  <c r="M158" i="6"/>
  <c r="L158" i="6"/>
  <c r="J158" i="6"/>
  <c r="I158" i="6"/>
  <c r="G158" i="6"/>
  <c r="F158" i="6"/>
  <c r="D158" i="6"/>
  <c r="C158" i="6"/>
  <c r="J157" i="6"/>
  <c r="G157" i="6"/>
  <c r="M156" i="6"/>
  <c r="L156" i="6"/>
  <c r="J156" i="6"/>
  <c r="I156" i="6"/>
  <c r="G156" i="6"/>
  <c r="F156" i="6"/>
  <c r="D156" i="6"/>
  <c r="C156" i="6"/>
  <c r="J155" i="6"/>
  <c r="G155" i="6"/>
  <c r="M154" i="6"/>
  <c r="L154" i="6"/>
  <c r="J154" i="6"/>
  <c r="I154" i="6"/>
  <c r="G154" i="6"/>
  <c r="F154" i="6"/>
  <c r="D154" i="6"/>
  <c r="C154" i="6"/>
  <c r="J153" i="6"/>
  <c r="G153" i="6"/>
  <c r="M152" i="6"/>
  <c r="L152" i="6"/>
  <c r="J152" i="6"/>
  <c r="I152" i="6"/>
  <c r="G152" i="6"/>
  <c r="F152" i="6"/>
  <c r="D152" i="6"/>
  <c r="C152" i="6"/>
  <c r="B152" i="6"/>
  <c r="J151" i="6"/>
  <c r="G151" i="6"/>
  <c r="M150" i="6"/>
  <c r="L150" i="6"/>
  <c r="I150" i="6"/>
  <c r="G150" i="6"/>
  <c r="F150" i="6"/>
  <c r="D150" i="6"/>
  <c r="C150" i="6"/>
  <c r="J149" i="6"/>
  <c r="J150" i="6" s="1"/>
  <c r="G149" i="6"/>
  <c r="M148" i="6"/>
  <c r="L148" i="6"/>
  <c r="I148" i="6"/>
  <c r="G148" i="6"/>
  <c r="F148" i="6"/>
  <c r="D148" i="6"/>
  <c r="C148" i="6"/>
  <c r="J147" i="6"/>
  <c r="G147" i="6"/>
  <c r="M146" i="6"/>
  <c r="L146" i="6"/>
  <c r="I146" i="6"/>
  <c r="G146" i="6"/>
  <c r="F146" i="6"/>
  <c r="D146" i="6"/>
  <c r="C146" i="6"/>
  <c r="J145" i="6"/>
  <c r="J146" i="6" s="1"/>
  <c r="G145" i="6"/>
  <c r="M144" i="6"/>
  <c r="L144" i="6"/>
  <c r="I144" i="6"/>
  <c r="G144" i="6"/>
  <c r="F144" i="6"/>
  <c r="D144" i="6"/>
  <c r="C144" i="6"/>
  <c r="J143" i="6"/>
  <c r="J144" i="6" s="1"/>
  <c r="G143" i="6"/>
  <c r="M142" i="6"/>
  <c r="L142" i="6"/>
  <c r="I142" i="6"/>
  <c r="G142" i="6"/>
  <c r="F142" i="6"/>
  <c r="D142" i="6"/>
  <c r="C142" i="6"/>
  <c r="J141" i="6"/>
  <c r="J142" i="6" s="1"/>
  <c r="G141" i="6"/>
  <c r="M140" i="6"/>
  <c r="L140" i="6"/>
  <c r="J140" i="6"/>
  <c r="I140" i="6"/>
  <c r="G140" i="6"/>
  <c r="F140" i="6"/>
  <c r="D140" i="6"/>
  <c r="C140" i="6"/>
  <c r="J139" i="6"/>
  <c r="G139" i="6"/>
  <c r="M138" i="6"/>
  <c r="L138" i="6"/>
  <c r="J138" i="6"/>
  <c r="I138" i="6"/>
  <c r="G138" i="6"/>
  <c r="F138" i="6"/>
  <c r="D138" i="6"/>
  <c r="C138" i="6"/>
  <c r="J137" i="6"/>
  <c r="G137" i="6"/>
  <c r="M136" i="6"/>
  <c r="L136" i="6"/>
  <c r="J136" i="6"/>
  <c r="I136" i="6"/>
  <c r="G136" i="6"/>
  <c r="F136" i="6"/>
  <c r="D136" i="6"/>
  <c r="C136" i="6"/>
  <c r="J135" i="6"/>
  <c r="G135" i="6"/>
  <c r="M134" i="6"/>
  <c r="L134" i="6"/>
  <c r="J134" i="6"/>
  <c r="I134" i="6"/>
  <c r="G134" i="6"/>
  <c r="F134" i="6"/>
  <c r="D134" i="6"/>
  <c r="C134" i="6"/>
  <c r="J133" i="6"/>
  <c r="G133" i="6"/>
  <c r="M132" i="6"/>
  <c r="L132" i="6"/>
  <c r="J132" i="6"/>
  <c r="I132" i="6"/>
  <c r="G132" i="6"/>
  <c r="F132" i="6"/>
  <c r="D132" i="6"/>
  <c r="C132" i="6"/>
  <c r="J131" i="6"/>
  <c r="G131" i="6"/>
  <c r="M130" i="6"/>
  <c r="L130" i="6"/>
  <c r="J130" i="6"/>
  <c r="I130" i="6"/>
  <c r="G130" i="6"/>
  <c r="F130" i="6"/>
  <c r="D130" i="6"/>
  <c r="C130" i="6"/>
  <c r="J129" i="6"/>
  <c r="G129" i="6"/>
  <c r="M128" i="6"/>
  <c r="L128" i="6"/>
  <c r="J128" i="6"/>
  <c r="I128" i="6"/>
  <c r="G128" i="6"/>
  <c r="F128" i="6"/>
  <c r="D128" i="6"/>
  <c r="C128" i="6"/>
  <c r="B128" i="6"/>
  <c r="J127" i="6"/>
  <c r="G127" i="6"/>
  <c r="M126" i="6"/>
  <c r="L126" i="6"/>
  <c r="I126" i="6"/>
  <c r="G126" i="6"/>
  <c r="F126" i="6"/>
  <c r="D126" i="6"/>
  <c r="C126" i="6"/>
  <c r="J125" i="6"/>
  <c r="J126" i="6" s="1"/>
  <c r="G125" i="6"/>
  <c r="M124" i="6"/>
  <c r="L124" i="6"/>
  <c r="I124" i="6"/>
  <c r="G124" i="6"/>
  <c r="F124" i="6"/>
  <c r="D124" i="6"/>
  <c r="C124" i="6"/>
  <c r="J123" i="6"/>
  <c r="G123" i="6"/>
  <c r="M122" i="6"/>
  <c r="L122" i="6"/>
  <c r="I122" i="6"/>
  <c r="G122" i="6"/>
  <c r="F122" i="6"/>
  <c r="D122" i="6"/>
  <c r="C122" i="6"/>
  <c r="J121" i="6"/>
  <c r="J122" i="6" s="1"/>
  <c r="G121" i="6"/>
  <c r="M120" i="6"/>
  <c r="L120" i="6"/>
  <c r="I120" i="6"/>
  <c r="G120" i="6"/>
  <c r="F120" i="6"/>
  <c r="D120" i="6"/>
  <c r="C120" i="6"/>
  <c r="J119" i="6"/>
  <c r="J120" i="6" s="1"/>
  <c r="G119" i="6"/>
  <c r="M118" i="6"/>
  <c r="L118" i="6"/>
  <c r="I118" i="6"/>
  <c r="G118" i="6"/>
  <c r="F118" i="6"/>
  <c r="D118" i="6"/>
  <c r="C118" i="6"/>
  <c r="J117" i="6"/>
  <c r="J118" i="6" s="1"/>
  <c r="G117" i="6"/>
  <c r="M116" i="6"/>
  <c r="L116" i="6"/>
  <c r="J116" i="6"/>
  <c r="I116" i="6"/>
  <c r="G116" i="6"/>
  <c r="F116" i="6"/>
  <c r="D116" i="6"/>
  <c r="C116" i="6"/>
  <c r="J115" i="6"/>
  <c r="J114" i="6" s="1"/>
  <c r="G115" i="6"/>
  <c r="M114" i="6"/>
  <c r="L114" i="6"/>
  <c r="I114" i="6"/>
  <c r="G114" i="6"/>
  <c r="F114" i="6"/>
  <c r="D114" i="6"/>
  <c r="C114" i="6"/>
  <c r="J113" i="6"/>
  <c r="G113" i="6"/>
  <c r="M112" i="6"/>
  <c r="L112" i="6"/>
  <c r="J112" i="6"/>
  <c r="I112" i="6"/>
  <c r="G112" i="6"/>
  <c r="F112" i="6"/>
  <c r="D112" i="6"/>
  <c r="C112" i="6"/>
  <c r="J111" i="6"/>
  <c r="G111" i="6"/>
  <c r="M110" i="6"/>
  <c r="L110" i="6"/>
  <c r="J110" i="6"/>
  <c r="I110" i="6"/>
  <c r="G110" i="6"/>
  <c r="F110" i="6"/>
  <c r="D110" i="6"/>
  <c r="C110" i="6"/>
  <c r="J109" i="6"/>
  <c r="G109" i="6"/>
  <c r="M108" i="6"/>
  <c r="L108" i="6"/>
  <c r="J108" i="6"/>
  <c r="I108" i="6"/>
  <c r="G108" i="6"/>
  <c r="F108" i="6"/>
  <c r="D108" i="6"/>
  <c r="C108" i="6"/>
  <c r="J107" i="6"/>
  <c r="G107" i="6"/>
  <c r="M106" i="6"/>
  <c r="L106" i="6"/>
  <c r="J106" i="6"/>
  <c r="I106" i="6"/>
  <c r="G106" i="6"/>
  <c r="F106" i="6"/>
  <c r="D106" i="6"/>
  <c r="C106" i="6"/>
  <c r="J105" i="6"/>
  <c r="G105" i="6"/>
  <c r="M104" i="6"/>
  <c r="L104" i="6"/>
  <c r="J104" i="6"/>
  <c r="I104" i="6"/>
  <c r="G104" i="6"/>
  <c r="F104" i="6"/>
  <c r="D104" i="6"/>
  <c r="C104" i="6"/>
  <c r="B104" i="6"/>
  <c r="J103" i="6"/>
  <c r="G103" i="6"/>
  <c r="M102" i="6"/>
  <c r="L102" i="6"/>
  <c r="I102" i="6"/>
  <c r="G102" i="6"/>
  <c r="F102" i="6"/>
  <c r="D102" i="6"/>
  <c r="C102" i="6"/>
  <c r="J101" i="6"/>
  <c r="J102" i="6" s="1"/>
  <c r="G101" i="6"/>
  <c r="M100" i="6"/>
  <c r="L100" i="6"/>
  <c r="I100" i="6"/>
  <c r="G100" i="6"/>
  <c r="F100" i="6"/>
  <c r="D100" i="6"/>
  <c r="C100" i="6"/>
  <c r="J99" i="6"/>
  <c r="G99" i="6"/>
  <c r="M98" i="6"/>
  <c r="L98" i="6"/>
  <c r="I98" i="6"/>
  <c r="G98" i="6"/>
  <c r="F98" i="6"/>
  <c r="D98" i="6"/>
  <c r="C98" i="6"/>
  <c r="B98" i="6"/>
  <c r="J97" i="6"/>
  <c r="J98" i="6" s="1"/>
  <c r="G97" i="6"/>
  <c r="M96" i="6"/>
  <c r="L96" i="6"/>
  <c r="I96" i="6"/>
  <c r="G96" i="6"/>
  <c r="F96" i="6"/>
  <c r="D96" i="6"/>
  <c r="C96" i="6"/>
  <c r="J95" i="6"/>
  <c r="J96" i="6" s="1"/>
  <c r="G95" i="6"/>
  <c r="M94" i="6"/>
  <c r="L94" i="6"/>
  <c r="I94" i="6"/>
  <c r="G94" i="6"/>
  <c r="F94" i="6"/>
  <c r="D94" i="6"/>
  <c r="C94" i="6"/>
  <c r="J93" i="6"/>
  <c r="J94" i="6" s="1"/>
  <c r="G93" i="6"/>
  <c r="M92" i="6"/>
  <c r="L92" i="6"/>
  <c r="J92" i="6"/>
  <c r="I92" i="6"/>
  <c r="G92" i="6"/>
  <c r="F92" i="6"/>
  <c r="D92" i="6"/>
  <c r="C92" i="6"/>
  <c r="J91" i="6"/>
  <c r="J90" i="6" s="1"/>
  <c r="G91" i="6"/>
  <c r="M90" i="6"/>
  <c r="L90" i="6"/>
  <c r="I90" i="6"/>
  <c r="G90" i="6"/>
  <c r="F90" i="6"/>
  <c r="D90" i="6"/>
  <c r="C90" i="6"/>
  <c r="J89" i="6"/>
  <c r="G89" i="6"/>
  <c r="M88" i="6"/>
  <c r="L88" i="6"/>
  <c r="J88" i="6"/>
  <c r="I88" i="6"/>
  <c r="G88" i="6"/>
  <c r="F88" i="6"/>
  <c r="D88" i="6"/>
  <c r="C88" i="6"/>
  <c r="J87" i="6"/>
  <c r="G87" i="6"/>
  <c r="M86" i="6"/>
  <c r="L86" i="6"/>
  <c r="J86" i="6"/>
  <c r="I86" i="6"/>
  <c r="G86" i="6"/>
  <c r="F86" i="6"/>
  <c r="D86" i="6"/>
  <c r="C86" i="6"/>
  <c r="J85" i="6"/>
  <c r="G85" i="6"/>
  <c r="M84" i="6"/>
  <c r="L84" i="6"/>
  <c r="J84" i="6"/>
  <c r="I84" i="6"/>
  <c r="G84" i="6"/>
  <c r="F84" i="6"/>
  <c r="D84" i="6"/>
  <c r="C84" i="6"/>
  <c r="J83" i="6"/>
  <c r="G83" i="6"/>
  <c r="M82" i="6"/>
  <c r="L82" i="6"/>
  <c r="J82" i="6"/>
  <c r="I82" i="6"/>
  <c r="G82" i="6"/>
  <c r="F82" i="6"/>
  <c r="D82" i="6"/>
  <c r="C82" i="6"/>
  <c r="J81" i="6"/>
  <c r="G81" i="6"/>
  <c r="M80" i="6"/>
  <c r="L80" i="6"/>
  <c r="J80" i="6"/>
  <c r="I80" i="6"/>
  <c r="G80" i="6"/>
  <c r="F80" i="6"/>
  <c r="D80" i="6"/>
  <c r="C80" i="6"/>
  <c r="B80" i="6"/>
  <c r="J79" i="6"/>
  <c r="G79" i="6"/>
  <c r="M78" i="6"/>
  <c r="L78" i="6"/>
  <c r="I78" i="6"/>
  <c r="G78" i="6"/>
  <c r="F78" i="6"/>
  <c r="D78" i="6"/>
  <c r="C78" i="6"/>
  <c r="J77" i="6"/>
  <c r="J78" i="6" s="1"/>
  <c r="G77" i="6"/>
  <c r="M76" i="6"/>
  <c r="L76" i="6"/>
  <c r="I76" i="6"/>
  <c r="G76" i="6"/>
  <c r="F76" i="6"/>
  <c r="D76" i="6"/>
  <c r="C76" i="6"/>
  <c r="B76" i="6"/>
  <c r="J75" i="6"/>
  <c r="G75" i="6"/>
  <c r="M74" i="6"/>
  <c r="L74" i="6"/>
  <c r="I74" i="6"/>
  <c r="G74" i="6"/>
  <c r="F74" i="6"/>
  <c r="D74" i="6"/>
  <c r="C74" i="6"/>
  <c r="B74" i="6"/>
  <c r="J73" i="6"/>
  <c r="J74" i="6" s="1"/>
  <c r="G73" i="6"/>
  <c r="M72" i="6"/>
  <c r="L72" i="6"/>
  <c r="I72" i="6"/>
  <c r="G72" i="6"/>
  <c r="F72" i="6"/>
  <c r="D72" i="6"/>
  <c r="C72" i="6"/>
  <c r="J71" i="6"/>
  <c r="J72" i="6" s="1"/>
  <c r="G71" i="6"/>
  <c r="M70" i="6"/>
  <c r="L70" i="6"/>
  <c r="I70" i="6"/>
  <c r="G70" i="6"/>
  <c r="F70" i="6"/>
  <c r="D70" i="6"/>
  <c r="C70" i="6"/>
  <c r="J69" i="6"/>
  <c r="J70" i="6" s="1"/>
  <c r="G69" i="6"/>
  <c r="M68" i="6"/>
  <c r="L68" i="6"/>
  <c r="J68" i="6"/>
  <c r="I68" i="6"/>
  <c r="G68" i="6"/>
  <c r="F68" i="6"/>
  <c r="D68" i="6"/>
  <c r="C68" i="6"/>
  <c r="J67" i="6"/>
  <c r="J66" i="6" s="1"/>
  <c r="G67" i="6"/>
  <c r="M66" i="6"/>
  <c r="L66" i="6"/>
  <c r="I66" i="6"/>
  <c r="G66" i="6"/>
  <c r="F66" i="6"/>
  <c r="D66" i="6"/>
  <c r="C66" i="6"/>
  <c r="J65" i="6"/>
  <c r="G65" i="6"/>
  <c r="M64" i="6"/>
  <c r="L64" i="6"/>
  <c r="J64" i="6"/>
  <c r="I64" i="6"/>
  <c r="G64" i="6"/>
  <c r="F64" i="6"/>
  <c r="D64" i="6"/>
  <c r="C64" i="6"/>
  <c r="J63" i="6"/>
  <c r="G63" i="6"/>
  <c r="M62" i="6"/>
  <c r="L62" i="6"/>
  <c r="J62" i="6"/>
  <c r="I62" i="6"/>
  <c r="G62" i="6"/>
  <c r="F62" i="6"/>
  <c r="D62" i="6"/>
  <c r="C62" i="6"/>
  <c r="J61" i="6"/>
  <c r="G61" i="6"/>
  <c r="M60" i="6"/>
  <c r="L60" i="6"/>
  <c r="J60" i="6"/>
  <c r="I60" i="6"/>
  <c r="G60" i="6"/>
  <c r="F60" i="6"/>
  <c r="D60" i="6"/>
  <c r="C60" i="6"/>
  <c r="J59" i="6"/>
  <c r="G59" i="6"/>
  <c r="M58" i="6"/>
  <c r="L58" i="6"/>
  <c r="J58" i="6"/>
  <c r="I58" i="6"/>
  <c r="G58" i="6"/>
  <c r="F58" i="6"/>
  <c r="D58" i="6"/>
  <c r="C58" i="6"/>
  <c r="J57" i="6"/>
  <c r="G57" i="6"/>
  <c r="M56" i="6"/>
  <c r="L56" i="6"/>
  <c r="J56" i="6"/>
  <c r="I56" i="6"/>
  <c r="G56" i="6"/>
  <c r="F56" i="6"/>
  <c r="D56" i="6"/>
  <c r="C56" i="6"/>
  <c r="B56" i="6"/>
  <c r="J55" i="6"/>
  <c r="G55" i="6"/>
  <c r="M54" i="6"/>
  <c r="L54" i="6"/>
  <c r="I54" i="6"/>
  <c r="G54" i="6"/>
  <c r="F54" i="6"/>
  <c r="D54" i="6"/>
  <c r="C54" i="6"/>
  <c r="B54" i="6"/>
  <c r="J53" i="6"/>
  <c r="J54" i="6" s="1"/>
  <c r="G53" i="6"/>
  <c r="M52" i="6"/>
  <c r="L52" i="6"/>
  <c r="I52" i="6"/>
  <c r="G52" i="6"/>
  <c r="F52" i="6"/>
  <c r="D52" i="6"/>
  <c r="C52" i="6"/>
  <c r="B52" i="6"/>
  <c r="J51" i="6"/>
  <c r="J52" i="6" s="1"/>
  <c r="G51" i="6"/>
  <c r="M50" i="6"/>
  <c r="L50" i="6"/>
  <c r="I50" i="6"/>
  <c r="G50" i="6"/>
  <c r="F50" i="6"/>
  <c r="D50" i="6"/>
  <c r="C50" i="6"/>
  <c r="B50" i="6"/>
  <c r="J49" i="6"/>
  <c r="J50" i="6" s="1"/>
  <c r="G49" i="6"/>
  <c r="M48" i="6"/>
  <c r="L48" i="6"/>
  <c r="I48" i="6"/>
  <c r="G48" i="6"/>
  <c r="F48" i="6"/>
  <c r="D48" i="6"/>
  <c r="C48" i="6"/>
  <c r="B48" i="6"/>
  <c r="J47" i="6"/>
  <c r="J48" i="6" s="1"/>
  <c r="G47" i="6"/>
  <c r="M46" i="6"/>
  <c r="L46" i="6"/>
  <c r="I46" i="6"/>
  <c r="G46" i="6"/>
  <c r="F46" i="6"/>
  <c r="D46" i="6"/>
  <c r="C46" i="6"/>
  <c r="B46" i="6"/>
  <c r="J45" i="6"/>
  <c r="J46" i="6" s="1"/>
  <c r="G45" i="6"/>
  <c r="M44" i="6"/>
  <c r="L44" i="6"/>
  <c r="J44" i="6"/>
  <c r="I44" i="6"/>
  <c r="G44" i="6"/>
  <c r="F44" i="6"/>
  <c r="D44" i="6"/>
  <c r="C44" i="6"/>
  <c r="B44" i="6"/>
  <c r="J43" i="6"/>
  <c r="J42" i="6" s="1"/>
  <c r="G43" i="6"/>
  <c r="M42" i="6"/>
  <c r="L42" i="6"/>
  <c r="I42" i="6"/>
  <c r="G42" i="6"/>
  <c r="F42" i="6"/>
  <c r="D42" i="6"/>
  <c r="C42" i="6"/>
  <c r="B42" i="6"/>
  <c r="J41" i="6"/>
  <c r="G41" i="6"/>
  <c r="M40" i="6"/>
  <c r="L40" i="6"/>
  <c r="J40" i="6"/>
  <c r="I40" i="6"/>
  <c r="G40" i="6"/>
  <c r="F40" i="6"/>
  <c r="D40" i="6"/>
  <c r="C40" i="6"/>
  <c r="B40" i="6"/>
  <c r="J39" i="6"/>
  <c r="G39" i="6"/>
  <c r="M38" i="6"/>
  <c r="L38" i="6"/>
  <c r="J38" i="6"/>
  <c r="I38" i="6"/>
  <c r="G38" i="6"/>
  <c r="F38" i="6"/>
  <c r="D38" i="6"/>
  <c r="C38" i="6"/>
  <c r="B38" i="6"/>
  <c r="J37" i="6"/>
  <c r="G37" i="6"/>
  <c r="M36" i="6"/>
  <c r="L36" i="6"/>
  <c r="J36" i="6"/>
  <c r="I36" i="6"/>
  <c r="G36" i="6"/>
  <c r="F36" i="6"/>
  <c r="D36" i="6"/>
  <c r="C36" i="6"/>
  <c r="J35" i="6"/>
  <c r="G35" i="6"/>
  <c r="M34" i="6"/>
  <c r="L34" i="6"/>
  <c r="J34" i="6"/>
  <c r="I34" i="6"/>
  <c r="G34" i="6"/>
  <c r="F34" i="6"/>
  <c r="D34" i="6"/>
  <c r="C34" i="6"/>
  <c r="J33" i="6"/>
  <c r="G33" i="6"/>
  <c r="M32" i="6"/>
  <c r="L32" i="6"/>
  <c r="J32" i="6"/>
  <c r="I32" i="6"/>
  <c r="G32" i="6"/>
  <c r="F32" i="6"/>
  <c r="D32" i="6"/>
  <c r="C32" i="6"/>
  <c r="B32" i="6"/>
  <c r="J31" i="6"/>
  <c r="G31" i="6"/>
  <c r="M30" i="6"/>
  <c r="L30" i="6"/>
  <c r="I30" i="6"/>
  <c r="G30" i="6"/>
  <c r="F30" i="6"/>
  <c r="D30" i="6"/>
  <c r="C30" i="6"/>
  <c r="B30" i="6"/>
  <c r="J29" i="6"/>
  <c r="J30" i="6" s="1"/>
  <c r="G29" i="6"/>
  <c r="M28" i="6"/>
  <c r="L28" i="6"/>
  <c r="I28" i="6"/>
  <c r="G28" i="6"/>
  <c r="F28" i="6"/>
  <c r="D28" i="6"/>
  <c r="C28" i="6"/>
  <c r="B28" i="6"/>
  <c r="J27" i="6"/>
  <c r="J28" i="6" s="1"/>
  <c r="G27" i="6"/>
  <c r="M26" i="6"/>
  <c r="L26" i="6"/>
  <c r="I26" i="6"/>
  <c r="G26" i="6"/>
  <c r="F26" i="6"/>
  <c r="D26" i="6"/>
  <c r="C26" i="6"/>
  <c r="B26" i="6"/>
  <c r="J25" i="6"/>
  <c r="J26" i="6" s="1"/>
  <c r="G25" i="6"/>
  <c r="M24" i="6"/>
  <c r="L24" i="6"/>
  <c r="I24" i="6"/>
  <c r="G24" i="6"/>
  <c r="F24" i="6"/>
  <c r="D24" i="6"/>
  <c r="C24" i="6"/>
  <c r="B24" i="6"/>
  <c r="J23" i="6"/>
  <c r="J24" i="6" s="1"/>
  <c r="G23" i="6"/>
  <c r="M22" i="6"/>
  <c r="L22" i="6"/>
  <c r="I22" i="6"/>
  <c r="G22" i="6"/>
  <c r="F22" i="6"/>
  <c r="D22" i="6"/>
  <c r="C22" i="6"/>
  <c r="B22" i="6"/>
  <c r="J21" i="6"/>
  <c r="J22" i="6" s="1"/>
  <c r="G21" i="6"/>
  <c r="M20" i="6"/>
  <c r="L20" i="6"/>
  <c r="J20" i="6"/>
  <c r="I20" i="6"/>
  <c r="G20" i="6"/>
  <c r="F20" i="6"/>
  <c r="D20" i="6"/>
  <c r="C20" i="6"/>
  <c r="B20" i="6"/>
  <c r="J19" i="6"/>
  <c r="J18" i="6" s="1"/>
  <c r="G19" i="6"/>
  <c r="M18" i="6"/>
  <c r="L18" i="6"/>
  <c r="I18" i="6"/>
  <c r="G18" i="6"/>
  <c r="F18" i="6"/>
  <c r="D18" i="6"/>
  <c r="C18" i="6"/>
  <c r="B18" i="6"/>
  <c r="J17" i="6"/>
  <c r="G17" i="6"/>
  <c r="M16" i="6"/>
  <c r="L16" i="6"/>
  <c r="J16" i="6"/>
  <c r="I16" i="6"/>
  <c r="G16" i="6"/>
  <c r="F16" i="6"/>
  <c r="D16" i="6"/>
  <c r="C16" i="6"/>
  <c r="B16" i="6"/>
  <c r="J15" i="6"/>
  <c r="G15" i="6"/>
  <c r="M14" i="6"/>
  <c r="L14" i="6"/>
  <c r="J14" i="6"/>
  <c r="I14" i="6"/>
  <c r="G14" i="6"/>
  <c r="F14" i="6"/>
  <c r="D14" i="6"/>
  <c r="C14" i="6"/>
  <c r="B14" i="6"/>
  <c r="J13" i="6"/>
  <c r="G13" i="6"/>
  <c r="M12" i="6"/>
  <c r="L12" i="6"/>
  <c r="J12" i="6"/>
  <c r="I12" i="6"/>
  <c r="G12" i="6"/>
  <c r="F12" i="6"/>
  <c r="D12" i="6"/>
  <c r="C12" i="6"/>
  <c r="J11" i="6"/>
  <c r="G11" i="6"/>
  <c r="M10" i="6"/>
  <c r="L10" i="6"/>
  <c r="J10" i="6"/>
  <c r="I10" i="6"/>
  <c r="G10" i="6"/>
  <c r="F10" i="6"/>
  <c r="D10" i="6"/>
  <c r="C10" i="6"/>
  <c r="B10" i="6"/>
  <c r="J9" i="6"/>
  <c r="G9" i="6"/>
  <c r="M8" i="6"/>
  <c r="L8" i="6"/>
  <c r="J8" i="6"/>
  <c r="I8" i="6"/>
  <c r="G8" i="6"/>
  <c r="F8" i="6"/>
  <c r="D8" i="6"/>
  <c r="C8" i="6"/>
  <c r="B8" i="6"/>
  <c r="J7" i="6"/>
  <c r="G7" i="6"/>
  <c r="M6" i="6"/>
  <c r="L6" i="6"/>
  <c r="I6" i="6"/>
  <c r="G6" i="6"/>
  <c r="F6" i="6"/>
  <c r="D6" i="6"/>
  <c r="C6" i="6"/>
  <c r="B6" i="6"/>
  <c r="J5" i="6"/>
  <c r="J6" i="6" s="1"/>
  <c r="G5" i="6"/>
  <c r="B5" i="6"/>
  <c r="B7" i="6" s="1"/>
  <c r="B9" i="6" s="1"/>
  <c r="B11" i="6" s="1"/>
  <c r="B13" i="6" s="1"/>
  <c r="B15" i="6" s="1"/>
  <c r="B17" i="6" s="1"/>
  <c r="B19" i="6" s="1"/>
  <c r="B21" i="6" s="1"/>
  <c r="B23" i="6" s="1"/>
  <c r="B25" i="6" s="1"/>
  <c r="B27" i="6" s="1"/>
  <c r="B29" i="6" s="1"/>
  <c r="B31" i="6" s="1"/>
  <c r="B33" i="6" s="1"/>
  <c r="B35" i="6" s="1"/>
  <c r="B37" i="6" s="1"/>
  <c r="B39" i="6" s="1"/>
  <c r="B41" i="6" s="1"/>
  <c r="B43" i="6" s="1"/>
  <c r="B45" i="6" s="1"/>
  <c r="B47" i="6" s="1"/>
  <c r="B49" i="6" s="1"/>
  <c r="B51" i="6" s="1"/>
  <c r="B53" i="6" s="1"/>
  <c r="B55" i="6" s="1"/>
  <c r="B57" i="6" s="1"/>
  <c r="B59" i="6" s="1"/>
  <c r="B61" i="6" s="1"/>
  <c r="B63" i="6" s="1"/>
  <c r="B65" i="6" s="1"/>
  <c r="B67" i="6" s="1"/>
  <c r="B69" i="6" s="1"/>
  <c r="B71" i="6" s="1"/>
  <c r="B73" i="6" s="1"/>
  <c r="B75" i="6" s="1"/>
  <c r="B77" i="6" s="1"/>
  <c r="B79" i="6" s="1"/>
  <c r="B81" i="6" s="1"/>
  <c r="B83" i="6" s="1"/>
  <c r="B85" i="6" s="1"/>
  <c r="B87" i="6" s="1"/>
  <c r="B89" i="6" s="1"/>
  <c r="B91" i="6" s="1"/>
  <c r="B93" i="6" s="1"/>
  <c r="B95" i="6" s="1"/>
  <c r="B97" i="6" s="1"/>
  <c r="B99" i="6" s="1"/>
  <c r="B101" i="6" s="1"/>
  <c r="B103" i="6" s="1"/>
  <c r="B105" i="6" s="1"/>
  <c r="B107" i="6" s="1"/>
  <c r="B109" i="6" s="1"/>
  <c r="B111" i="6" s="1"/>
  <c r="B113" i="6" s="1"/>
  <c r="B115" i="6" s="1"/>
  <c r="B117" i="6" s="1"/>
  <c r="B119" i="6" s="1"/>
  <c r="B121" i="6" s="1"/>
  <c r="B123" i="6" s="1"/>
  <c r="B125" i="6" s="1"/>
  <c r="B127" i="6" s="1"/>
  <c r="B129" i="6" s="1"/>
  <c r="B131" i="6" s="1"/>
  <c r="B133" i="6" s="1"/>
  <c r="B135" i="6" s="1"/>
  <c r="B137" i="6" s="1"/>
  <c r="B139" i="6" s="1"/>
  <c r="B141" i="6" s="1"/>
  <c r="B143" i="6" s="1"/>
  <c r="B145" i="6" s="1"/>
  <c r="B147" i="6" s="1"/>
  <c r="B149" i="6" s="1"/>
  <c r="B151" i="6" s="1"/>
  <c r="B153" i="6" s="1"/>
  <c r="B155" i="6" s="1"/>
  <c r="B157" i="6" s="1"/>
  <c r="B159" i="6" s="1"/>
  <c r="B161" i="6" s="1"/>
  <c r="B163" i="6" s="1"/>
  <c r="M4" i="6"/>
  <c r="L4" i="6"/>
  <c r="I4" i="6"/>
  <c r="G4" i="6"/>
  <c r="F4" i="6"/>
  <c r="D4" i="6"/>
  <c r="C4" i="6"/>
  <c r="B4" i="6"/>
  <c r="J3" i="6"/>
  <c r="G3" i="6"/>
  <c r="L167" i="5"/>
  <c r="K167" i="5"/>
  <c r="I167" i="5"/>
  <c r="G167" i="5"/>
  <c r="F167" i="5"/>
  <c r="D167" i="5"/>
  <c r="K166" i="5"/>
  <c r="J166" i="5"/>
  <c r="H166" i="5"/>
  <c r="E166" i="5"/>
  <c r="D166" i="5"/>
  <c r="C166" i="5"/>
  <c r="L165" i="5"/>
  <c r="K165" i="5"/>
  <c r="I165" i="5"/>
  <c r="I166" i="5" s="1"/>
  <c r="G165" i="5"/>
  <c r="G166" i="5" s="1"/>
  <c r="F165" i="5"/>
  <c r="F166" i="5" s="1"/>
  <c r="D165" i="5"/>
  <c r="K164" i="5"/>
  <c r="J164" i="5"/>
  <c r="H164" i="5"/>
  <c r="E164" i="5"/>
  <c r="C164" i="5"/>
  <c r="L163" i="5"/>
  <c r="K163" i="5"/>
  <c r="I163" i="5"/>
  <c r="I164" i="5" s="1"/>
  <c r="G163" i="5"/>
  <c r="G164" i="5" s="1"/>
  <c r="F163" i="5"/>
  <c r="D163" i="5"/>
  <c r="K162" i="5"/>
  <c r="J162" i="5"/>
  <c r="H162" i="5"/>
  <c r="E162" i="5"/>
  <c r="C162" i="5"/>
  <c r="L161" i="5"/>
  <c r="L162" i="5" s="1"/>
  <c r="K161" i="5"/>
  <c r="I161" i="5"/>
  <c r="I162" i="5" s="1"/>
  <c r="G161" i="5"/>
  <c r="F161" i="5"/>
  <c r="F162" i="5" s="1"/>
  <c r="D161" i="5"/>
  <c r="K160" i="5"/>
  <c r="J160" i="5"/>
  <c r="H160" i="5"/>
  <c r="G160" i="5"/>
  <c r="E160" i="5"/>
  <c r="D160" i="5"/>
  <c r="C160" i="5"/>
  <c r="L159" i="5"/>
  <c r="L160" i="5" s="1"/>
  <c r="K159" i="5"/>
  <c r="I159" i="5"/>
  <c r="I160" i="5" s="1"/>
  <c r="G159" i="5"/>
  <c r="F159" i="5"/>
  <c r="D159" i="5"/>
  <c r="K158" i="5"/>
  <c r="J158" i="5"/>
  <c r="I158" i="5"/>
  <c r="H158" i="5"/>
  <c r="E158" i="5"/>
  <c r="D158" i="5"/>
  <c r="C158" i="5"/>
  <c r="L157" i="5"/>
  <c r="L158" i="5" s="1"/>
  <c r="K157" i="5"/>
  <c r="I157" i="5"/>
  <c r="G157" i="5"/>
  <c r="F157" i="5"/>
  <c r="F158" i="5" s="1"/>
  <c r="D157" i="5"/>
  <c r="K156" i="5"/>
  <c r="J156" i="5"/>
  <c r="H156" i="5"/>
  <c r="E156" i="5"/>
  <c r="C156" i="5"/>
  <c r="L155" i="5"/>
  <c r="K155" i="5"/>
  <c r="I155" i="5"/>
  <c r="I156" i="5" s="1"/>
  <c r="G155" i="5"/>
  <c r="G156" i="5" s="1"/>
  <c r="F155" i="5"/>
  <c r="F156" i="5" s="1"/>
  <c r="D155" i="5"/>
  <c r="D156" i="5" s="1"/>
  <c r="K154" i="5"/>
  <c r="J154" i="5"/>
  <c r="H154" i="5"/>
  <c r="E154" i="5"/>
  <c r="C154" i="5"/>
  <c r="L153" i="5"/>
  <c r="L154" i="5" s="1"/>
  <c r="K153" i="5"/>
  <c r="I153" i="5"/>
  <c r="G153" i="5"/>
  <c r="F153" i="5"/>
  <c r="F154" i="5" s="1"/>
  <c r="D153" i="5"/>
  <c r="J152" i="5"/>
  <c r="H152" i="5"/>
  <c r="G152" i="5"/>
  <c r="E152" i="5"/>
  <c r="C152" i="5"/>
  <c r="L151" i="5"/>
  <c r="L152" i="5" s="1"/>
  <c r="K151" i="5"/>
  <c r="K152" i="5" s="1"/>
  <c r="I151" i="5"/>
  <c r="G151" i="5"/>
  <c r="G150" i="5" s="1"/>
  <c r="F151" i="5"/>
  <c r="F152" i="5" s="1"/>
  <c r="D151" i="5"/>
  <c r="D152" i="5" s="1"/>
  <c r="K150" i="5"/>
  <c r="J150" i="5"/>
  <c r="H150" i="5"/>
  <c r="E150" i="5"/>
  <c r="C150" i="5"/>
  <c r="L149" i="5"/>
  <c r="L150" i="5" s="1"/>
  <c r="K149" i="5"/>
  <c r="I149" i="5"/>
  <c r="G149" i="5"/>
  <c r="F149" i="5"/>
  <c r="F150" i="5" s="1"/>
  <c r="D149" i="5"/>
  <c r="J148" i="5"/>
  <c r="H148" i="5"/>
  <c r="G148" i="5"/>
  <c r="E148" i="5"/>
  <c r="C148" i="5"/>
  <c r="L147" i="5"/>
  <c r="L148" i="5" s="1"/>
  <c r="K147" i="5"/>
  <c r="K148" i="5" s="1"/>
  <c r="I147" i="5"/>
  <c r="G147" i="5"/>
  <c r="G146" i="5" s="1"/>
  <c r="F147" i="5"/>
  <c r="F148" i="5" s="1"/>
  <c r="D147" i="5"/>
  <c r="D148" i="5" s="1"/>
  <c r="K146" i="5"/>
  <c r="J146" i="5"/>
  <c r="H146" i="5"/>
  <c r="E146" i="5"/>
  <c r="C146" i="5"/>
  <c r="L145" i="5"/>
  <c r="L146" i="5" s="1"/>
  <c r="K145" i="5"/>
  <c r="I145" i="5"/>
  <c r="G145" i="5"/>
  <c r="F145" i="5"/>
  <c r="F146" i="5" s="1"/>
  <c r="D145" i="5"/>
  <c r="J144" i="5"/>
  <c r="H144" i="5"/>
  <c r="G144" i="5"/>
  <c r="E144" i="5"/>
  <c r="C144" i="5"/>
  <c r="L143" i="5"/>
  <c r="L144" i="5" s="1"/>
  <c r="K143" i="5"/>
  <c r="K144" i="5" s="1"/>
  <c r="I143" i="5"/>
  <c r="G143" i="5"/>
  <c r="G142" i="5" s="1"/>
  <c r="F143" i="5"/>
  <c r="F144" i="5" s="1"/>
  <c r="D143" i="5"/>
  <c r="D144" i="5" s="1"/>
  <c r="K142" i="5"/>
  <c r="J142" i="5"/>
  <c r="H142" i="5"/>
  <c r="E142" i="5"/>
  <c r="C142" i="5"/>
  <c r="L141" i="5"/>
  <c r="L142" i="5" s="1"/>
  <c r="K141" i="5"/>
  <c r="I141" i="5"/>
  <c r="G141" i="5"/>
  <c r="F141" i="5"/>
  <c r="F142" i="5" s="1"/>
  <c r="D141" i="5"/>
  <c r="J140" i="5"/>
  <c r="H140" i="5"/>
  <c r="G140" i="5"/>
  <c r="E140" i="5"/>
  <c r="C140" i="5"/>
  <c r="L139" i="5"/>
  <c r="L140" i="5" s="1"/>
  <c r="K139" i="5"/>
  <c r="K140" i="5" s="1"/>
  <c r="I139" i="5"/>
  <c r="G139" i="5"/>
  <c r="G138" i="5" s="1"/>
  <c r="F139" i="5"/>
  <c r="F140" i="5" s="1"/>
  <c r="D139" i="5"/>
  <c r="D140" i="5" s="1"/>
  <c r="K138" i="5"/>
  <c r="J138" i="5"/>
  <c r="H138" i="5"/>
  <c r="E138" i="5"/>
  <c r="C138" i="5"/>
  <c r="L137" i="5"/>
  <c r="L138" i="5" s="1"/>
  <c r="K137" i="5"/>
  <c r="I137" i="5"/>
  <c r="G137" i="5"/>
  <c r="F137" i="5"/>
  <c r="F138" i="5" s="1"/>
  <c r="D137" i="5"/>
  <c r="J136" i="5"/>
  <c r="H136" i="5"/>
  <c r="G136" i="5"/>
  <c r="E136" i="5"/>
  <c r="C136" i="5"/>
  <c r="L135" i="5"/>
  <c r="L136" i="5" s="1"/>
  <c r="K135" i="5"/>
  <c r="K136" i="5" s="1"/>
  <c r="I135" i="5"/>
  <c r="G135" i="5"/>
  <c r="G134" i="5" s="1"/>
  <c r="F135" i="5"/>
  <c r="F136" i="5" s="1"/>
  <c r="D135" i="5"/>
  <c r="D136" i="5" s="1"/>
  <c r="K134" i="5"/>
  <c r="J134" i="5"/>
  <c r="H134" i="5"/>
  <c r="E134" i="5"/>
  <c r="C134" i="5"/>
  <c r="L133" i="5"/>
  <c r="L134" i="5" s="1"/>
  <c r="K133" i="5"/>
  <c r="I133" i="5"/>
  <c r="G133" i="5"/>
  <c r="F133" i="5"/>
  <c r="F134" i="5" s="1"/>
  <c r="D133" i="5"/>
  <c r="K132" i="5"/>
  <c r="J132" i="5"/>
  <c r="H132" i="5"/>
  <c r="G132" i="5"/>
  <c r="E132" i="5"/>
  <c r="C132" i="5"/>
  <c r="L131" i="5"/>
  <c r="L132" i="5" s="1"/>
  <c r="K131" i="5"/>
  <c r="I131" i="5"/>
  <c r="G131" i="5"/>
  <c r="G130" i="5" s="1"/>
  <c r="F131" i="5"/>
  <c r="F132" i="5" s="1"/>
  <c r="D131" i="5"/>
  <c r="D132" i="5" s="1"/>
  <c r="K130" i="5"/>
  <c r="J130" i="5"/>
  <c r="H130" i="5"/>
  <c r="E130" i="5"/>
  <c r="C130" i="5"/>
  <c r="L129" i="5"/>
  <c r="L130" i="5" s="1"/>
  <c r="K129" i="5"/>
  <c r="I129" i="5"/>
  <c r="G129" i="5"/>
  <c r="F129" i="5"/>
  <c r="F130" i="5" s="1"/>
  <c r="D129" i="5"/>
  <c r="K128" i="5"/>
  <c r="J128" i="5"/>
  <c r="H128" i="5"/>
  <c r="G128" i="5"/>
  <c r="E128" i="5"/>
  <c r="C128" i="5"/>
  <c r="L127" i="5"/>
  <c r="L128" i="5" s="1"/>
  <c r="K127" i="5"/>
  <c r="I127" i="5"/>
  <c r="G127" i="5"/>
  <c r="G126" i="5" s="1"/>
  <c r="F127" i="5"/>
  <c r="F128" i="5" s="1"/>
  <c r="D127" i="5"/>
  <c r="D128" i="5" s="1"/>
  <c r="K126" i="5"/>
  <c r="J126" i="5"/>
  <c r="H126" i="5"/>
  <c r="E126" i="5"/>
  <c r="C126" i="5"/>
  <c r="L125" i="5"/>
  <c r="L126" i="5" s="1"/>
  <c r="K125" i="5"/>
  <c r="I125" i="5"/>
  <c r="G125" i="5"/>
  <c r="F125" i="5"/>
  <c r="F126" i="5" s="1"/>
  <c r="D125" i="5"/>
  <c r="K124" i="5"/>
  <c r="J124" i="5"/>
  <c r="H124" i="5"/>
  <c r="G124" i="5"/>
  <c r="E124" i="5"/>
  <c r="C124" i="5"/>
  <c r="L123" i="5"/>
  <c r="L124" i="5" s="1"/>
  <c r="K123" i="5"/>
  <c r="I123" i="5"/>
  <c r="G123" i="5"/>
  <c r="G122" i="5" s="1"/>
  <c r="F123" i="5"/>
  <c r="F124" i="5" s="1"/>
  <c r="D123" i="5"/>
  <c r="D124" i="5" s="1"/>
  <c r="K122" i="5"/>
  <c r="J122" i="5"/>
  <c r="H122" i="5"/>
  <c r="E122" i="5"/>
  <c r="C122" i="5"/>
  <c r="L121" i="5"/>
  <c r="L122" i="5" s="1"/>
  <c r="K121" i="5"/>
  <c r="I121" i="5"/>
  <c r="G121" i="5"/>
  <c r="F121" i="5"/>
  <c r="F122" i="5" s="1"/>
  <c r="D121" i="5"/>
  <c r="K120" i="5"/>
  <c r="J120" i="5"/>
  <c r="H120" i="5"/>
  <c r="G120" i="5"/>
  <c r="E120" i="5"/>
  <c r="C120" i="5"/>
  <c r="L119" i="5"/>
  <c r="L120" i="5" s="1"/>
  <c r="K119" i="5"/>
  <c r="I119" i="5"/>
  <c r="G119" i="5"/>
  <c r="G118" i="5" s="1"/>
  <c r="F119" i="5"/>
  <c r="F120" i="5" s="1"/>
  <c r="D119" i="5"/>
  <c r="D120" i="5" s="1"/>
  <c r="K118" i="5"/>
  <c r="J118" i="5"/>
  <c r="H118" i="5"/>
  <c r="E118" i="5"/>
  <c r="C118" i="5"/>
  <c r="L117" i="5"/>
  <c r="L118" i="5" s="1"/>
  <c r="K117" i="5"/>
  <c r="I117" i="5"/>
  <c r="G117" i="5"/>
  <c r="F117" i="5"/>
  <c r="F118" i="5" s="1"/>
  <c r="D117" i="5"/>
  <c r="K116" i="5"/>
  <c r="J116" i="5"/>
  <c r="H116" i="5"/>
  <c r="G116" i="5"/>
  <c r="E116" i="5"/>
  <c r="C116" i="5"/>
  <c r="L115" i="5"/>
  <c r="L116" i="5" s="1"/>
  <c r="K115" i="5"/>
  <c r="I115" i="5"/>
  <c r="G115" i="5"/>
  <c r="G114" i="5" s="1"/>
  <c r="F115" i="5"/>
  <c r="F116" i="5" s="1"/>
  <c r="D115" i="5"/>
  <c r="D116" i="5" s="1"/>
  <c r="K114" i="5"/>
  <c r="J114" i="5"/>
  <c r="H114" i="5"/>
  <c r="E114" i="5"/>
  <c r="C114" i="5"/>
  <c r="L113" i="5"/>
  <c r="L114" i="5" s="1"/>
  <c r="K113" i="5"/>
  <c r="I113" i="5"/>
  <c r="G113" i="5"/>
  <c r="F113" i="5"/>
  <c r="F114" i="5" s="1"/>
  <c r="D113" i="5"/>
  <c r="J112" i="5"/>
  <c r="H112" i="5"/>
  <c r="G112" i="5"/>
  <c r="E112" i="5"/>
  <c r="C112" i="5"/>
  <c r="L111" i="5"/>
  <c r="L112" i="5" s="1"/>
  <c r="K111" i="5"/>
  <c r="K112" i="5" s="1"/>
  <c r="I111" i="5"/>
  <c r="G111" i="5"/>
  <c r="G110" i="5" s="1"/>
  <c r="F111" i="5"/>
  <c r="F112" i="5" s="1"/>
  <c r="D111" i="5"/>
  <c r="D112" i="5" s="1"/>
  <c r="K110" i="5"/>
  <c r="J110" i="5"/>
  <c r="H110" i="5"/>
  <c r="E110" i="5"/>
  <c r="C110" i="5"/>
  <c r="L109" i="5"/>
  <c r="L110" i="5" s="1"/>
  <c r="K109" i="5"/>
  <c r="I109" i="5"/>
  <c r="G109" i="5"/>
  <c r="F109" i="5"/>
  <c r="F110" i="5" s="1"/>
  <c r="D109" i="5"/>
  <c r="J108" i="5"/>
  <c r="H108" i="5"/>
  <c r="G108" i="5"/>
  <c r="E108" i="5"/>
  <c r="C108" i="5"/>
  <c r="L107" i="5"/>
  <c r="L108" i="5" s="1"/>
  <c r="K107" i="5"/>
  <c r="K108" i="5" s="1"/>
  <c r="I107" i="5"/>
  <c r="G107" i="5"/>
  <c r="G106" i="5" s="1"/>
  <c r="F107" i="5"/>
  <c r="F108" i="5" s="1"/>
  <c r="D107" i="5"/>
  <c r="D108" i="5" s="1"/>
  <c r="K106" i="5"/>
  <c r="J106" i="5"/>
  <c r="H106" i="5"/>
  <c r="E106" i="5"/>
  <c r="C106" i="5"/>
  <c r="L105" i="5"/>
  <c r="L106" i="5" s="1"/>
  <c r="K105" i="5"/>
  <c r="I105" i="5"/>
  <c r="G105" i="5"/>
  <c r="F105" i="5"/>
  <c r="F106" i="5" s="1"/>
  <c r="D105" i="5"/>
  <c r="J104" i="5"/>
  <c r="H104" i="5"/>
  <c r="G104" i="5"/>
  <c r="E104" i="5"/>
  <c r="C104" i="5"/>
  <c r="L103" i="5"/>
  <c r="L104" i="5" s="1"/>
  <c r="K103" i="5"/>
  <c r="K104" i="5" s="1"/>
  <c r="I103" i="5"/>
  <c r="G103" i="5"/>
  <c r="F103" i="5"/>
  <c r="F104" i="5" s="1"/>
  <c r="D103" i="5"/>
  <c r="D104" i="5" s="1"/>
  <c r="K102" i="5"/>
  <c r="J102" i="5"/>
  <c r="H102" i="5"/>
  <c r="E102" i="5"/>
  <c r="C102" i="5"/>
  <c r="L101" i="5"/>
  <c r="L102" i="5" s="1"/>
  <c r="K101" i="5"/>
  <c r="I101" i="5"/>
  <c r="G101" i="5"/>
  <c r="G102" i="5" s="1"/>
  <c r="F101" i="5"/>
  <c r="F102" i="5" s="1"/>
  <c r="D101" i="5"/>
  <c r="J100" i="5"/>
  <c r="H100" i="5"/>
  <c r="G100" i="5"/>
  <c r="E100" i="5"/>
  <c r="C100" i="5"/>
  <c r="L99" i="5"/>
  <c r="L100" i="5" s="1"/>
  <c r="K99" i="5"/>
  <c r="K100" i="5" s="1"/>
  <c r="I99" i="5"/>
  <c r="G99" i="5"/>
  <c r="F99" i="5"/>
  <c r="F100" i="5" s="1"/>
  <c r="D99" i="5"/>
  <c r="D100" i="5" s="1"/>
  <c r="K98" i="5"/>
  <c r="J98" i="5"/>
  <c r="H98" i="5"/>
  <c r="E98" i="5"/>
  <c r="C98" i="5"/>
  <c r="L97" i="5"/>
  <c r="L98" i="5" s="1"/>
  <c r="K97" i="5"/>
  <c r="I97" i="5"/>
  <c r="G97" i="5"/>
  <c r="G98" i="5" s="1"/>
  <c r="F97" i="5"/>
  <c r="F98" i="5" s="1"/>
  <c r="D97" i="5"/>
  <c r="J96" i="5"/>
  <c r="H96" i="5"/>
  <c r="G96" i="5"/>
  <c r="E96" i="5"/>
  <c r="C96" i="5"/>
  <c r="L95" i="5"/>
  <c r="L96" i="5" s="1"/>
  <c r="K95" i="5"/>
  <c r="K96" i="5" s="1"/>
  <c r="I95" i="5"/>
  <c r="G95" i="5"/>
  <c r="F95" i="5"/>
  <c r="F96" i="5" s="1"/>
  <c r="D95" i="5"/>
  <c r="D96" i="5" s="1"/>
  <c r="K94" i="5"/>
  <c r="J94" i="5"/>
  <c r="H94" i="5"/>
  <c r="E94" i="5"/>
  <c r="C94" i="5"/>
  <c r="L93" i="5"/>
  <c r="L94" i="5" s="1"/>
  <c r="K93" i="5"/>
  <c r="I93" i="5"/>
  <c r="G93" i="5"/>
  <c r="G94" i="5" s="1"/>
  <c r="F93" i="5"/>
  <c r="F94" i="5" s="1"/>
  <c r="D93" i="5"/>
  <c r="J92" i="5"/>
  <c r="H92" i="5"/>
  <c r="G92" i="5"/>
  <c r="E92" i="5"/>
  <c r="C92" i="5"/>
  <c r="L91" i="5"/>
  <c r="L92" i="5" s="1"/>
  <c r="K91" i="5"/>
  <c r="K92" i="5" s="1"/>
  <c r="I91" i="5"/>
  <c r="G91" i="5"/>
  <c r="F91" i="5"/>
  <c r="F92" i="5" s="1"/>
  <c r="D91" i="5"/>
  <c r="D92" i="5" s="1"/>
  <c r="K90" i="5"/>
  <c r="J90" i="5"/>
  <c r="H90" i="5"/>
  <c r="E90" i="5"/>
  <c r="C90" i="5"/>
  <c r="L89" i="5"/>
  <c r="L90" i="5" s="1"/>
  <c r="K89" i="5"/>
  <c r="I89" i="5"/>
  <c r="G89" i="5"/>
  <c r="G90" i="5" s="1"/>
  <c r="F89" i="5"/>
  <c r="F90" i="5" s="1"/>
  <c r="D89" i="5"/>
  <c r="J88" i="5"/>
  <c r="H88" i="5"/>
  <c r="G88" i="5"/>
  <c r="E88" i="5"/>
  <c r="C88" i="5"/>
  <c r="L87" i="5"/>
  <c r="L88" i="5" s="1"/>
  <c r="K87" i="5"/>
  <c r="K88" i="5" s="1"/>
  <c r="I87" i="5"/>
  <c r="G87" i="5"/>
  <c r="F87" i="5"/>
  <c r="F88" i="5" s="1"/>
  <c r="D87" i="5"/>
  <c r="D88" i="5" s="1"/>
  <c r="K86" i="5"/>
  <c r="J86" i="5"/>
  <c r="H86" i="5"/>
  <c r="E86" i="5"/>
  <c r="C86" i="5"/>
  <c r="L85" i="5"/>
  <c r="L86" i="5" s="1"/>
  <c r="K85" i="5"/>
  <c r="I85" i="5"/>
  <c r="G85" i="5"/>
  <c r="G86" i="5" s="1"/>
  <c r="F85" i="5"/>
  <c r="F86" i="5" s="1"/>
  <c r="D85" i="5"/>
  <c r="J84" i="5"/>
  <c r="H84" i="5"/>
  <c r="G84" i="5"/>
  <c r="E84" i="5"/>
  <c r="C84" i="5"/>
  <c r="L83" i="5"/>
  <c r="L84" i="5" s="1"/>
  <c r="K83" i="5"/>
  <c r="K84" i="5" s="1"/>
  <c r="I83" i="5"/>
  <c r="G83" i="5"/>
  <c r="F83" i="5"/>
  <c r="F84" i="5" s="1"/>
  <c r="D83" i="5"/>
  <c r="D84" i="5" s="1"/>
  <c r="K82" i="5"/>
  <c r="J82" i="5"/>
  <c r="H82" i="5"/>
  <c r="E82" i="5"/>
  <c r="C82" i="5"/>
  <c r="L81" i="5"/>
  <c r="L82" i="5" s="1"/>
  <c r="K81" i="5"/>
  <c r="I81" i="5"/>
  <c r="G81" i="5"/>
  <c r="G82" i="5" s="1"/>
  <c r="F81" i="5"/>
  <c r="F82" i="5" s="1"/>
  <c r="D81" i="5"/>
  <c r="K80" i="5"/>
  <c r="J80" i="5"/>
  <c r="H80" i="5"/>
  <c r="G80" i="5"/>
  <c r="E80" i="5"/>
  <c r="C80" i="5"/>
  <c r="L79" i="5"/>
  <c r="L80" i="5" s="1"/>
  <c r="K79" i="5"/>
  <c r="I79" i="5"/>
  <c r="G79" i="5"/>
  <c r="F79" i="5"/>
  <c r="F80" i="5" s="1"/>
  <c r="D79" i="5"/>
  <c r="D80" i="5" s="1"/>
  <c r="K78" i="5"/>
  <c r="J78" i="5"/>
  <c r="H78" i="5"/>
  <c r="E78" i="5"/>
  <c r="C78" i="5"/>
  <c r="L77" i="5"/>
  <c r="L78" i="5" s="1"/>
  <c r="K77" i="5"/>
  <c r="I77" i="5"/>
  <c r="G77" i="5"/>
  <c r="G78" i="5" s="1"/>
  <c r="F77" i="5"/>
  <c r="F78" i="5" s="1"/>
  <c r="D77" i="5"/>
  <c r="K76" i="5"/>
  <c r="J76" i="5"/>
  <c r="H76" i="5"/>
  <c r="G76" i="5"/>
  <c r="E76" i="5"/>
  <c r="C76" i="5"/>
  <c r="L75" i="5"/>
  <c r="L76" i="5" s="1"/>
  <c r="K75" i="5"/>
  <c r="I75" i="5"/>
  <c r="G75" i="5"/>
  <c r="F75" i="5"/>
  <c r="F76" i="5" s="1"/>
  <c r="D75" i="5"/>
  <c r="D76" i="5" s="1"/>
  <c r="K74" i="5"/>
  <c r="J74" i="5"/>
  <c r="H74" i="5"/>
  <c r="E74" i="5"/>
  <c r="C74" i="5"/>
  <c r="L73" i="5"/>
  <c r="L74" i="5" s="1"/>
  <c r="K73" i="5"/>
  <c r="I73" i="5"/>
  <c r="G73" i="5"/>
  <c r="G74" i="5" s="1"/>
  <c r="F73" i="5"/>
  <c r="F74" i="5" s="1"/>
  <c r="D73" i="5"/>
  <c r="K72" i="5"/>
  <c r="J72" i="5"/>
  <c r="H72" i="5"/>
  <c r="G72" i="5"/>
  <c r="E72" i="5"/>
  <c r="C72" i="5"/>
  <c r="L71" i="5"/>
  <c r="L72" i="5" s="1"/>
  <c r="K71" i="5"/>
  <c r="I71" i="5"/>
  <c r="G71" i="5"/>
  <c r="F71" i="5"/>
  <c r="F72" i="5" s="1"/>
  <c r="D71" i="5"/>
  <c r="D72" i="5" s="1"/>
  <c r="K70" i="5"/>
  <c r="J70" i="5"/>
  <c r="H70" i="5"/>
  <c r="E70" i="5"/>
  <c r="C70" i="5"/>
  <c r="L69" i="5"/>
  <c r="L70" i="5" s="1"/>
  <c r="K69" i="5"/>
  <c r="I69" i="5"/>
  <c r="G69" i="5"/>
  <c r="G70" i="5" s="1"/>
  <c r="F69" i="5"/>
  <c r="F70" i="5" s="1"/>
  <c r="D69" i="5"/>
  <c r="K68" i="5"/>
  <c r="J68" i="5"/>
  <c r="H68" i="5"/>
  <c r="G68" i="5"/>
  <c r="E68" i="5"/>
  <c r="C68" i="5"/>
  <c r="L67" i="5"/>
  <c r="L68" i="5" s="1"/>
  <c r="K67" i="5"/>
  <c r="I67" i="5"/>
  <c r="G67" i="5"/>
  <c r="F67" i="5"/>
  <c r="F68" i="5" s="1"/>
  <c r="D67" i="5"/>
  <c r="D68" i="5" s="1"/>
  <c r="K66" i="5"/>
  <c r="J66" i="5"/>
  <c r="H66" i="5"/>
  <c r="E66" i="5"/>
  <c r="C66" i="5"/>
  <c r="L65" i="5"/>
  <c r="L66" i="5" s="1"/>
  <c r="K65" i="5"/>
  <c r="I65" i="5"/>
  <c r="G65" i="5"/>
  <c r="G66" i="5" s="1"/>
  <c r="F65" i="5"/>
  <c r="F66" i="5" s="1"/>
  <c r="D65" i="5"/>
  <c r="J64" i="5"/>
  <c r="H64" i="5"/>
  <c r="G64" i="5"/>
  <c r="E64" i="5"/>
  <c r="C64" i="5"/>
  <c r="L63" i="5"/>
  <c r="L64" i="5" s="1"/>
  <c r="K63" i="5"/>
  <c r="K64" i="5" s="1"/>
  <c r="I63" i="5"/>
  <c r="G63" i="5"/>
  <c r="F63" i="5"/>
  <c r="F64" i="5" s="1"/>
  <c r="D63" i="5"/>
  <c r="D64" i="5" s="1"/>
  <c r="K62" i="5"/>
  <c r="J62" i="5"/>
  <c r="H62" i="5"/>
  <c r="E62" i="5"/>
  <c r="C62" i="5"/>
  <c r="L61" i="5"/>
  <c r="L62" i="5" s="1"/>
  <c r="K61" i="5"/>
  <c r="I61" i="5"/>
  <c r="G61" i="5"/>
  <c r="G62" i="5" s="1"/>
  <c r="F61" i="5"/>
  <c r="F62" i="5" s="1"/>
  <c r="D61" i="5"/>
  <c r="J60" i="5"/>
  <c r="H60" i="5"/>
  <c r="G60" i="5"/>
  <c r="E60" i="5"/>
  <c r="C60" i="5"/>
  <c r="L59" i="5"/>
  <c r="L60" i="5" s="1"/>
  <c r="K59" i="5"/>
  <c r="K60" i="5" s="1"/>
  <c r="I59" i="5"/>
  <c r="G59" i="5"/>
  <c r="F59" i="5"/>
  <c r="F60" i="5" s="1"/>
  <c r="D59" i="5"/>
  <c r="D60" i="5" s="1"/>
  <c r="K58" i="5"/>
  <c r="J58" i="5"/>
  <c r="H58" i="5"/>
  <c r="E58" i="5"/>
  <c r="C58" i="5"/>
  <c r="L57" i="5"/>
  <c r="L58" i="5" s="1"/>
  <c r="K57" i="5"/>
  <c r="I57" i="5"/>
  <c r="G57" i="5"/>
  <c r="G58" i="5" s="1"/>
  <c r="F57" i="5"/>
  <c r="F58" i="5" s="1"/>
  <c r="D57" i="5"/>
  <c r="D58" i="5" s="1"/>
  <c r="J56" i="5"/>
  <c r="H56" i="5"/>
  <c r="G56" i="5"/>
  <c r="E56" i="5"/>
  <c r="C56" i="5"/>
  <c r="L55" i="5"/>
  <c r="L56" i="5" s="1"/>
  <c r="K55" i="5"/>
  <c r="K56" i="5" s="1"/>
  <c r="I55" i="5"/>
  <c r="G55" i="5"/>
  <c r="F55" i="5"/>
  <c r="F56" i="5" s="1"/>
  <c r="D55" i="5"/>
  <c r="D56" i="5" s="1"/>
  <c r="K54" i="5"/>
  <c r="J54" i="5"/>
  <c r="H54" i="5"/>
  <c r="E54" i="5"/>
  <c r="C54" i="5"/>
  <c r="L53" i="5"/>
  <c r="L54" i="5" s="1"/>
  <c r="K53" i="5"/>
  <c r="I53" i="5"/>
  <c r="G53" i="5"/>
  <c r="G54" i="5" s="1"/>
  <c r="F53" i="5"/>
  <c r="F54" i="5" s="1"/>
  <c r="D53" i="5"/>
  <c r="D54" i="5" s="1"/>
  <c r="J52" i="5"/>
  <c r="H52" i="5"/>
  <c r="G52" i="5"/>
  <c r="E52" i="5"/>
  <c r="C52" i="5"/>
  <c r="L51" i="5"/>
  <c r="L52" i="5" s="1"/>
  <c r="K51" i="5"/>
  <c r="K52" i="5" s="1"/>
  <c r="I51" i="5"/>
  <c r="G51" i="5"/>
  <c r="F51" i="5"/>
  <c r="F52" i="5" s="1"/>
  <c r="D51" i="5"/>
  <c r="D52" i="5" s="1"/>
  <c r="K50" i="5"/>
  <c r="J50" i="5"/>
  <c r="H50" i="5"/>
  <c r="E50" i="5"/>
  <c r="C50" i="5"/>
  <c r="L49" i="5"/>
  <c r="L50" i="5" s="1"/>
  <c r="K49" i="5"/>
  <c r="I49" i="5"/>
  <c r="G49" i="5"/>
  <c r="G50" i="5" s="1"/>
  <c r="F49" i="5"/>
  <c r="F50" i="5" s="1"/>
  <c r="D49" i="5"/>
  <c r="D50" i="5" s="1"/>
  <c r="J48" i="5"/>
  <c r="H48" i="5"/>
  <c r="G48" i="5"/>
  <c r="E48" i="5"/>
  <c r="C48" i="5"/>
  <c r="L47" i="5"/>
  <c r="L48" i="5" s="1"/>
  <c r="K47" i="5"/>
  <c r="K48" i="5" s="1"/>
  <c r="I47" i="5"/>
  <c r="G47" i="5"/>
  <c r="F47" i="5"/>
  <c r="F48" i="5" s="1"/>
  <c r="D47" i="5"/>
  <c r="D48" i="5" s="1"/>
  <c r="K46" i="5"/>
  <c r="J46" i="5"/>
  <c r="H46" i="5"/>
  <c r="E46" i="5"/>
  <c r="C46" i="5"/>
  <c r="L45" i="5"/>
  <c r="L46" i="5" s="1"/>
  <c r="K45" i="5"/>
  <c r="I45" i="5"/>
  <c r="G45" i="5"/>
  <c r="G46" i="5" s="1"/>
  <c r="F45" i="5"/>
  <c r="F46" i="5" s="1"/>
  <c r="D45" i="5"/>
  <c r="D46" i="5" s="1"/>
  <c r="J44" i="5"/>
  <c r="H44" i="5"/>
  <c r="G44" i="5"/>
  <c r="E44" i="5"/>
  <c r="C44" i="5"/>
  <c r="L43" i="5"/>
  <c r="L44" i="5" s="1"/>
  <c r="K43" i="5"/>
  <c r="K44" i="5" s="1"/>
  <c r="I43" i="5"/>
  <c r="G43" i="5"/>
  <c r="F43" i="5"/>
  <c r="F44" i="5" s="1"/>
  <c r="D43" i="5"/>
  <c r="D44" i="5" s="1"/>
  <c r="K42" i="5"/>
  <c r="J42" i="5"/>
  <c r="H42" i="5"/>
  <c r="E42" i="5"/>
  <c r="C42" i="5"/>
  <c r="L41" i="5"/>
  <c r="L42" i="5" s="1"/>
  <c r="K41" i="5"/>
  <c r="I41" i="5"/>
  <c r="G41" i="5"/>
  <c r="G42" i="5" s="1"/>
  <c r="F41" i="5"/>
  <c r="F42" i="5" s="1"/>
  <c r="D41" i="5"/>
  <c r="D42" i="5" s="1"/>
  <c r="J40" i="5"/>
  <c r="H40" i="5"/>
  <c r="E40" i="5"/>
  <c r="C40" i="5"/>
  <c r="L39" i="5"/>
  <c r="L40" i="5" s="1"/>
  <c r="K39" i="5"/>
  <c r="K40" i="5" s="1"/>
  <c r="I39" i="5"/>
  <c r="G39" i="5"/>
  <c r="G40" i="5" s="1"/>
  <c r="F39" i="5"/>
  <c r="F40" i="5" s="1"/>
  <c r="D39" i="5"/>
  <c r="D40" i="5" s="1"/>
  <c r="K38" i="5"/>
  <c r="J38" i="5"/>
  <c r="H38" i="5"/>
  <c r="E38" i="5"/>
  <c r="C38" i="5"/>
  <c r="L37" i="5"/>
  <c r="L38" i="5" s="1"/>
  <c r="K37" i="5"/>
  <c r="I37" i="5"/>
  <c r="G37" i="5"/>
  <c r="G38" i="5" s="1"/>
  <c r="F37" i="5"/>
  <c r="F38" i="5" s="1"/>
  <c r="D37" i="5"/>
  <c r="D38" i="5" s="1"/>
  <c r="J36" i="5"/>
  <c r="H36" i="5"/>
  <c r="E36" i="5"/>
  <c r="C36" i="5"/>
  <c r="L35" i="5"/>
  <c r="L36" i="5" s="1"/>
  <c r="K35" i="5"/>
  <c r="K36" i="5" s="1"/>
  <c r="I35" i="5"/>
  <c r="G35" i="5"/>
  <c r="G36" i="5" s="1"/>
  <c r="F35" i="5"/>
  <c r="F36" i="5" s="1"/>
  <c r="D35" i="5"/>
  <c r="D36" i="5" s="1"/>
  <c r="K34" i="5"/>
  <c r="J34" i="5"/>
  <c r="H34" i="5"/>
  <c r="E34" i="5"/>
  <c r="C34" i="5"/>
  <c r="L33" i="5"/>
  <c r="L34" i="5" s="1"/>
  <c r="K33" i="5"/>
  <c r="I33" i="5"/>
  <c r="G33" i="5"/>
  <c r="G34" i="5" s="1"/>
  <c r="F33" i="5"/>
  <c r="F34" i="5" s="1"/>
  <c r="D33" i="5"/>
  <c r="D34" i="5" s="1"/>
  <c r="J32" i="5"/>
  <c r="H32" i="5"/>
  <c r="E32" i="5"/>
  <c r="C32" i="5"/>
  <c r="L31" i="5"/>
  <c r="L32" i="5" s="1"/>
  <c r="K31" i="5"/>
  <c r="K32" i="5" s="1"/>
  <c r="I31" i="5"/>
  <c r="G31" i="5"/>
  <c r="G32" i="5" s="1"/>
  <c r="F31" i="5"/>
  <c r="F32" i="5" s="1"/>
  <c r="D31" i="5"/>
  <c r="D32" i="5" s="1"/>
  <c r="K30" i="5"/>
  <c r="J30" i="5"/>
  <c r="H30" i="5"/>
  <c r="E30" i="5"/>
  <c r="C30" i="5"/>
  <c r="L29" i="5"/>
  <c r="L30" i="5" s="1"/>
  <c r="K29" i="5"/>
  <c r="I29" i="5"/>
  <c r="G29" i="5"/>
  <c r="F29" i="5"/>
  <c r="F30" i="5" s="1"/>
  <c r="D29" i="5"/>
  <c r="D30" i="5" s="1"/>
  <c r="K28" i="5"/>
  <c r="J28" i="5"/>
  <c r="H28" i="5"/>
  <c r="E28" i="5"/>
  <c r="C28" i="5"/>
  <c r="L27" i="5"/>
  <c r="L28" i="5" s="1"/>
  <c r="K27" i="5"/>
  <c r="I27" i="5"/>
  <c r="G27" i="5"/>
  <c r="G28" i="5" s="1"/>
  <c r="F27" i="5"/>
  <c r="F28" i="5" s="1"/>
  <c r="D27" i="5"/>
  <c r="K26" i="5"/>
  <c r="J26" i="5"/>
  <c r="I26" i="5"/>
  <c r="H26" i="5"/>
  <c r="E26" i="5"/>
  <c r="C26" i="5"/>
  <c r="L25" i="5"/>
  <c r="L26" i="5" s="1"/>
  <c r="K25" i="5"/>
  <c r="I25" i="5"/>
  <c r="G25" i="5"/>
  <c r="F25" i="5"/>
  <c r="D25" i="5"/>
  <c r="J24" i="5"/>
  <c r="I24" i="5"/>
  <c r="H24" i="5"/>
  <c r="G24" i="5"/>
  <c r="E24" i="5"/>
  <c r="D24" i="5"/>
  <c r="C24" i="5"/>
  <c r="L23" i="5"/>
  <c r="K23" i="5"/>
  <c r="K24" i="5" s="1"/>
  <c r="I23" i="5"/>
  <c r="G23" i="5"/>
  <c r="F23" i="5"/>
  <c r="D23" i="5"/>
  <c r="K22" i="5"/>
  <c r="J22" i="5"/>
  <c r="I22" i="5"/>
  <c r="H22" i="5"/>
  <c r="E22" i="5"/>
  <c r="C22" i="5"/>
  <c r="L21" i="5"/>
  <c r="L22" i="5" s="1"/>
  <c r="K21" i="5"/>
  <c r="I21" i="5"/>
  <c r="I20" i="5" s="1"/>
  <c r="G21" i="5"/>
  <c r="G22" i="5" s="1"/>
  <c r="F21" i="5"/>
  <c r="F22" i="5" s="1"/>
  <c r="D21" i="5"/>
  <c r="D22" i="5" s="1"/>
  <c r="J20" i="5"/>
  <c r="H20" i="5"/>
  <c r="E20" i="5"/>
  <c r="C20" i="5"/>
  <c r="L19" i="5"/>
  <c r="L20" i="5" s="1"/>
  <c r="K19" i="5"/>
  <c r="K20" i="5" s="1"/>
  <c r="I19" i="5"/>
  <c r="G19" i="5"/>
  <c r="F19" i="5"/>
  <c r="D19" i="5"/>
  <c r="J18" i="5"/>
  <c r="I18" i="5"/>
  <c r="H18" i="5"/>
  <c r="F18" i="5"/>
  <c r="E18" i="5"/>
  <c r="D18" i="5"/>
  <c r="C18" i="5"/>
  <c r="L17" i="5"/>
  <c r="L18" i="5" s="1"/>
  <c r="K17" i="5"/>
  <c r="K18" i="5" s="1"/>
  <c r="I17" i="5"/>
  <c r="G17" i="5"/>
  <c r="F17" i="5"/>
  <c r="F16" i="5" s="1"/>
  <c r="D17" i="5"/>
  <c r="D16" i="5" s="1"/>
  <c r="J16" i="5"/>
  <c r="H16" i="5"/>
  <c r="E16" i="5"/>
  <c r="C16" i="5"/>
  <c r="L15" i="5"/>
  <c r="L16" i="5" s="1"/>
  <c r="K15" i="5"/>
  <c r="K16" i="5" s="1"/>
  <c r="I15" i="5"/>
  <c r="I16" i="5" s="1"/>
  <c r="G15" i="5"/>
  <c r="F15" i="5"/>
  <c r="D15" i="5"/>
  <c r="J14" i="5"/>
  <c r="H14" i="5"/>
  <c r="F14" i="5"/>
  <c r="E14" i="5"/>
  <c r="D14" i="5"/>
  <c r="C14" i="5"/>
  <c r="L13" i="5"/>
  <c r="L14" i="5" s="1"/>
  <c r="K13" i="5"/>
  <c r="K14" i="5" s="1"/>
  <c r="I13" i="5"/>
  <c r="G13" i="5"/>
  <c r="F13" i="5"/>
  <c r="F12" i="5" s="1"/>
  <c r="D13" i="5"/>
  <c r="D12" i="5" s="1"/>
  <c r="B13" i="5"/>
  <c r="J12" i="5"/>
  <c r="H12" i="5"/>
  <c r="E12" i="5"/>
  <c r="C12" i="5"/>
  <c r="L11" i="5"/>
  <c r="L12" i="5" s="1"/>
  <c r="K11" i="5"/>
  <c r="K12" i="5" s="1"/>
  <c r="I11" i="5"/>
  <c r="I12" i="5" s="1"/>
  <c r="G11" i="5"/>
  <c r="F11" i="5"/>
  <c r="D11" i="5"/>
  <c r="B11" i="5"/>
  <c r="B10" i="5" s="1"/>
  <c r="J10" i="5"/>
  <c r="H10" i="5"/>
  <c r="F10" i="5"/>
  <c r="E10" i="5"/>
  <c r="D10" i="5"/>
  <c r="C10" i="5"/>
  <c r="L9" i="5"/>
  <c r="L10" i="5" s="1"/>
  <c r="K9" i="5"/>
  <c r="K10" i="5" s="1"/>
  <c r="I9" i="5"/>
  <c r="G9" i="5"/>
  <c r="F9" i="5"/>
  <c r="D9" i="5"/>
  <c r="D8" i="5" s="1"/>
  <c r="L8" i="5"/>
  <c r="J8" i="5"/>
  <c r="I8" i="5"/>
  <c r="H8" i="5"/>
  <c r="E8" i="5"/>
  <c r="C8" i="5"/>
  <c r="B8" i="5"/>
  <c r="L7" i="5"/>
  <c r="K7" i="5"/>
  <c r="K8" i="5" s="1"/>
  <c r="I7" i="5"/>
  <c r="G7" i="5"/>
  <c r="G8" i="5" s="1"/>
  <c r="F7" i="5"/>
  <c r="F8" i="5" s="1"/>
  <c r="D7" i="5"/>
  <c r="E5" i="4"/>
  <c r="U4" i="4"/>
  <c r="O4" i="4" s="1"/>
  <c r="T4" i="4"/>
  <c r="Q4" i="4"/>
  <c r="J4" i="4"/>
  <c r="I4" i="4"/>
  <c r="H4" i="4"/>
  <c r="F4" i="4"/>
  <c r="K4" i="4" s="1"/>
  <c r="C4" i="4"/>
  <c r="D4" i="4" s="1"/>
  <c r="E5" i="3"/>
  <c r="E6" i="3" s="1"/>
  <c r="U4" i="3"/>
  <c r="V4" i="3" s="1"/>
  <c r="T4" i="3"/>
  <c r="Q4" i="3"/>
  <c r="J4" i="3"/>
  <c r="I4" i="3"/>
  <c r="H4" i="3"/>
  <c r="F4" i="3"/>
  <c r="K4" i="3" s="1"/>
  <c r="C4" i="3"/>
  <c r="D4" i="3" s="1"/>
  <c r="O23" i="2"/>
  <c r="M23" i="2"/>
  <c r="O22" i="2"/>
  <c r="M22" i="2"/>
  <c r="O21" i="2"/>
  <c r="M21" i="2"/>
  <c r="O20" i="2"/>
  <c r="M20" i="2"/>
  <c r="H20" i="2"/>
  <c r="H19" i="2" s="1"/>
  <c r="I19" i="2" s="1"/>
  <c r="O19" i="2"/>
  <c r="M19" i="2"/>
  <c r="O18" i="2"/>
  <c r="M18" i="2"/>
  <c r="I18" i="2"/>
  <c r="G18" i="2"/>
  <c r="F18" i="2"/>
  <c r="F19" i="2" s="1"/>
  <c r="O17" i="2"/>
  <c r="M17" i="2"/>
  <c r="H17" i="2"/>
  <c r="I17" i="2" s="1"/>
  <c r="G17" i="2"/>
  <c r="O16" i="2"/>
  <c r="M16" i="2"/>
  <c r="Q59" i="1"/>
  <c r="K59" i="1"/>
  <c r="P59" i="1" s="1"/>
  <c r="R59" i="1" s="1"/>
  <c r="S59" i="1" s="1"/>
  <c r="H59" i="1"/>
  <c r="G59" i="1"/>
  <c r="F59" i="1"/>
  <c r="E59" i="1"/>
  <c r="Q58" i="1"/>
  <c r="K58" i="1"/>
  <c r="P58" i="1" s="1"/>
  <c r="R58" i="1" s="1"/>
  <c r="S58" i="1" s="1"/>
  <c r="H58" i="1"/>
  <c r="G58" i="1"/>
  <c r="F58" i="1"/>
  <c r="E58" i="1"/>
  <c r="Q57" i="1"/>
  <c r="K57" i="1"/>
  <c r="P57" i="1" s="1"/>
  <c r="R57" i="1" s="1"/>
  <c r="S57" i="1" s="1"/>
  <c r="H57" i="1"/>
  <c r="G57" i="1"/>
  <c r="F57" i="1"/>
  <c r="E57" i="1"/>
  <c r="Q56" i="1"/>
  <c r="K56" i="1"/>
  <c r="P56" i="1" s="1"/>
  <c r="R56" i="1" s="1"/>
  <c r="S56" i="1" s="1"/>
  <c r="H56" i="1"/>
  <c r="G56" i="1"/>
  <c r="F56" i="1"/>
  <c r="E56" i="1"/>
  <c r="Q55" i="1"/>
  <c r="K55" i="1"/>
  <c r="P55" i="1" s="1"/>
  <c r="R55" i="1" s="1"/>
  <c r="S55" i="1" s="1"/>
  <c r="H55" i="1"/>
  <c r="G55" i="1"/>
  <c r="F55" i="1"/>
  <c r="E55" i="1"/>
  <c r="Q54" i="1"/>
  <c r="K54" i="1"/>
  <c r="P54" i="1" s="1"/>
  <c r="R54" i="1" s="1"/>
  <c r="S54" i="1" s="1"/>
  <c r="H54" i="1"/>
  <c r="G54" i="1"/>
  <c r="F54" i="1"/>
  <c r="E54" i="1"/>
  <c r="Q53" i="1"/>
  <c r="K53" i="1"/>
  <c r="P53" i="1" s="1"/>
  <c r="R53" i="1" s="1"/>
  <c r="S53" i="1" s="1"/>
  <c r="H53" i="1"/>
  <c r="G53" i="1"/>
  <c r="F53" i="1"/>
  <c r="E53" i="1"/>
  <c r="Q52" i="1"/>
  <c r="K52" i="1"/>
  <c r="P52" i="1" s="1"/>
  <c r="R52" i="1" s="1"/>
  <c r="S52" i="1" s="1"/>
  <c r="H52" i="1"/>
  <c r="G52" i="1"/>
  <c r="F52" i="1"/>
  <c r="E52" i="1"/>
  <c r="Q51" i="1"/>
  <c r="K51" i="1"/>
  <c r="P51" i="1" s="1"/>
  <c r="R51" i="1" s="1"/>
  <c r="S51" i="1" s="1"/>
  <c r="H51" i="1"/>
  <c r="G51" i="1"/>
  <c r="F51" i="1"/>
  <c r="E51" i="1"/>
  <c r="Q50" i="1"/>
  <c r="K50" i="1"/>
  <c r="P50" i="1" s="1"/>
  <c r="R50" i="1" s="1"/>
  <c r="S50" i="1" s="1"/>
  <c r="H50" i="1"/>
  <c r="G50" i="1"/>
  <c r="F50" i="1"/>
  <c r="E50" i="1"/>
  <c r="Q49" i="1"/>
  <c r="K49" i="1"/>
  <c r="P49" i="1" s="1"/>
  <c r="R49" i="1" s="1"/>
  <c r="S49" i="1" s="1"/>
  <c r="H49" i="1"/>
  <c r="G49" i="1"/>
  <c r="F49" i="1"/>
  <c r="E49" i="1"/>
  <c r="Q48" i="1"/>
  <c r="K48" i="1"/>
  <c r="P48" i="1" s="1"/>
  <c r="R48" i="1" s="1"/>
  <c r="S48" i="1" s="1"/>
  <c r="H48" i="1"/>
  <c r="G48" i="1"/>
  <c r="F48" i="1"/>
  <c r="E48" i="1"/>
  <c r="Q46" i="1"/>
  <c r="K46" i="1"/>
  <c r="P46" i="1" s="1"/>
  <c r="R46" i="1" s="1"/>
  <c r="S46" i="1" s="1"/>
  <c r="H46" i="1"/>
  <c r="G46" i="1"/>
  <c r="F46" i="1"/>
  <c r="E46" i="1"/>
  <c r="Q45" i="1"/>
  <c r="K45" i="1"/>
  <c r="P45" i="1" s="1"/>
  <c r="R45" i="1" s="1"/>
  <c r="S45" i="1" s="1"/>
  <c r="H45" i="1"/>
  <c r="G45" i="1"/>
  <c r="F45" i="1"/>
  <c r="E45" i="1"/>
  <c r="Q44" i="1"/>
  <c r="K44" i="1"/>
  <c r="P44" i="1" s="1"/>
  <c r="R44" i="1" s="1"/>
  <c r="S44" i="1" s="1"/>
  <c r="H44" i="1"/>
  <c r="G44" i="1"/>
  <c r="F44" i="1"/>
  <c r="E44" i="1"/>
  <c r="Q43" i="1"/>
  <c r="K43" i="1"/>
  <c r="P43" i="1" s="1"/>
  <c r="R43" i="1" s="1"/>
  <c r="S43" i="1" s="1"/>
  <c r="H43" i="1"/>
  <c r="G43" i="1"/>
  <c r="F43" i="1"/>
  <c r="E43" i="1"/>
  <c r="Q42" i="1"/>
  <c r="K42" i="1"/>
  <c r="P42" i="1" s="1"/>
  <c r="R42" i="1" s="1"/>
  <c r="S42" i="1" s="1"/>
  <c r="H42" i="1"/>
  <c r="G42" i="1"/>
  <c r="F42" i="1"/>
  <c r="E42" i="1"/>
  <c r="Q41" i="1"/>
  <c r="L41" i="1"/>
  <c r="K41" i="1"/>
  <c r="P41" i="1" s="1"/>
  <c r="R41" i="1" s="1"/>
  <c r="S41" i="1" s="1"/>
  <c r="H41" i="1"/>
  <c r="G41" i="1"/>
  <c r="F41" i="1"/>
  <c r="E41" i="1"/>
  <c r="Q40" i="1"/>
  <c r="K40" i="1"/>
  <c r="P40" i="1" s="1"/>
  <c r="R40" i="1" s="1"/>
  <c r="S40" i="1" s="1"/>
  <c r="H40" i="1"/>
  <c r="G40" i="1"/>
  <c r="F40" i="1"/>
  <c r="E40" i="1"/>
  <c r="Q39" i="1"/>
  <c r="K39" i="1"/>
  <c r="P39" i="1" s="1"/>
  <c r="R39" i="1" s="1"/>
  <c r="S39" i="1" s="1"/>
  <c r="H39" i="1"/>
  <c r="G39" i="1"/>
  <c r="F39" i="1"/>
  <c r="E39" i="1"/>
  <c r="Q38" i="1"/>
  <c r="K38" i="1"/>
  <c r="P38" i="1" s="1"/>
  <c r="R38" i="1" s="1"/>
  <c r="S38" i="1" s="1"/>
  <c r="H38" i="1"/>
  <c r="G38" i="1"/>
  <c r="F38" i="1"/>
  <c r="E38" i="1"/>
  <c r="Q37" i="1"/>
  <c r="K37" i="1"/>
  <c r="M37" i="1" s="1"/>
  <c r="N37" i="1" s="1"/>
  <c r="H37" i="1"/>
  <c r="G37" i="1"/>
  <c r="F37" i="1"/>
  <c r="E37" i="1"/>
  <c r="Q36" i="1"/>
  <c r="K36" i="1"/>
  <c r="M36" i="1" s="1"/>
  <c r="N36" i="1" s="1"/>
  <c r="H36" i="1"/>
  <c r="G36" i="1"/>
  <c r="F36" i="1"/>
  <c r="E36" i="1"/>
  <c r="Q35" i="1"/>
  <c r="K35" i="1"/>
  <c r="P35" i="1" s="1"/>
  <c r="R35" i="1" s="1"/>
  <c r="S35" i="1" s="1"/>
  <c r="H35" i="1"/>
  <c r="G35" i="1"/>
  <c r="F35" i="1"/>
  <c r="E35" i="1"/>
  <c r="Q33" i="1"/>
  <c r="K33" i="1"/>
  <c r="P33" i="1" s="1"/>
  <c r="R33" i="1" s="1"/>
  <c r="S33" i="1" s="1"/>
  <c r="G33" i="1"/>
  <c r="F33" i="1"/>
  <c r="H33" i="1" s="1"/>
  <c r="E33" i="1"/>
  <c r="Q32" i="1"/>
  <c r="K32" i="1"/>
  <c r="P32" i="1" s="1"/>
  <c r="R32" i="1" s="1"/>
  <c r="S32" i="1" s="1"/>
  <c r="G32" i="1"/>
  <c r="F32" i="1"/>
  <c r="H32" i="1" s="1"/>
  <c r="E32" i="1"/>
  <c r="Q31" i="1"/>
  <c r="K31" i="1"/>
  <c r="P31" i="1" s="1"/>
  <c r="G31" i="1"/>
  <c r="F31" i="1"/>
  <c r="H31" i="1" s="1"/>
  <c r="E31" i="1"/>
  <c r="Q30" i="1"/>
  <c r="K30" i="1"/>
  <c r="P30" i="1" s="1"/>
  <c r="G30" i="1"/>
  <c r="F30" i="1"/>
  <c r="H30" i="1" s="1"/>
  <c r="E30" i="1"/>
  <c r="Q29" i="1"/>
  <c r="K29" i="1"/>
  <c r="M29" i="1" s="1"/>
  <c r="N29" i="1" s="1"/>
  <c r="G29" i="1"/>
  <c r="F29" i="1"/>
  <c r="H29" i="1" s="1"/>
  <c r="E29" i="1"/>
  <c r="Q28" i="1"/>
  <c r="K28" i="1"/>
  <c r="P28" i="1" s="1"/>
  <c r="G28" i="1"/>
  <c r="F28" i="1"/>
  <c r="H28" i="1" s="1"/>
  <c r="E28" i="1"/>
  <c r="Q27" i="1"/>
  <c r="K27" i="1"/>
  <c r="P27" i="1" s="1"/>
  <c r="G27" i="1"/>
  <c r="F27" i="1"/>
  <c r="H27" i="1" s="1"/>
  <c r="E27" i="1"/>
  <c r="Q26" i="1"/>
  <c r="K26" i="1"/>
  <c r="M26" i="1" s="1"/>
  <c r="G26" i="1"/>
  <c r="F26" i="1"/>
  <c r="H26" i="1" s="1"/>
  <c r="E26" i="1"/>
  <c r="Q25" i="1"/>
  <c r="K25" i="1"/>
  <c r="M25" i="1" s="1"/>
  <c r="G25" i="1"/>
  <c r="F25" i="1"/>
  <c r="H25" i="1" s="1"/>
  <c r="E25" i="1"/>
  <c r="Q24" i="1"/>
  <c r="K24" i="1"/>
  <c r="P24" i="1" s="1"/>
  <c r="G24" i="1"/>
  <c r="F24" i="1"/>
  <c r="H24" i="1" s="1"/>
  <c r="E24" i="1"/>
  <c r="Q23" i="1"/>
  <c r="K23" i="1"/>
  <c r="P23" i="1" s="1"/>
  <c r="G23" i="1"/>
  <c r="F23" i="1"/>
  <c r="H23" i="1" s="1"/>
  <c r="E23" i="1"/>
  <c r="Q22" i="1"/>
  <c r="K22" i="1"/>
  <c r="P22" i="1" s="1"/>
  <c r="G22" i="1"/>
  <c r="F22" i="1"/>
  <c r="H22" i="1" s="1"/>
  <c r="E22" i="1"/>
  <c r="R31" i="1" l="1"/>
  <c r="S31" i="1" s="1"/>
  <c r="R30" i="1"/>
  <c r="S30" i="1" s="1"/>
  <c r="N25" i="1"/>
  <c r="R23" i="1"/>
  <c r="S23" i="1" s="1"/>
  <c r="R28" i="1"/>
  <c r="S28" i="1" s="1"/>
  <c r="N26" i="1"/>
  <c r="R24" i="1"/>
  <c r="S24" i="1" s="1"/>
  <c r="R22" i="1"/>
  <c r="S22" i="1" s="1"/>
  <c r="R27" i="1"/>
  <c r="S27" i="1" s="1"/>
  <c r="L51" i="1"/>
  <c r="L55" i="1"/>
  <c r="L49" i="1"/>
  <c r="L39" i="1"/>
  <c r="L48" i="1"/>
  <c r="L53" i="1"/>
  <c r="L50" i="1"/>
  <c r="L40" i="1"/>
  <c r="L52" i="1"/>
  <c r="L54" i="1"/>
  <c r="L42" i="1"/>
  <c r="L44" i="1"/>
  <c r="M50" i="1"/>
  <c r="N50" i="1" s="1"/>
  <c r="L57" i="1"/>
  <c r="L46" i="1"/>
  <c r="L59" i="1"/>
  <c r="L43" i="1"/>
  <c r="L56" i="1"/>
  <c r="L45" i="1"/>
  <c r="L58" i="1"/>
  <c r="G19" i="2"/>
  <c r="F20" i="2"/>
  <c r="L4" i="3"/>
  <c r="M4" i="3" s="1"/>
  <c r="I5" i="3"/>
  <c r="F6" i="3"/>
  <c r="E7" i="3"/>
  <c r="L23" i="1"/>
  <c r="L26" i="1"/>
  <c r="L32" i="1"/>
  <c r="L35" i="1"/>
  <c r="L38" i="1"/>
  <c r="L25" i="1"/>
  <c r="M24" i="1"/>
  <c r="N24" i="1" s="1"/>
  <c r="M31" i="1"/>
  <c r="N31" i="1" s="1"/>
  <c r="M35" i="1"/>
  <c r="N35" i="1" s="1"/>
  <c r="M40" i="1"/>
  <c r="N40" i="1" s="1"/>
  <c r="M42" i="1"/>
  <c r="N42" i="1" s="1"/>
  <c r="M43" i="1"/>
  <c r="N43" i="1" s="1"/>
  <c r="M44" i="1"/>
  <c r="N44" i="1" s="1"/>
  <c r="M45" i="1"/>
  <c r="N45" i="1" s="1"/>
  <c r="M46" i="1"/>
  <c r="N46" i="1" s="1"/>
  <c r="M48" i="1"/>
  <c r="N48" i="1" s="1"/>
  <c r="M49" i="1"/>
  <c r="N49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F5" i="3"/>
  <c r="L27" i="1"/>
  <c r="L33" i="1"/>
  <c r="L37" i="1"/>
  <c r="M23" i="1"/>
  <c r="N23" i="1" s="1"/>
  <c r="M30" i="1"/>
  <c r="N30" i="1" s="1"/>
  <c r="M41" i="1"/>
  <c r="N41" i="1" s="1"/>
  <c r="L24" i="1"/>
  <c r="L31" i="1"/>
  <c r="L36" i="1"/>
  <c r="M22" i="1"/>
  <c r="N22" i="1" s="1"/>
  <c r="M28" i="1"/>
  <c r="N28" i="1" s="1"/>
  <c r="M38" i="1"/>
  <c r="N38" i="1" s="1"/>
  <c r="P26" i="1"/>
  <c r="R26" i="1" s="1"/>
  <c r="S26" i="1" s="1"/>
  <c r="P36" i="1"/>
  <c r="R36" i="1" s="1"/>
  <c r="S36" i="1" s="1"/>
  <c r="H22" i="2"/>
  <c r="L28" i="1"/>
  <c r="M33" i="1"/>
  <c r="N33" i="1" s="1"/>
  <c r="M39" i="1"/>
  <c r="N39" i="1" s="1"/>
  <c r="P29" i="1"/>
  <c r="R29" i="1" s="1"/>
  <c r="S29" i="1" s="1"/>
  <c r="P37" i="1"/>
  <c r="R37" i="1" s="1"/>
  <c r="S37" i="1" s="1"/>
  <c r="I20" i="2"/>
  <c r="L22" i="1"/>
  <c r="L30" i="1"/>
  <c r="M27" i="1"/>
  <c r="N27" i="1" s="1"/>
  <c r="M32" i="1"/>
  <c r="N32" i="1" s="1"/>
  <c r="P25" i="1"/>
  <c r="R25" i="1" s="1"/>
  <c r="S25" i="1" s="1"/>
  <c r="L29" i="1"/>
  <c r="L4" i="4"/>
  <c r="M4" i="4" s="1"/>
  <c r="I5" i="4"/>
  <c r="P4" i="4"/>
  <c r="G4" i="4" s="1"/>
  <c r="E6" i="4"/>
  <c r="F5" i="4"/>
  <c r="R4" i="4"/>
  <c r="S4" i="4" s="1"/>
  <c r="T5" i="4" s="1"/>
  <c r="U5" i="4"/>
  <c r="V4" i="4"/>
  <c r="G20" i="5"/>
  <c r="G18" i="5"/>
  <c r="G16" i="5"/>
  <c r="G14" i="5"/>
  <c r="G12" i="5"/>
  <c r="G10" i="5"/>
  <c r="I42" i="5"/>
  <c r="I40" i="5"/>
  <c r="I66" i="5"/>
  <c r="I64" i="5"/>
  <c r="I98" i="5"/>
  <c r="I96" i="5"/>
  <c r="I130" i="5"/>
  <c r="I128" i="5"/>
  <c r="B14" i="5"/>
  <c r="D28" i="5"/>
  <c r="D26" i="5"/>
  <c r="I126" i="5"/>
  <c r="I124" i="5"/>
  <c r="I154" i="5"/>
  <c r="I152" i="5"/>
  <c r="I62" i="5"/>
  <c r="I60" i="5"/>
  <c r="I94" i="5"/>
  <c r="I92" i="5"/>
  <c r="I122" i="5"/>
  <c r="I120" i="5"/>
  <c r="I38" i="5"/>
  <c r="I36" i="5"/>
  <c r="I118" i="5"/>
  <c r="I116" i="5"/>
  <c r="I150" i="5"/>
  <c r="I148" i="5"/>
  <c r="J4" i="6"/>
  <c r="J124" i="6"/>
  <c r="B12" i="5"/>
  <c r="G30" i="5"/>
  <c r="I58" i="5"/>
  <c r="I56" i="5"/>
  <c r="I90" i="5"/>
  <c r="I88" i="5"/>
  <c r="I114" i="5"/>
  <c r="I112" i="5"/>
  <c r="I10" i="5"/>
  <c r="K5" i="5" s="1"/>
  <c r="I14" i="5"/>
  <c r="I30" i="5"/>
  <c r="I28" i="5"/>
  <c r="I34" i="5"/>
  <c r="I32" i="5"/>
  <c r="I146" i="5"/>
  <c r="I144" i="5"/>
  <c r="D20" i="5"/>
  <c r="F5" i="5" s="1"/>
  <c r="F24" i="5"/>
  <c r="G26" i="5"/>
  <c r="I54" i="5"/>
  <c r="I52" i="5"/>
  <c r="I86" i="5"/>
  <c r="I84" i="5"/>
  <c r="I110" i="5"/>
  <c r="I108" i="5"/>
  <c r="I142" i="5"/>
  <c r="I140" i="5"/>
  <c r="I50" i="5"/>
  <c r="I48" i="5"/>
  <c r="I82" i="5"/>
  <c r="I80" i="5"/>
  <c r="I106" i="5"/>
  <c r="I104" i="5"/>
  <c r="J100" i="6"/>
  <c r="B15" i="5"/>
  <c r="F26" i="5"/>
  <c r="I78" i="5"/>
  <c r="I76" i="5"/>
  <c r="I138" i="5"/>
  <c r="I136" i="5"/>
  <c r="D164" i="5"/>
  <c r="D162" i="5"/>
  <c r="L24" i="5"/>
  <c r="I46" i="5"/>
  <c r="I44" i="5"/>
  <c r="I74" i="5"/>
  <c r="I72" i="5"/>
  <c r="I102" i="5"/>
  <c r="I100" i="5"/>
  <c r="F20" i="5"/>
  <c r="I70" i="5"/>
  <c r="I68" i="5"/>
  <c r="I134" i="5"/>
  <c r="I132" i="5"/>
  <c r="J76" i="6"/>
  <c r="J148" i="6"/>
  <c r="F164" i="5"/>
  <c r="B78" i="6"/>
  <c r="B102" i="6"/>
  <c r="B126" i="6"/>
  <c r="B150" i="6"/>
  <c r="B100" i="6"/>
  <c r="B124" i="6"/>
  <c r="B148" i="6"/>
  <c r="B122" i="6"/>
  <c r="B146" i="6"/>
  <c r="B72" i="6"/>
  <c r="B96" i="6"/>
  <c r="B120" i="6"/>
  <c r="B144" i="6"/>
  <c r="D62" i="5"/>
  <c r="D66" i="5"/>
  <c r="D70" i="5"/>
  <c r="D74" i="5"/>
  <c r="D78" i="5"/>
  <c r="D82" i="5"/>
  <c r="D86" i="5"/>
  <c r="D90" i="5"/>
  <c r="D94" i="5"/>
  <c r="D98" i="5"/>
  <c r="D102" i="5"/>
  <c r="D106" i="5"/>
  <c r="D110" i="5"/>
  <c r="D114" i="5"/>
  <c r="D118" i="5"/>
  <c r="D122" i="5"/>
  <c r="D126" i="5"/>
  <c r="D130" i="5"/>
  <c r="D134" i="5"/>
  <c r="D138" i="5"/>
  <c r="D142" i="5"/>
  <c r="D146" i="5"/>
  <c r="D150" i="5"/>
  <c r="D154" i="5"/>
  <c r="B70" i="6"/>
  <c r="B94" i="6"/>
  <c r="B118" i="6"/>
  <c r="B142" i="6"/>
  <c r="G158" i="5"/>
  <c r="B68" i="6"/>
  <c r="B92" i="6"/>
  <c r="B116" i="6"/>
  <c r="B140" i="6"/>
  <c r="L156" i="5"/>
  <c r="L164" i="5"/>
  <c r="L166" i="5"/>
  <c r="B66" i="6"/>
  <c r="B90" i="6"/>
  <c r="B114" i="6"/>
  <c r="B138" i="6"/>
  <c r="B162" i="6"/>
  <c r="G154" i="5"/>
  <c r="F160" i="5"/>
  <c r="B64" i="6"/>
  <c r="B88" i="6"/>
  <c r="B112" i="6"/>
  <c r="B136" i="6"/>
  <c r="B160" i="6"/>
  <c r="B62" i="6"/>
  <c r="B86" i="6"/>
  <c r="B110" i="6"/>
  <c r="B134" i="6"/>
  <c r="B158" i="6"/>
  <c r="B12" i="6"/>
  <c r="B36" i="6"/>
  <c r="B60" i="6"/>
  <c r="B84" i="6"/>
  <c r="B108" i="6"/>
  <c r="B132" i="6"/>
  <c r="B156" i="6"/>
  <c r="G162" i="5"/>
  <c r="B34" i="6"/>
  <c r="B58" i="6"/>
  <c r="B82" i="6"/>
  <c r="B106" i="6"/>
  <c r="B130" i="6"/>
  <c r="B154" i="6"/>
  <c r="F6" i="4" l="1"/>
  <c r="E7" i="4"/>
  <c r="E8" i="3"/>
  <c r="F7" i="3"/>
  <c r="K6" i="3"/>
  <c r="H5" i="4"/>
  <c r="J5" i="4" s="1"/>
  <c r="K5" i="4"/>
  <c r="N5" i="4"/>
  <c r="H5" i="3"/>
  <c r="H21" i="2"/>
  <c r="I21" i="2" s="1"/>
  <c r="I22" i="2"/>
  <c r="H24" i="2"/>
  <c r="F21" i="2"/>
  <c r="G20" i="2"/>
  <c r="B17" i="5"/>
  <c r="V5" i="4"/>
  <c r="K5" i="3"/>
  <c r="B19" i="5" l="1"/>
  <c r="Q5" i="4"/>
  <c r="G21" i="2"/>
  <c r="F22" i="2"/>
  <c r="B16" i="5"/>
  <c r="H26" i="2"/>
  <c r="H23" i="2"/>
  <c r="I23" i="2" s="1"/>
  <c r="I24" i="2"/>
  <c r="E9" i="3"/>
  <c r="F8" i="3"/>
  <c r="L6" i="3"/>
  <c r="E8" i="4"/>
  <c r="F7" i="4"/>
  <c r="I6" i="4"/>
  <c r="L5" i="4"/>
  <c r="M5" i="4" s="1"/>
  <c r="L5" i="3"/>
  <c r="M5" i="3" s="1"/>
  <c r="M6" i="3" s="1"/>
  <c r="K7" i="3"/>
  <c r="J5" i="3"/>
  <c r="K6" i="4"/>
  <c r="H25" i="2" l="1"/>
  <c r="I25" i="2" s="1"/>
  <c r="H28" i="2"/>
  <c r="I26" i="2"/>
  <c r="F23" i="2"/>
  <c r="G22" i="2"/>
  <c r="H6" i="4"/>
  <c r="J6" i="4" s="1"/>
  <c r="K7" i="4"/>
  <c r="K8" i="3"/>
  <c r="B21" i="5"/>
  <c r="B20" i="5" s="1"/>
  <c r="F8" i="4"/>
  <c r="E9" i="4"/>
  <c r="L6" i="4"/>
  <c r="M6" i="4" s="1"/>
  <c r="E10" i="3"/>
  <c r="F9" i="3"/>
  <c r="B18" i="5"/>
  <c r="K8" i="4" l="1"/>
  <c r="F10" i="3"/>
  <c r="E11" i="3"/>
  <c r="G23" i="2"/>
  <c r="F24" i="2"/>
  <c r="L7" i="4"/>
  <c r="M7" i="4" s="1"/>
  <c r="E10" i="4"/>
  <c r="F9" i="4"/>
  <c r="H30" i="2"/>
  <c r="I28" i="2"/>
  <c r="H27" i="2"/>
  <c r="I27" i="2" s="1"/>
  <c r="B23" i="5"/>
  <c r="K9" i="3"/>
  <c r="K9" i="4" l="1"/>
  <c r="F25" i="2"/>
  <c r="F26" i="2" s="1"/>
  <c r="F27" i="2" s="1"/>
  <c r="F28" i="2" s="1"/>
  <c r="F29" i="2" s="1"/>
  <c r="F30" i="2" s="1"/>
  <c r="F31" i="2" s="1"/>
  <c r="F32" i="2" s="1"/>
  <c r="F33" i="2" s="1"/>
  <c r="F34" i="2" s="1"/>
  <c r="F35" i="2" s="1"/>
  <c r="F36" i="2" s="1"/>
  <c r="G24" i="2"/>
  <c r="F10" i="4"/>
  <c r="E11" i="4"/>
  <c r="E12" i="3"/>
  <c r="F11" i="3"/>
  <c r="K10" i="3"/>
  <c r="B25" i="5"/>
  <c r="B22" i="5"/>
  <c r="H29" i="2"/>
  <c r="I29" i="2" s="1"/>
  <c r="H32" i="2"/>
  <c r="I30" i="2"/>
  <c r="F12" i="3" l="1"/>
  <c r="E13" i="3"/>
  <c r="E12" i="4"/>
  <c r="F11" i="4"/>
  <c r="B27" i="5"/>
  <c r="B26" i="5"/>
  <c r="B24" i="5"/>
  <c r="H34" i="2"/>
  <c r="H31" i="2"/>
  <c r="I31" i="2" s="1"/>
  <c r="K10" i="4"/>
  <c r="K11" i="3"/>
  <c r="B29" i="5" l="1"/>
  <c r="B28" i="5"/>
  <c r="K11" i="4"/>
  <c r="E14" i="3"/>
  <c r="F13" i="3"/>
  <c r="H33" i="2"/>
  <c r="H36" i="2"/>
  <c r="H35" i="2" s="1"/>
  <c r="F12" i="4"/>
  <c r="E13" i="4"/>
  <c r="K12" i="3"/>
  <c r="F14" i="3" l="1"/>
  <c r="E15" i="3"/>
  <c r="K13" i="3"/>
  <c r="B31" i="5"/>
  <c r="B30" i="5" s="1"/>
  <c r="E14" i="4"/>
  <c r="F13" i="4"/>
  <c r="K12" i="4"/>
  <c r="F14" i="4" l="1"/>
  <c r="E15" i="4"/>
  <c r="K13" i="4"/>
  <c r="E16" i="3"/>
  <c r="F15" i="3"/>
  <c r="B33" i="5"/>
  <c r="K14" i="3"/>
  <c r="K15" i="3" l="1"/>
  <c r="B35" i="5"/>
  <c r="B34" i="5"/>
  <c r="B32" i="5"/>
  <c r="E17" i="3"/>
  <c r="F16" i="3"/>
  <c r="E16" i="4"/>
  <c r="F15" i="4"/>
  <c r="K14" i="4"/>
  <c r="K15" i="4" l="1"/>
  <c r="K16" i="3"/>
  <c r="E18" i="3"/>
  <c r="F17" i="3"/>
  <c r="B37" i="5"/>
  <c r="F16" i="4"/>
  <c r="E17" i="4"/>
  <c r="K16" i="4" l="1"/>
  <c r="E18" i="4"/>
  <c r="F17" i="4"/>
  <c r="B39" i="5"/>
  <c r="B36" i="5"/>
  <c r="K17" i="3"/>
  <c r="F18" i="3"/>
  <c r="E19" i="3"/>
  <c r="B41" i="5" l="1"/>
  <c r="B38" i="5"/>
  <c r="K18" i="3"/>
  <c r="K17" i="4"/>
  <c r="F18" i="4"/>
  <c r="E19" i="4"/>
  <c r="E20" i="3"/>
  <c r="F19" i="3"/>
  <c r="E20" i="4" l="1"/>
  <c r="F19" i="4"/>
  <c r="K18" i="4"/>
  <c r="B43" i="5"/>
  <c r="B42" i="5" s="1"/>
  <c r="K19" i="3"/>
  <c r="B40" i="5"/>
  <c r="F20" i="3"/>
  <c r="E21" i="3"/>
  <c r="B45" i="5" l="1"/>
  <c r="K19" i="4"/>
  <c r="E22" i="3"/>
  <c r="F21" i="3"/>
  <c r="E21" i="4"/>
  <c r="F20" i="4"/>
  <c r="K20" i="3"/>
  <c r="F21" i="4" l="1"/>
  <c r="E22" i="4"/>
  <c r="K20" i="4"/>
  <c r="K21" i="3"/>
  <c r="F22" i="3"/>
  <c r="E23" i="3"/>
  <c r="B47" i="5"/>
  <c r="B44" i="5"/>
  <c r="B49" i="5" l="1"/>
  <c r="K22" i="3"/>
  <c r="B46" i="5"/>
  <c r="E24" i="3"/>
  <c r="F23" i="3"/>
  <c r="E23" i="4"/>
  <c r="F22" i="4"/>
  <c r="K21" i="4"/>
  <c r="E24" i="4" l="1"/>
  <c r="F23" i="4"/>
  <c r="F24" i="3"/>
  <c r="E25" i="3"/>
  <c r="K23" i="3"/>
  <c r="B51" i="5"/>
  <c r="K22" i="4"/>
  <c r="B48" i="5"/>
  <c r="B53" i="5" l="1"/>
  <c r="E26" i="3"/>
  <c r="F25" i="3"/>
  <c r="B50" i="5"/>
  <c r="K24" i="3"/>
  <c r="K23" i="4"/>
  <c r="E25" i="4"/>
  <c r="F24" i="4"/>
  <c r="E26" i="4" l="1"/>
  <c r="F25" i="4"/>
  <c r="K25" i="3"/>
  <c r="K24" i="4"/>
  <c r="F26" i="3"/>
  <c r="E27" i="3"/>
  <c r="B55" i="5"/>
  <c r="B54" i="5" s="1"/>
  <c r="B52" i="5"/>
  <c r="K26" i="3" l="1"/>
  <c r="B57" i="5"/>
  <c r="E28" i="3"/>
  <c r="F27" i="3"/>
  <c r="K25" i="4"/>
  <c r="E27" i="4"/>
  <c r="F26" i="4"/>
  <c r="B59" i="5" l="1"/>
  <c r="K27" i="3"/>
  <c r="F28" i="3"/>
  <c r="E29" i="3"/>
  <c r="B56" i="5"/>
  <c r="K26" i="4"/>
  <c r="E28" i="4"/>
  <c r="F27" i="4"/>
  <c r="E30" i="3" l="1"/>
  <c r="F29" i="3"/>
  <c r="K28" i="3"/>
  <c r="B61" i="5"/>
  <c r="K27" i="4"/>
  <c r="B58" i="5"/>
  <c r="E29" i="4"/>
  <c r="F28" i="4"/>
  <c r="E30" i="4" l="1"/>
  <c r="F29" i="4"/>
  <c r="B63" i="5"/>
  <c r="B60" i="5"/>
  <c r="K29" i="3"/>
  <c r="K28" i="4"/>
  <c r="F30" i="3"/>
  <c r="E31" i="3"/>
  <c r="K30" i="3" l="1"/>
  <c r="B65" i="5"/>
  <c r="B62" i="5"/>
  <c r="E32" i="3"/>
  <c r="F31" i="3"/>
  <c r="K29" i="4"/>
  <c r="F30" i="4"/>
  <c r="E31" i="4"/>
  <c r="K31" i="3" l="1"/>
  <c r="B67" i="5"/>
  <c r="E32" i="4"/>
  <c r="F31" i="4"/>
  <c r="F32" i="3"/>
  <c r="E33" i="3"/>
  <c r="B64" i="5"/>
  <c r="K30" i="4"/>
  <c r="F32" i="4" l="1"/>
  <c r="E33" i="4"/>
  <c r="E34" i="3"/>
  <c r="F33" i="3"/>
  <c r="K31" i="4"/>
  <c r="B69" i="5"/>
  <c r="K32" i="3"/>
  <c r="B66" i="5"/>
  <c r="B71" i="5" l="1"/>
  <c r="K33" i="3"/>
  <c r="B68" i="5"/>
  <c r="F34" i="3"/>
  <c r="E35" i="3"/>
  <c r="E34" i="4"/>
  <c r="F33" i="4"/>
  <c r="K32" i="4"/>
  <c r="F34" i="4" l="1"/>
  <c r="E35" i="4"/>
  <c r="B73" i="5"/>
  <c r="E36" i="3"/>
  <c r="F35" i="3"/>
  <c r="K34" i="3"/>
  <c r="B70" i="5"/>
  <c r="K33" i="4"/>
  <c r="B75" i="5" l="1"/>
  <c r="K35" i="3"/>
  <c r="F36" i="3"/>
  <c r="E37" i="3"/>
  <c r="B72" i="5"/>
  <c r="E36" i="4"/>
  <c r="F35" i="4"/>
  <c r="K34" i="4"/>
  <c r="F36" i="4" l="1"/>
  <c r="E37" i="4"/>
  <c r="E38" i="3"/>
  <c r="F37" i="3"/>
  <c r="K36" i="3"/>
  <c r="B77" i="5"/>
  <c r="K35" i="4"/>
  <c r="B74" i="5"/>
  <c r="B79" i="5" l="1"/>
  <c r="B76" i="5"/>
  <c r="K37" i="3"/>
  <c r="E39" i="3"/>
  <c r="F38" i="3"/>
  <c r="E38" i="4"/>
  <c r="F37" i="4"/>
  <c r="K36" i="4"/>
  <c r="E40" i="3" l="1"/>
  <c r="F39" i="3"/>
  <c r="F38" i="4"/>
  <c r="E39" i="4"/>
  <c r="K38" i="3"/>
  <c r="K37" i="4"/>
  <c r="B81" i="5"/>
  <c r="B78" i="5"/>
  <c r="E40" i="4" l="1"/>
  <c r="F39" i="4"/>
  <c r="K38" i="4"/>
  <c r="B83" i="5"/>
  <c r="B82" i="5" s="1"/>
  <c r="K39" i="3"/>
  <c r="B80" i="5"/>
  <c r="E41" i="3"/>
  <c r="F40" i="3"/>
  <c r="K40" i="3" l="1"/>
  <c r="B84" i="5"/>
  <c r="B85" i="5"/>
  <c r="K39" i="4"/>
  <c r="F40" i="4"/>
  <c r="E41" i="4"/>
  <c r="F41" i="3"/>
  <c r="E42" i="3"/>
  <c r="K41" i="3" l="1"/>
  <c r="E42" i="4"/>
  <c r="F41" i="4"/>
  <c r="K40" i="4"/>
  <c r="E43" i="3"/>
  <c r="F42" i="3"/>
  <c r="B87" i="5"/>
  <c r="B89" i="5" l="1"/>
  <c r="E44" i="3"/>
  <c r="F43" i="3"/>
  <c r="B86" i="5"/>
  <c r="K42" i="3"/>
  <c r="K41" i="4"/>
  <c r="F42" i="4"/>
  <c r="E43" i="4"/>
  <c r="K43" i="3" l="1"/>
  <c r="E44" i="4"/>
  <c r="F43" i="4"/>
  <c r="K42" i="4"/>
  <c r="B91" i="5"/>
  <c r="F44" i="3"/>
  <c r="E45" i="3"/>
  <c r="B88" i="5"/>
  <c r="B93" i="5" l="1"/>
  <c r="B90" i="5"/>
  <c r="K43" i="4"/>
  <c r="F44" i="4"/>
  <c r="E45" i="4"/>
  <c r="E46" i="3"/>
  <c r="F45" i="3"/>
  <c r="K44" i="3"/>
  <c r="B95" i="5" l="1"/>
  <c r="B94" i="5" s="1"/>
  <c r="E47" i="3"/>
  <c r="F46" i="3"/>
  <c r="E46" i="4"/>
  <c r="F45" i="4"/>
  <c r="K44" i="4"/>
  <c r="K45" i="3"/>
  <c r="B92" i="5"/>
  <c r="K45" i="4" l="1"/>
  <c r="F46" i="4"/>
  <c r="E47" i="4"/>
  <c r="E48" i="3"/>
  <c r="F47" i="3"/>
  <c r="K46" i="3"/>
  <c r="B97" i="5"/>
  <c r="B96" i="5" s="1"/>
  <c r="E48" i="4" l="1"/>
  <c r="F47" i="4"/>
  <c r="K47" i="3"/>
  <c r="K46" i="4"/>
  <c r="B99" i="5"/>
  <c r="E49" i="3"/>
  <c r="F48" i="3"/>
  <c r="K48" i="3" l="1"/>
  <c r="B101" i="5"/>
  <c r="E50" i="3"/>
  <c r="F49" i="3"/>
  <c r="B98" i="5"/>
  <c r="K47" i="4"/>
  <c r="F48" i="4"/>
  <c r="E49" i="4"/>
  <c r="B103" i="5" l="1"/>
  <c r="K49" i="3"/>
  <c r="F50" i="3"/>
  <c r="E51" i="3"/>
  <c r="B100" i="5"/>
  <c r="E50" i="4"/>
  <c r="F49" i="4"/>
  <c r="K48" i="4"/>
  <c r="F50" i="4" l="1"/>
  <c r="E51" i="4"/>
  <c r="E52" i="3"/>
  <c r="F51" i="3"/>
  <c r="B105" i="5"/>
  <c r="K50" i="3"/>
  <c r="B102" i="5"/>
  <c r="K49" i="4"/>
  <c r="B107" i="5" l="1"/>
  <c r="K51" i="3"/>
  <c r="E52" i="4"/>
  <c r="F51" i="4"/>
  <c r="B104" i="5"/>
  <c r="F52" i="3"/>
  <c r="E53" i="3"/>
  <c r="P49" i="4"/>
  <c r="G49" i="4" s="1"/>
  <c r="K50" i="4"/>
  <c r="P50" i="4" l="1"/>
  <c r="G50" i="4" s="1"/>
  <c r="E54" i="3"/>
  <c r="F53" i="3"/>
  <c r="K52" i="3"/>
  <c r="K51" i="4"/>
  <c r="B109" i="5"/>
  <c r="F52" i="4"/>
  <c r="E53" i="4"/>
  <c r="B106" i="5"/>
  <c r="P51" i="4" l="1"/>
  <c r="G51" i="4" s="1"/>
  <c r="F54" i="3"/>
  <c r="E55" i="3"/>
  <c r="B111" i="5"/>
  <c r="B108" i="5"/>
  <c r="K53" i="3"/>
  <c r="E54" i="4"/>
  <c r="F53" i="4"/>
  <c r="K52" i="4"/>
  <c r="E56" i="3" l="1"/>
  <c r="F55" i="3"/>
  <c r="F54" i="4"/>
  <c r="E55" i="4"/>
  <c r="B113" i="5"/>
  <c r="B112" i="5" s="1"/>
  <c r="B110" i="5"/>
  <c r="P52" i="4"/>
  <c r="G52" i="4" s="1"/>
  <c r="K54" i="3"/>
  <c r="K53" i="4"/>
  <c r="K54" i="4" l="1"/>
  <c r="F56" i="3"/>
  <c r="E57" i="3"/>
  <c r="E56" i="4"/>
  <c r="F55" i="4"/>
  <c r="P53" i="4"/>
  <c r="G53" i="4" s="1"/>
  <c r="B115" i="5"/>
  <c r="K55" i="3"/>
  <c r="E58" i="3" l="1"/>
  <c r="F57" i="3"/>
  <c r="B117" i="5"/>
  <c r="F56" i="4"/>
  <c r="E57" i="4"/>
  <c r="P54" i="4"/>
  <c r="G54" i="4" s="1"/>
  <c r="B114" i="5"/>
  <c r="K55" i="4"/>
  <c r="K56" i="3"/>
  <c r="P55" i="4" l="1"/>
  <c r="G55" i="4" s="1"/>
  <c r="K56" i="4"/>
  <c r="B119" i="5"/>
  <c r="E58" i="4"/>
  <c r="F57" i="4"/>
  <c r="B116" i="5"/>
  <c r="K57" i="3"/>
  <c r="F58" i="3"/>
  <c r="E59" i="3"/>
  <c r="K57" i="4" l="1"/>
  <c r="B121" i="5"/>
  <c r="B118" i="5"/>
  <c r="P56" i="4"/>
  <c r="G56" i="4" s="1"/>
  <c r="E60" i="3"/>
  <c r="F59" i="3"/>
  <c r="K58" i="3"/>
  <c r="F58" i="4"/>
  <c r="E59" i="4"/>
  <c r="F60" i="3" l="1"/>
  <c r="E61" i="3"/>
  <c r="E60" i="4"/>
  <c r="F59" i="4"/>
  <c r="K59" i="3"/>
  <c r="K58" i="4"/>
  <c r="B123" i="5"/>
  <c r="B120" i="5"/>
  <c r="P57" i="4"/>
  <c r="G57" i="4" s="1"/>
  <c r="B125" i="5" l="1"/>
  <c r="B122" i="5"/>
  <c r="E62" i="3"/>
  <c r="F61" i="3"/>
  <c r="P58" i="4"/>
  <c r="G58" i="4" s="1"/>
  <c r="K59" i="4"/>
  <c r="F60" i="4"/>
  <c r="E61" i="4"/>
  <c r="K60" i="3"/>
  <c r="K60" i="4" l="1"/>
  <c r="K61" i="3"/>
  <c r="B127" i="5"/>
  <c r="P59" i="4"/>
  <c r="G59" i="4" s="1"/>
  <c r="F62" i="3"/>
  <c r="E63" i="3"/>
  <c r="E62" i="4"/>
  <c r="F61" i="4"/>
  <c r="B124" i="5"/>
  <c r="E64" i="3" l="1"/>
  <c r="F63" i="3"/>
  <c r="K62" i="3"/>
  <c r="B129" i="5"/>
  <c r="K61" i="4"/>
  <c r="P60" i="4"/>
  <c r="G60" i="4" s="1"/>
  <c r="B126" i="5"/>
  <c r="F62" i="4"/>
  <c r="E63" i="4"/>
  <c r="E64" i="4" l="1"/>
  <c r="F63" i="4"/>
  <c r="B131" i="5"/>
  <c r="K63" i="3"/>
  <c r="K62" i="4"/>
  <c r="B128" i="5"/>
  <c r="P61" i="4"/>
  <c r="G61" i="4" s="1"/>
  <c r="F64" i="3"/>
  <c r="E65" i="3"/>
  <c r="P62" i="4" l="1"/>
  <c r="G62" i="4" s="1"/>
  <c r="B133" i="5"/>
  <c r="B132" i="5" s="1"/>
  <c r="E66" i="3"/>
  <c r="F65" i="3"/>
  <c r="B130" i="5"/>
  <c r="K64" i="3"/>
  <c r="K63" i="4"/>
  <c r="F64" i="4"/>
  <c r="E65" i="4"/>
  <c r="P63" i="4" l="1"/>
  <c r="G63" i="4" s="1"/>
  <c r="F66" i="3"/>
  <c r="E67" i="3"/>
  <c r="K65" i="3"/>
  <c r="B135" i="5"/>
  <c r="B134" i="5" s="1"/>
  <c r="E66" i="4"/>
  <c r="F65" i="4"/>
  <c r="K64" i="4"/>
  <c r="K65" i="4" l="1"/>
  <c r="E68" i="3"/>
  <c r="F67" i="3"/>
  <c r="K66" i="3"/>
  <c r="B137" i="5"/>
  <c r="B136" i="5" s="1"/>
  <c r="P64" i="4"/>
  <c r="G64" i="4" s="1"/>
  <c r="F66" i="4"/>
  <c r="E67" i="4"/>
  <c r="K67" i="3" l="1"/>
  <c r="F68" i="3"/>
  <c r="E69" i="3"/>
  <c r="E68" i="4"/>
  <c r="F67" i="4"/>
  <c r="B139" i="5"/>
  <c r="K66" i="4"/>
  <c r="P65" i="4"/>
  <c r="G65" i="4" s="1"/>
  <c r="F68" i="4" l="1"/>
  <c r="E69" i="4"/>
  <c r="B141" i="5"/>
  <c r="B140" i="5" s="1"/>
  <c r="B138" i="5"/>
  <c r="K67" i="4"/>
  <c r="E70" i="3"/>
  <c r="F69" i="3"/>
  <c r="K68" i="3"/>
  <c r="P66" i="4"/>
  <c r="G66" i="4" s="1"/>
  <c r="P67" i="4" l="1"/>
  <c r="G67" i="4" s="1"/>
  <c r="K69" i="3"/>
  <c r="F70" i="3"/>
  <c r="E71" i="3"/>
  <c r="B143" i="5"/>
  <c r="E70" i="4"/>
  <c r="F69" i="4"/>
  <c r="K68" i="4"/>
  <c r="F70" i="4" l="1"/>
  <c r="E71" i="4"/>
  <c r="B145" i="5"/>
  <c r="B142" i="5"/>
  <c r="K69" i="4"/>
  <c r="E72" i="3"/>
  <c r="F71" i="3"/>
  <c r="K70" i="3"/>
  <c r="P68" i="4"/>
  <c r="G68" i="4" s="1"/>
  <c r="F72" i="3" l="1"/>
  <c r="E73" i="3"/>
  <c r="B147" i="5"/>
  <c r="B144" i="5"/>
  <c r="P69" i="4"/>
  <c r="G69" i="4" s="1"/>
  <c r="E72" i="4"/>
  <c r="F71" i="4"/>
  <c r="K71" i="3"/>
  <c r="K70" i="4"/>
  <c r="P70" i="4" l="1"/>
  <c r="G70" i="4" s="1"/>
  <c r="K71" i="4"/>
  <c r="F72" i="4"/>
  <c r="E73" i="4"/>
  <c r="B149" i="5"/>
  <c r="R4" i="3"/>
  <c r="S4" i="3" s="1"/>
  <c r="T5" i="3" s="1"/>
  <c r="O4" i="3"/>
  <c r="P4" i="3" s="1"/>
  <c r="G4" i="3" s="1"/>
  <c r="N5" i="3" s="1"/>
  <c r="B146" i="5"/>
  <c r="E74" i="3"/>
  <c r="F73" i="3"/>
  <c r="K72" i="3"/>
  <c r="Q5" i="3" l="1"/>
  <c r="I6" i="3"/>
  <c r="B151" i="5"/>
  <c r="U5" i="3"/>
  <c r="P71" i="4"/>
  <c r="G71" i="4" s="1"/>
  <c r="F74" i="3"/>
  <c r="E75" i="3"/>
  <c r="B148" i="5"/>
  <c r="E74" i="4"/>
  <c r="F73" i="4"/>
  <c r="K72" i="4"/>
  <c r="K73" i="3"/>
  <c r="K74" i="3" l="1"/>
  <c r="V5" i="3"/>
  <c r="R5" i="3"/>
  <c r="S5" i="3" s="1"/>
  <c r="T6" i="3" s="1"/>
  <c r="O5" i="3"/>
  <c r="P5" i="3" s="1"/>
  <c r="G5" i="3" s="1"/>
  <c r="N6" i="3" s="1"/>
  <c r="F74" i="4"/>
  <c r="E75" i="4"/>
  <c r="P72" i="4"/>
  <c r="G72" i="4" s="1"/>
  <c r="B153" i="5"/>
  <c r="B150" i="5"/>
  <c r="K73" i="4"/>
  <c r="H6" i="3"/>
  <c r="L7" i="3" s="1"/>
  <c r="M7" i="3" s="1"/>
  <c r="E76" i="3"/>
  <c r="F75" i="3"/>
  <c r="E76" i="4" l="1"/>
  <c r="F75" i="4"/>
  <c r="Q6" i="3"/>
  <c r="B155" i="5"/>
  <c r="K75" i="3"/>
  <c r="F76" i="3"/>
  <c r="E77" i="3"/>
  <c r="I7" i="3"/>
  <c r="K74" i="4"/>
  <c r="J6" i="3"/>
  <c r="U6" i="3"/>
  <c r="B152" i="5"/>
  <c r="P73" i="4"/>
  <c r="G73" i="4" s="1"/>
  <c r="E78" i="3" l="1"/>
  <c r="F77" i="3"/>
  <c r="P75" i="3"/>
  <c r="G75" i="3" s="1"/>
  <c r="K76" i="3"/>
  <c r="V6" i="3"/>
  <c r="R6" i="3" s="1"/>
  <c r="S6" i="3" s="1"/>
  <c r="T7" i="3" s="1"/>
  <c r="K75" i="4"/>
  <c r="H7" i="3"/>
  <c r="L8" i="3" s="1"/>
  <c r="M8" i="3" s="1"/>
  <c r="B157" i="5"/>
  <c r="B154" i="5"/>
  <c r="P74" i="4"/>
  <c r="G74" i="4" s="1"/>
  <c r="F76" i="4"/>
  <c r="E77" i="4"/>
  <c r="U7" i="3" l="1"/>
  <c r="O6" i="3"/>
  <c r="P6" i="3" s="1"/>
  <c r="G6" i="3" s="1"/>
  <c r="N7" i="3" s="1"/>
  <c r="P75" i="4"/>
  <c r="G75" i="4" s="1"/>
  <c r="E78" i="4"/>
  <c r="F77" i="4"/>
  <c r="K76" i="4"/>
  <c r="P76" i="3"/>
  <c r="G76" i="3" s="1"/>
  <c r="B159" i="5"/>
  <c r="B156" i="5"/>
  <c r="K77" i="3"/>
  <c r="J7" i="3"/>
  <c r="F78" i="3"/>
  <c r="E79" i="3"/>
  <c r="P76" i="4" l="1"/>
  <c r="G76" i="4" s="1"/>
  <c r="K78" i="3"/>
  <c r="K77" i="4"/>
  <c r="F78" i="4"/>
  <c r="E79" i="4"/>
  <c r="V7" i="3"/>
  <c r="R7" i="3"/>
  <c r="S7" i="3" s="1"/>
  <c r="T8" i="3" s="1"/>
  <c r="U8" i="3" s="1"/>
  <c r="O7" i="3"/>
  <c r="P7" i="3" s="1"/>
  <c r="G7" i="3" s="1"/>
  <c r="N8" i="3" s="1"/>
  <c r="E80" i="3"/>
  <c r="F79" i="3"/>
  <c r="P77" i="3"/>
  <c r="G77" i="3" s="1"/>
  <c r="Q7" i="3"/>
  <c r="I8" i="3"/>
  <c r="B161" i="5"/>
  <c r="B160" i="5" s="1"/>
  <c r="B158" i="5"/>
  <c r="V8" i="3" l="1"/>
  <c r="R8" i="3" s="1"/>
  <c r="S8" i="3" s="1"/>
  <c r="T9" i="3" s="1"/>
  <c r="Q8" i="3"/>
  <c r="B163" i="5"/>
  <c r="B162" i="5"/>
  <c r="H8" i="3"/>
  <c r="L9" i="3" s="1"/>
  <c r="M9" i="3" s="1"/>
  <c r="I9" i="3"/>
  <c r="P78" i="3"/>
  <c r="G78" i="3" s="1"/>
  <c r="E80" i="4"/>
  <c r="F79" i="4"/>
  <c r="K78" i="4"/>
  <c r="P77" i="4"/>
  <c r="G77" i="4" s="1"/>
  <c r="K79" i="3"/>
  <c r="F80" i="3"/>
  <c r="E81" i="3"/>
  <c r="U9" i="3" l="1"/>
  <c r="J8" i="3"/>
  <c r="B164" i="5"/>
  <c r="B165" i="5"/>
  <c r="F80" i="4"/>
  <c r="E81" i="4"/>
  <c r="H9" i="3"/>
  <c r="L10" i="3" s="1"/>
  <c r="M10" i="3" s="1"/>
  <c r="K80" i="3"/>
  <c r="K79" i="4"/>
  <c r="E82" i="3"/>
  <c r="F81" i="3"/>
  <c r="P79" i="3"/>
  <c r="G79" i="3" s="1"/>
  <c r="P78" i="4"/>
  <c r="G78" i="4" s="1"/>
  <c r="O8" i="3"/>
  <c r="P8" i="3" s="1"/>
  <c r="G8" i="3" s="1"/>
  <c r="N9" i="3" s="1"/>
  <c r="I10" i="3" s="1"/>
  <c r="H10" i="3" l="1"/>
  <c r="L11" i="3" s="1"/>
  <c r="M11" i="3" s="1"/>
  <c r="J9" i="3"/>
  <c r="B167" i="5"/>
  <c r="B166" i="5" s="1"/>
  <c r="K81" i="3"/>
  <c r="F82" i="3"/>
  <c r="E83" i="3"/>
  <c r="E82" i="4"/>
  <c r="F81" i="4"/>
  <c r="K80" i="4"/>
  <c r="Q9" i="3"/>
  <c r="P79" i="4"/>
  <c r="G79" i="4" s="1"/>
  <c r="V9" i="3"/>
  <c r="R9" i="3" s="1"/>
  <c r="S9" i="3" s="1"/>
  <c r="T10" i="3" s="1"/>
  <c r="O9" i="3"/>
  <c r="P9" i="3" s="1"/>
  <c r="G9" i="3" s="1"/>
  <c r="N10" i="3" s="1"/>
  <c r="P80" i="3"/>
  <c r="G80" i="3" s="1"/>
  <c r="U10" i="3" l="1"/>
  <c r="Q10" i="3"/>
  <c r="I11" i="3"/>
  <c r="E84" i="3"/>
  <c r="F83" i="3"/>
  <c r="P81" i="3"/>
  <c r="G81" i="3" s="1"/>
  <c r="F82" i="4"/>
  <c r="E83" i="4"/>
  <c r="P80" i="4"/>
  <c r="G80" i="4" s="1"/>
  <c r="J10" i="3"/>
  <c r="K82" i="3"/>
  <c r="O5" i="4"/>
  <c r="P5" i="4" s="1"/>
  <c r="G5" i="4" s="1"/>
  <c r="N6" i="4" s="1"/>
  <c r="R5" i="4"/>
  <c r="S5" i="4" s="1"/>
  <c r="T6" i="4" s="1"/>
  <c r="K81" i="4"/>
  <c r="Q6" i="4" l="1"/>
  <c r="I7" i="4"/>
  <c r="E84" i="4"/>
  <c r="F83" i="4"/>
  <c r="F84" i="3"/>
  <c r="E85" i="3"/>
  <c r="U6" i="4"/>
  <c r="K82" i="4"/>
  <c r="P81" i="4"/>
  <c r="G81" i="4" s="1"/>
  <c r="K83" i="3"/>
  <c r="H11" i="3"/>
  <c r="L12" i="3" s="1"/>
  <c r="M12" i="3" s="1"/>
  <c r="V10" i="3"/>
  <c r="R10" i="3" s="1"/>
  <c r="S10" i="3" s="1"/>
  <c r="T11" i="3" s="1"/>
  <c r="P82" i="3"/>
  <c r="G82" i="3" s="1"/>
  <c r="U11" i="3" l="1"/>
  <c r="V6" i="4"/>
  <c r="R6" i="4" s="1"/>
  <c r="S6" i="4" s="1"/>
  <c r="T7" i="4" s="1"/>
  <c r="O10" i="3"/>
  <c r="P10" i="3" s="1"/>
  <c r="G10" i="3" s="1"/>
  <c r="N11" i="3" s="1"/>
  <c r="E86" i="3"/>
  <c r="F85" i="3"/>
  <c r="J11" i="3"/>
  <c r="H7" i="4"/>
  <c r="L8" i="4" s="1"/>
  <c r="M8" i="4" s="1"/>
  <c r="P82" i="4"/>
  <c r="G82" i="4" s="1"/>
  <c r="E85" i="4"/>
  <c r="F84" i="4"/>
  <c r="P83" i="3"/>
  <c r="G83" i="3" s="1"/>
  <c r="K84" i="3"/>
  <c r="K83" i="4"/>
  <c r="U7" i="4" l="1"/>
  <c r="P83" i="4"/>
  <c r="G83" i="4" s="1"/>
  <c r="J7" i="4"/>
  <c r="O6" i="4"/>
  <c r="P6" i="4" s="1"/>
  <c r="G6" i="4" s="1"/>
  <c r="N7" i="4" s="1"/>
  <c r="E86" i="4"/>
  <c r="F85" i="4"/>
  <c r="K85" i="3"/>
  <c r="Q11" i="3"/>
  <c r="I12" i="3"/>
  <c r="V11" i="3"/>
  <c r="R11" i="3" s="1"/>
  <c r="S11" i="3" s="1"/>
  <c r="T12" i="3" s="1"/>
  <c r="O11" i="3"/>
  <c r="P11" i="3" s="1"/>
  <c r="G11" i="3" s="1"/>
  <c r="N12" i="3" s="1"/>
  <c r="P84" i="3"/>
  <c r="G84" i="3" s="1"/>
  <c r="F86" i="3"/>
  <c r="E87" i="3"/>
  <c r="K84" i="4"/>
  <c r="U12" i="3" l="1"/>
  <c r="Q12" i="3"/>
  <c r="P84" i="4"/>
  <c r="G84" i="4" s="1"/>
  <c r="K85" i="4"/>
  <c r="P85" i="3"/>
  <c r="G85" i="3" s="1"/>
  <c r="E87" i="4"/>
  <c r="F86" i="4"/>
  <c r="Q7" i="4"/>
  <c r="I8" i="4"/>
  <c r="K86" i="3"/>
  <c r="E88" i="3"/>
  <c r="F87" i="3"/>
  <c r="V7" i="4"/>
  <c r="R7" i="4" s="1"/>
  <c r="S7" i="4" s="1"/>
  <c r="T8" i="4" s="1"/>
  <c r="O7" i="4"/>
  <c r="P7" i="4" s="1"/>
  <c r="G7" i="4" s="1"/>
  <c r="N8" i="4" s="1"/>
  <c r="J12" i="3"/>
  <c r="H12" i="3"/>
  <c r="L13" i="3" s="1"/>
  <c r="M13" i="3" s="1"/>
  <c r="I13" i="3"/>
  <c r="Q8" i="4" l="1"/>
  <c r="U8" i="4"/>
  <c r="K86" i="4"/>
  <c r="F88" i="3"/>
  <c r="E89" i="3"/>
  <c r="P86" i="3"/>
  <c r="G86" i="3" s="1"/>
  <c r="F87" i="4"/>
  <c r="E88" i="4"/>
  <c r="P85" i="4"/>
  <c r="G85" i="4" s="1"/>
  <c r="H13" i="3"/>
  <c r="L14" i="3" s="1"/>
  <c r="M14" i="3" s="1"/>
  <c r="V12" i="3"/>
  <c r="O12" i="3" s="1"/>
  <c r="P12" i="3" s="1"/>
  <c r="G12" i="3" s="1"/>
  <c r="N13" i="3" s="1"/>
  <c r="K87" i="3"/>
  <c r="J8" i="4"/>
  <c r="H8" i="4"/>
  <c r="L9" i="4" s="1"/>
  <c r="M9" i="4" s="1"/>
  <c r="I9" i="4"/>
  <c r="Q13" i="3" l="1"/>
  <c r="I14" i="3"/>
  <c r="E89" i="4"/>
  <c r="F88" i="4"/>
  <c r="E90" i="3"/>
  <c r="F89" i="3"/>
  <c r="P86" i="4"/>
  <c r="G86" i="4" s="1"/>
  <c r="J13" i="3"/>
  <c r="P87" i="3"/>
  <c r="G87" i="3" s="1"/>
  <c r="R12" i="3"/>
  <c r="S12" i="3" s="1"/>
  <c r="T13" i="3" s="1"/>
  <c r="K88" i="3"/>
  <c r="V8" i="4"/>
  <c r="R8" i="4" s="1"/>
  <c r="S8" i="4" s="1"/>
  <c r="T9" i="4" s="1"/>
  <c r="H9" i="4"/>
  <c r="L10" i="4" s="1"/>
  <c r="K87" i="4"/>
  <c r="M10" i="4"/>
  <c r="U9" i="4" l="1"/>
  <c r="U13" i="3"/>
  <c r="P87" i="4"/>
  <c r="G87" i="4" s="1"/>
  <c r="P88" i="3"/>
  <c r="G88" i="3" s="1"/>
  <c r="J9" i="4"/>
  <c r="K89" i="3"/>
  <c r="O8" i="4"/>
  <c r="P8" i="4" s="1"/>
  <c r="G8" i="4" s="1"/>
  <c r="N9" i="4" s="1"/>
  <c r="F90" i="3"/>
  <c r="E91" i="3"/>
  <c r="K88" i="4"/>
  <c r="F89" i="4"/>
  <c r="E90" i="4"/>
  <c r="H14" i="3"/>
  <c r="L15" i="3" s="1"/>
  <c r="M15" i="3" s="1"/>
  <c r="E91" i="4" l="1"/>
  <c r="F90" i="4"/>
  <c r="K89" i="4"/>
  <c r="V13" i="3"/>
  <c r="R13" i="3" s="1"/>
  <c r="S13" i="3" s="1"/>
  <c r="T14" i="3" s="1"/>
  <c r="O13" i="3"/>
  <c r="P13" i="3" s="1"/>
  <c r="G13" i="3" s="1"/>
  <c r="N14" i="3" s="1"/>
  <c r="P89" i="3"/>
  <c r="G89" i="3" s="1"/>
  <c r="P88" i="4"/>
  <c r="G88" i="4" s="1"/>
  <c r="E92" i="3"/>
  <c r="F91" i="3"/>
  <c r="J14" i="3"/>
  <c r="K90" i="3"/>
  <c r="V9" i="4"/>
  <c r="R9" i="4"/>
  <c r="S9" i="4" s="1"/>
  <c r="T10" i="4" s="1"/>
  <c r="O9" i="4"/>
  <c r="P9" i="4" s="1"/>
  <c r="G9" i="4" s="1"/>
  <c r="N10" i="4" s="1"/>
  <c r="Q9" i="4"/>
  <c r="I10" i="4"/>
  <c r="U14" i="3" l="1"/>
  <c r="Q10" i="4"/>
  <c r="P90" i="3"/>
  <c r="G90" i="3" s="1"/>
  <c r="Q14" i="3"/>
  <c r="I15" i="3"/>
  <c r="P89" i="4"/>
  <c r="G89" i="4" s="1"/>
  <c r="K91" i="3"/>
  <c r="K90" i="4"/>
  <c r="U10" i="4"/>
  <c r="H10" i="4"/>
  <c r="L11" i="4" s="1"/>
  <c r="M11" i="4" s="1"/>
  <c r="I11" i="4"/>
  <c r="F92" i="3"/>
  <c r="E93" i="3"/>
  <c r="F91" i="4"/>
  <c r="E92" i="4"/>
  <c r="E93" i="4" l="1"/>
  <c r="F92" i="4"/>
  <c r="E94" i="3"/>
  <c r="F93" i="3"/>
  <c r="K91" i="4"/>
  <c r="H15" i="3"/>
  <c r="L16" i="3" s="1"/>
  <c r="M16" i="3" s="1"/>
  <c r="K92" i="3"/>
  <c r="J11" i="4"/>
  <c r="H11" i="4"/>
  <c r="L12" i="4" s="1"/>
  <c r="V14" i="3"/>
  <c r="R14" i="3" s="1"/>
  <c r="S14" i="3" s="1"/>
  <c r="T15" i="3" s="1"/>
  <c r="M12" i="4"/>
  <c r="J10" i="4"/>
  <c r="V10" i="4"/>
  <c r="O10" i="4" s="1"/>
  <c r="P10" i="4" s="1"/>
  <c r="G10" i="4" s="1"/>
  <c r="N11" i="4" s="1"/>
  <c r="P90" i="4"/>
  <c r="G90" i="4" s="1"/>
  <c r="P91" i="3"/>
  <c r="G91" i="3" s="1"/>
  <c r="U15" i="3" l="1"/>
  <c r="Q11" i="4"/>
  <c r="I12" i="4"/>
  <c r="R10" i="4"/>
  <c r="S10" i="4" s="1"/>
  <c r="T11" i="4" s="1"/>
  <c r="O14" i="3"/>
  <c r="P14" i="3" s="1"/>
  <c r="G14" i="3" s="1"/>
  <c r="N15" i="3" s="1"/>
  <c r="P91" i="4"/>
  <c r="G91" i="4" s="1"/>
  <c r="F94" i="3"/>
  <c r="E95" i="3"/>
  <c r="J15" i="3"/>
  <c r="K92" i="4"/>
  <c r="P92" i="3"/>
  <c r="G92" i="3" s="1"/>
  <c r="K93" i="3"/>
  <c r="F93" i="4"/>
  <c r="E94" i="4"/>
  <c r="K94" i="3" l="1"/>
  <c r="K93" i="4"/>
  <c r="E96" i="3"/>
  <c r="F95" i="3"/>
  <c r="E95" i="4"/>
  <c r="F94" i="4"/>
  <c r="U11" i="4"/>
  <c r="Q15" i="3"/>
  <c r="I16" i="3"/>
  <c r="P92" i="4"/>
  <c r="G92" i="4" s="1"/>
  <c r="P93" i="3"/>
  <c r="G93" i="3" s="1"/>
  <c r="H12" i="4"/>
  <c r="L13" i="4" s="1"/>
  <c r="M13" i="4" s="1"/>
  <c r="V15" i="3"/>
  <c r="R15" i="3" s="1"/>
  <c r="S15" i="3" s="1"/>
  <c r="T16" i="3" s="1"/>
  <c r="O15" i="3"/>
  <c r="P15" i="3" s="1"/>
  <c r="G15" i="3" s="1"/>
  <c r="N16" i="3" s="1"/>
  <c r="Q16" i="3" l="1"/>
  <c r="U16" i="3"/>
  <c r="V11" i="4"/>
  <c r="R11" i="4" s="1"/>
  <c r="S11" i="4" s="1"/>
  <c r="T12" i="4" s="1"/>
  <c r="O11" i="4"/>
  <c r="P11" i="4" s="1"/>
  <c r="G11" i="4" s="1"/>
  <c r="N12" i="4" s="1"/>
  <c r="K94" i="4"/>
  <c r="F95" i="4"/>
  <c r="E96" i="4"/>
  <c r="J12" i="4"/>
  <c r="K95" i="3"/>
  <c r="F96" i="3"/>
  <c r="E97" i="3"/>
  <c r="P94" i="3"/>
  <c r="G94" i="3" s="1"/>
  <c r="P93" i="4"/>
  <c r="G93" i="4" s="1"/>
  <c r="H16" i="3"/>
  <c r="L17" i="3" s="1"/>
  <c r="M17" i="3" s="1"/>
  <c r="I17" i="3"/>
  <c r="U12" i="4" l="1"/>
  <c r="J16" i="3"/>
  <c r="P94" i="4"/>
  <c r="G94" i="4" s="1"/>
  <c r="M18" i="3"/>
  <c r="K95" i="4"/>
  <c r="E98" i="3"/>
  <c r="F97" i="3"/>
  <c r="K96" i="3"/>
  <c r="E97" i="4"/>
  <c r="F96" i="4"/>
  <c r="P95" i="3"/>
  <c r="G95" i="3" s="1"/>
  <c r="Q12" i="4"/>
  <c r="I13" i="4"/>
  <c r="V16" i="3"/>
  <c r="O16" i="3" s="1"/>
  <c r="P16" i="3" s="1"/>
  <c r="G16" i="3" s="1"/>
  <c r="N17" i="3" s="1"/>
  <c r="R16" i="3"/>
  <c r="S16" i="3" s="1"/>
  <c r="T17" i="3" s="1"/>
  <c r="J17" i="3"/>
  <c r="H17" i="3"/>
  <c r="L18" i="3" s="1"/>
  <c r="Q17" i="3" l="1"/>
  <c r="I18" i="3"/>
  <c r="K97" i="3"/>
  <c r="H13" i="4"/>
  <c r="L14" i="4" s="1"/>
  <c r="M14" i="4" s="1"/>
  <c r="F98" i="3"/>
  <c r="E99" i="3"/>
  <c r="P96" i="3"/>
  <c r="G96" i="3" s="1"/>
  <c r="U17" i="3"/>
  <c r="K96" i="4"/>
  <c r="V12" i="4"/>
  <c r="O12" i="4" s="1"/>
  <c r="P12" i="4" s="1"/>
  <c r="G12" i="4" s="1"/>
  <c r="N13" i="4" s="1"/>
  <c r="P95" i="4"/>
  <c r="G95" i="4" s="1"/>
  <c r="F97" i="4"/>
  <c r="E98" i="4"/>
  <c r="Q13" i="4" l="1"/>
  <c r="I14" i="4"/>
  <c r="K97" i="4"/>
  <c r="K98" i="3"/>
  <c r="E100" i="3"/>
  <c r="F99" i="3"/>
  <c r="P96" i="4"/>
  <c r="G96" i="4" s="1"/>
  <c r="R12" i="4"/>
  <c r="S12" i="4" s="1"/>
  <c r="T13" i="4" s="1"/>
  <c r="H18" i="3"/>
  <c r="L19" i="3" s="1"/>
  <c r="M19" i="3" s="1"/>
  <c r="J13" i="4"/>
  <c r="P97" i="3"/>
  <c r="G97" i="3" s="1"/>
  <c r="V17" i="3"/>
  <c r="R17" i="3" s="1"/>
  <c r="S17" i="3" s="1"/>
  <c r="T18" i="3" s="1"/>
  <c r="O17" i="3"/>
  <c r="P17" i="3" s="1"/>
  <c r="G17" i="3" s="1"/>
  <c r="N18" i="3" s="1"/>
  <c r="E99" i="4"/>
  <c r="F98" i="4"/>
  <c r="U18" i="3" l="1"/>
  <c r="Q18" i="3"/>
  <c r="F100" i="3"/>
  <c r="E101" i="3"/>
  <c r="F99" i="4"/>
  <c r="E100" i="4"/>
  <c r="K99" i="3"/>
  <c r="I19" i="3"/>
  <c r="H14" i="4"/>
  <c r="L15" i="4" s="1"/>
  <c r="M15" i="4" s="1"/>
  <c r="J18" i="3"/>
  <c r="P98" i="3"/>
  <c r="G98" i="3" s="1"/>
  <c r="P97" i="4"/>
  <c r="G97" i="4" s="1"/>
  <c r="K98" i="4"/>
  <c r="U13" i="4"/>
  <c r="P99" i="3" l="1"/>
  <c r="G99" i="3" s="1"/>
  <c r="K99" i="4"/>
  <c r="H19" i="3"/>
  <c r="L20" i="3" s="1"/>
  <c r="M20" i="3" s="1"/>
  <c r="E101" i="4"/>
  <c r="F100" i="4"/>
  <c r="K100" i="3"/>
  <c r="P98" i="4"/>
  <c r="G98" i="4" s="1"/>
  <c r="V18" i="3"/>
  <c r="O18" i="3" s="1"/>
  <c r="P18" i="3" s="1"/>
  <c r="G18" i="3" s="1"/>
  <c r="N19" i="3" s="1"/>
  <c r="V13" i="4"/>
  <c r="R13" i="4" s="1"/>
  <c r="S13" i="4" s="1"/>
  <c r="T14" i="4" s="1"/>
  <c r="O13" i="4"/>
  <c r="P13" i="4" s="1"/>
  <c r="G13" i="4" s="1"/>
  <c r="N14" i="4" s="1"/>
  <c r="E102" i="3"/>
  <c r="F101" i="3"/>
  <c r="J14" i="4"/>
  <c r="U14" i="4" l="1"/>
  <c r="Q19" i="3"/>
  <c r="I20" i="3"/>
  <c r="P100" i="3"/>
  <c r="G100" i="3" s="1"/>
  <c r="F102" i="3"/>
  <c r="E103" i="3"/>
  <c r="Q14" i="4"/>
  <c r="I15" i="4"/>
  <c r="R18" i="3"/>
  <c r="S18" i="3" s="1"/>
  <c r="T19" i="3" s="1"/>
  <c r="K101" i="3"/>
  <c r="P99" i="4"/>
  <c r="G99" i="4" s="1"/>
  <c r="K100" i="4"/>
  <c r="F101" i="4"/>
  <c r="E102" i="4"/>
  <c r="J19" i="3"/>
  <c r="K101" i="4" l="1"/>
  <c r="K102" i="3"/>
  <c r="P101" i="3"/>
  <c r="G101" i="3" s="1"/>
  <c r="E104" i="3"/>
  <c r="F103" i="3"/>
  <c r="U19" i="3"/>
  <c r="R14" i="4"/>
  <c r="S14" i="4" s="1"/>
  <c r="T15" i="4" s="1"/>
  <c r="U15" i="4" s="1"/>
  <c r="V14" i="4"/>
  <c r="O14" i="4" s="1"/>
  <c r="P14" i="4" s="1"/>
  <c r="G14" i="4" s="1"/>
  <c r="N15" i="4" s="1"/>
  <c r="E103" i="4"/>
  <c r="F102" i="4"/>
  <c r="P100" i="4"/>
  <c r="G100" i="4" s="1"/>
  <c r="H20" i="3"/>
  <c r="L21" i="3" s="1"/>
  <c r="M21" i="3" s="1"/>
  <c r="H15" i="4"/>
  <c r="L16" i="4" s="1"/>
  <c r="M16" i="4" s="1"/>
  <c r="Q15" i="4" l="1"/>
  <c r="I16" i="4"/>
  <c r="V15" i="4"/>
  <c r="R15" i="4" s="1"/>
  <c r="S15" i="4" s="1"/>
  <c r="T16" i="4" s="1"/>
  <c r="O15" i="4"/>
  <c r="P15" i="4" s="1"/>
  <c r="G15" i="4" s="1"/>
  <c r="N16" i="4" s="1"/>
  <c r="V19" i="3"/>
  <c r="R19" i="3" s="1"/>
  <c r="S19" i="3" s="1"/>
  <c r="T20" i="3" s="1"/>
  <c r="O19" i="3"/>
  <c r="P19" i="3" s="1"/>
  <c r="G19" i="3" s="1"/>
  <c r="N20" i="3" s="1"/>
  <c r="J20" i="3"/>
  <c r="F104" i="3"/>
  <c r="E105" i="3"/>
  <c r="K102" i="4"/>
  <c r="J15" i="4"/>
  <c r="K103" i="3"/>
  <c r="P102" i="3"/>
  <c r="G102" i="3" s="1"/>
  <c r="F103" i="4"/>
  <c r="E104" i="4"/>
  <c r="P101" i="4"/>
  <c r="G101" i="4" s="1"/>
  <c r="Q16" i="4" l="1"/>
  <c r="U20" i="3"/>
  <c r="U16" i="4"/>
  <c r="P103" i="3"/>
  <c r="G103" i="3" s="1"/>
  <c r="E106" i="3"/>
  <c r="F105" i="3"/>
  <c r="Q20" i="3"/>
  <c r="I21" i="3"/>
  <c r="P102" i="4"/>
  <c r="G102" i="4" s="1"/>
  <c r="H16" i="4"/>
  <c r="L17" i="4" s="1"/>
  <c r="M17" i="4" s="1"/>
  <c r="I17" i="4"/>
  <c r="E105" i="4"/>
  <c r="F104" i="4"/>
  <c r="K104" i="3"/>
  <c r="K103" i="4"/>
  <c r="P104" i="3" l="1"/>
  <c r="G104" i="3" s="1"/>
  <c r="V16" i="4"/>
  <c r="R16" i="4" s="1"/>
  <c r="S16" i="4" s="1"/>
  <c r="T17" i="4" s="1"/>
  <c r="J16" i="4"/>
  <c r="P103" i="4"/>
  <c r="G103" i="4" s="1"/>
  <c r="K105" i="3"/>
  <c r="F106" i="3"/>
  <c r="E107" i="3"/>
  <c r="K104" i="4"/>
  <c r="F105" i="4"/>
  <c r="E106" i="4"/>
  <c r="H17" i="4"/>
  <c r="L18" i="4" s="1"/>
  <c r="M18" i="4" s="1"/>
  <c r="O20" i="3"/>
  <c r="P20" i="3" s="1"/>
  <c r="G20" i="3" s="1"/>
  <c r="N21" i="3" s="1"/>
  <c r="R20" i="3"/>
  <c r="S20" i="3" s="1"/>
  <c r="T21" i="3" s="1"/>
  <c r="V20" i="3"/>
  <c r="H21" i="3"/>
  <c r="L22" i="3" s="1"/>
  <c r="M22" i="3" s="1"/>
  <c r="U17" i="4" l="1"/>
  <c r="Q21" i="3"/>
  <c r="O16" i="4"/>
  <c r="P16" i="4" s="1"/>
  <c r="G16" i="4" s="1"/>
  <c r="N17" i="4" s="1"/>
  <c r="K105" i="4"/>
  <c r="U21" i="3"/>
  <c r="J17" i="4"/>
  <c r="E107" i="4"/>
  <c r="F106" i="4"/>
  <c r="I22" i="3"/>
  <c r="P104" i="4"/>
  <c r="G104" i="4" s="1"/>
  <c r="J21" i="3"/>
  <c r="E108" i="3"/>
  <c r="F107" i="3"/>
  <c r="P105" i="3"/>
  <c r="G105" i="3" s="1"/>
  <c r="K106" i="3"/>
  <c r="V21" i="3" l="1"/>
  <c r="R21" i="3"/>
  <c r="S21" i="3" s="1"/>
  <c r="T22" i="3" s="1"/>
  <c r="O21" i="3"/>
  <c r="P21" i="3" s="1"/>
  <c r="G21" i="3" s="1"/>
  <c r="N22" i="3" s="1"/>
  <c r="I23" i="3" s="1"/>
  <c r="P106" i="3"/>
  <c r="G106" i="3" s="1"/>
  <c r="F108" i="3"/>
  <c r="E109" i="3"/>
  <c r="Q17" i="4"/>
  <c r="I18" i="4"/>
  <c r="P105" i="4"/>
  <c r="G105" i="4" s="1"/>
  <c r="K107" i="3"/>
  <c r="H22" i="3"/>
  <c r="L23" i="3" s="1"/>
  <c r="M23" i="3" s="1"/>
  <c r="F107" i="4"/>
  <c r="E108" i="4"/>
  <c r="V17" i="4"/>
  <c r="R17" i="4"/>
  <c r="S17" i="4" s="1"/>
  <c r="T18" i="4" s="1"/>
  <c r="O17" i="4"/>
  <c r="P17" i="4" s="1"/>
  <c r="G17" i="4" s="1"/>
  <c r="N18" i="4" s="1"/>
  <c r="K106" i="4"/>
  <c r="Q18" i="4" l="1"/>
  <c r="H23" i="3"/>
  <c r="L24" i="3" s="1"/>
  <c r="U18" i="4"/>
  <c r="E110" i="3"/>
  <c r="F109" i="3"/>
  <c r="K108" i="3"/>
  <c r="J22" i="3"/>
  <c r="H18" i="4"/>
  <c r="L19" i="4" s="1"/>
  <c r="M19" i="4" s="1"/>
  <c r="I19" i="4"/>
  <c r="E109" i="4"/>
  <c r="F108" i="4"/>
  <c r="K107" i="4"/>
  <c r="M24" i="3"/>
  <c r="Q22" i="3"/>
  <c r="U22" i="3"/>
  <c r="P107" i="3"/>
  <c r="G107" i="3" s="1"/>
  <c r="P106" i="4"/>
  <c r="G106" i="4" s="1"/>
  <c r="P108" i="3" l="1"/>
  <c r="G108" i="3" s="1"/>
  <c r="K109" i="3"/>
  <c r="F110" i="3"/>
  <c r="E111" i="3"/>
  <c r="P107" i="4"/>
  <c r="G107" i="4" s="1"/>
  <c r="K108" i="4"/>
  <c r="F109" i="4"/>
  <c r="E110" i="4"/>
  <c r="H19" i="4"/>
  <c r="L20" i="4" s="1"/>
  <c r="M20" i="4" s="1"/>
  <c r="J23" i="3"/>
  <c r="V22" i="3"/>
  <c r="O22" i="3" s="1"/>
  <c r="P22" i="3" s="1"/>
  <c r="G22" i="3" s="1"/>
  <c r="N23" i="3" s="1"/>
  <c r="R22" i="3"/>
  <c r="S22" i="3" s="1"/>
  <c r="T23" i="3" s="1"/>
  <c r="V18" i="4"/>
  <c r="R18" i="4"/>
  <c r="S18" i="4" s="1"/>
  <c r="T19" i="4" s="1"/>
  <c r="O18" i="4"/>
  <c r="P18" i="4" s="1"/>
  <c r="G18" i="4" s="1"/>
  <c r="N19" i="4" s="1"/>
  <c r="J18" i="4"/>
  <c r="Q23" i="3" l="1"/>
  <c r="I24" i="3"/>
  <c r="Q19" i="4"/>
  <c r="K109" i="4"/>
  <c r="P109" i="3"/>
  <c r="G109" i="3" s="1"/>
  <c r="I20" i="4"/>
  <c r="J19" i="4"/>
  <c r="P108" i="4"/>
  <c r="G108" i="4" s="1"/>
  <c r="U23" i="3"/>
  <c r="E112" i="3"/>
  <c r="F111" i="3"/>
  <c r="K110" i="3"/>
  <c r="U19" i="4"/>
  <c r="E111" i="4"/>
  <c r="F110" i="4"/>
  <c r="V19" i="4" l="1"/>
  <c r="O19" i="4" s="1"/>
  <c r="P19" i="4" s="1"/>
  <c r="G19" i="4" s="1"/>
  <c r="N20" i="4" s="1"/>
  <c r="R19" i="4"/>
  <c r="S19" i="4" s="1"/>
  <c r="T20" i="4" s="1"/>
  <c r="P109" i="4"/>
  <c r="G109" i="4" s="1"/>
  <c r="F112" i="3"/>
  <c r="E113" i="3"/>
  <c r="K110" i="4"/>
  <c r="F111" i="4"/>
  <c r="E112" i="4"/>
  <c r="P110" i="3"/>
  <c r="G110" i="3" s="1"/>
  <c r="K111" i="3"/>
  <c r="V23" i="3"/>
  <c r="R23" i="3" s="1"/>
  <c r="S23" i="3" s="1"/>
  <c r="T24" i="3" s="1"/>
  <c r="O23" i="3"/>
  <c r="P23" i="3" s="1"/>
  <c r="G23" i="3" s="1"/>
  <c r="N24" i="3" s="1"/>
  <c r="I25" i="3" s="1"/>
  <c r="H24" i="3"/>
  <c r="L25" i="3" s="1"/>
  <c r="M25" i="3" s="1"/>
  <c r="J20" i="4"/>
  <c r="H20" i="4"/>
  <c r="L21" i="4" s="1"/>
  <c r="M21" i="4" s="1"/>
  <c r="H25" i="3" l="1"/>
  <c r="L26" i="3" s="1"/>
  <c r="U24" i="3"/>
  <c r="Q20" i="4"/>
  <c r="I21" i="4"/>
  <c r="E113" i="4"/>
  <c r="F112" i="4"/>
  <c r="J24" i="3"/>
  <c r="P110" i="4"/>
  <c r="G110" i="4" s="1"/>
  <c r="M26" i="3"/>
  <c r="E114" i="3"/>
  <c r="F113" i="3"/>
  <c r="K112" i="3"/>
  <c r="K111" i="4"/>
  <c r="U20" i="4"/>
  <c r="Q24" i="3"/>
  <c r="P111" i="3"/>
  <c r="G111" i="3" s="1"/>
  <c r="H21" i="4" l="1"/>
  <c r="L22" i="4" s="1"/>
  <c r="M22" i="4" s="1"/>
  <c r="P112" i="3"/>
  <c r="G112" i="3" s="1"/>
  <c r="P111" i="4"/>
  <c r="G111" i="4" s="1"/>
  <c r="V20" i="4"/>
  <c r="R20" i="4" s="1"/>
  <c r="S20" i="4" s="1"/>
  <c r="T21" i="4" s="1"/>
  <c r="O20" i="4"/>
  <c r="P20" i="4" s="1"/>
  <c r="G20" i="4" s="1"/>
  <c r="N21" i="4" s="1"/>
  <c r="K113" i="3"/>
  <c r="E115" i="3"/>
  <c r="F114" i="3"/>
  <c r="K112" i="4"/>
  <c r="F113" i="4"/>
  <c r="E114" i="4"/>
  <c r="V24" i="3"/>
  <c r="O24" i="3" s="1"/>
  <c r="P24" i="3" s="1"/>
  <c r="G24" i="3" s="1"/>
  <c r="N25" i="3" s="1"/>
  <c r="J25" i="3"/>
  <c r="Q25" i="3" l="1"/>
  <c r="I26" i="3"/>
  <c r="U21" i="4"/>
  <c r="Q21" i="4"/>
  <c r="R24" i="3"/>
  <c r="S24" i="3" s="1"/>
  <c r="T25" i="3" s="1"/>
  <c r="E115" i="4"/>
  <c r="F114" i="4"/>
  <c r="K113" i="4"/>
  <c r="P112" i="4"/>
  <c r="G112" i="4" s="1"/>
  <c r="K114" i="3"/>
  <c r="E116" i="3"/>
  <c r="F115" i="3"/>
  <c r="I22" i="4"/>
  <c r="P113" i="3"/>
  <c r="G113" i="3" s="1"/>
  <c r="J21" i="4"/>
  <c r="F115" i="4" l="1"/>
  <c r="E116" i="4"/>
  <c r="U25" i="3"/>
  <c r="K115" i="3"/>
  <c r="E117" i="3"/>
  <c r="F116" i="3"/>
  <c r="H26" i="3"/>
  <c r="L27" i="3" s="1"/>
  <c r="M27" i="3" s="1"/>
  <c r="K114" i="4"/>
  <c r="H22" i="4"/>
  <c r="L23" i="4" s="1"/>
  <c r="M23" i="4" s="1"/>
  <c r="V21" i="4"/>
  <c r="R21" i="4" s="1"/>
  <c r="S21" i="4" s="1"/>
  <c r="T22" i="4" s="1"/>
  <c r="P114" i="3"/>
  <c r="G114" i="3" s="1"/>
  <c r="P113" i="4"/>
  <c r="G113" i="4" s="1"/>
  <c r="U22" i="4" l="1"/>
  <c r="K116" i="3"/>
  <c r="P114" i="4"/>
  <c r="G114" i="4" s="1"/>
  <c r="J26" i="3"/>
  <c r="O21" i="4"/>
  <c r="P21" i="4" s="1"/>
  <c r="G21" i="4" s="1"/>
  <c r="N22" i="4" s="1"/>
  <c r="E118" i="3"/>
  <c r="F117" i="3"/>
  <c r="V25" i="3"/>
  <c r="R25" i="3"/>
  <c r="S25" i="3" s="1"/>
  <c r="T26" i="3" s="1"/>
  <c r="U26" i="3" s="1"/>
  <c r="O25" i="3"/>
  <c r="P25" i="3" s="1"/>
  <c r="G25" i="3" s="1"/>
  <c r="N26" i="3" s="1"/>
  <c r="J22" i="4"/>
  <c r="E117" i="4"/>
  <c r="F116" i="4"/>
  <c r="P115" i="3"/>
  <c r="G115" i="3" s="1"/>
  <c r="K115" i="4"/>
  <c r="V26" i="3" l="1"/>
  <c r="R26" i="3" s="1"/>
  <c r="S26" i="3" s="1"/>
  <c r="T27" i="3" s="1"/>
  <c r="P115" i="4"/>
  <c r="G115" i="4" s="1"/>
  <c r="K116" i="4"/>
  <c r="F117" i="4"/>
  <c r="E118" i="4"/>
  <c r="Q26" i="3"/>
  <c r="I27" i="3"/>
  <c r="K117" i="3"/>
  <c r="F118" i="3"/>
  <c r="E119" i="3"/>
  <c r="P116" i="3"/>
  <c r="G116" i="3" s="1"/>
  <c r="V22" i="4"/>
  <c r="O22" i="4" s="1"/>
  <c r="P22" i="4" s="1"/>
  <c r="G22" i="4" s="1"/>
  <c r="N23" i="4" s="1"/>
  <c r="Q22" i="4"/>
  <c r="I23" i="4"/>
  <c r="Q23" i="4" l="1"/>
  <c r="U27" i="3"/>
  <c r="E119" i="4"/>
  <c r="F118" i="4"/>
  <c r="R22" i="4"/>
  <c r="S22" i="4" s="1"/>
  <c r="T23" i="4" s="1"/>
  <c r="P116" i="4"/>
  <c r="G116" i="4" s="1"/>
  <c r="K117" i="4"/>
  <c r="O26" i="3"/>
  <c r="P26" i="3" s="1"/>
  <c r="G26" i="3" s="1"/>
  <c r="N27" i="3" s="1"/>
  <c r="P117" i="3"/>
  <c r="G117" i="3" s="1"/>
  <c r="E120" i="3"/>
  <c r="F119" i="3"/>
  <c r="K118" i="3"/>
  <c r="H23" i="4"/>
  <c r="L24" i="4" s="1"/>
  <c r="M24" i="4" s="1"/>
  <c r="I24" i="4"/>
  <c r="H27" i="3"/>
  <c r="L28" i="3" s="1"/>
  <c r="M28" i="3" s="1"/>
  <c r="J27" i="3" l="1"/>
  <c r="P117" i="4"/>
  <c r="G117" i="4" s="1"/>
  <c r="H24" i="4"/>
  <c r="L25" i="4" s="1"/>
  <c r="M25" i="4" s="1"/>
  <c r="J23" i="4"/>
  <c r="Q27" i="3"/>
  <c r="U23" i="4"/>
  <c r="V27" i="3"/>
  <c r="R27" i="3"/>
  <c r="S27" i="3" s="1"/>
  <c r="T28" i="3" s="1"/>
  <c r="O27" i="3"/>
  <c r="P27" i="3" s="1"/>
  <c r="G27" i="3" s="1"/>
  <c r="N28" i="3" s="1"/>
  <c r="I28" i="3"/>
  <c r="P118" i="3"/>
  <c r="G118" i="3" s="1"/>
  <c r="K118" i="4"/>
  <c r="F119" i="4"/>
  <c r="E120" i="4"/>
  <c r="K119" i="3"/>
  <c r="F120" i="3"/>
  <c r="E121" i="3"/>
  <c r="Q28" i="3" l="1"/>
  <c r="V23" i="4"/>
  <c r="R23" i="4"/>
  <c r="S23" i="4" s="1"/>
  <c r="T24" i="4" s="1"/>
  <c r="U24" i="4" s="1"/>
  <c r="O23" i="4"/>
  <c r="P23" i="4" s="1"/>
  <c r="G23" i="4" s="1"/>
  <c r="N24" i="4" s="1"/>
  <c r="K119" i="4"/>
  <c r="P118" i="4"/>
  <c r="G118" i="4" s="1"/>
  <c r="J24" i="4"/>
  <c r="E122" i="3"/>
  <c r="F121" i="3"/>
  <c r="K120" i="3"/>
  <c r="E121" i="4"/>
  <c r="F120" i="4"/>
  <c r="H28" i="3"/>
  <c r="L29" i="3" s="1"/>
  <c r="M29" i="3" s="1"/>
  <c r="I29" i="3"/>
  <c r="U28" i="3"/>
  <c r="P119" i="3"/>
  <c r="G119" i="3" s="1"/>
  <c r="V24" i="4" l="1"/>
  <c r="R24" i="4" s="1"/>
  <c r="S24" i="4" s="1"/>
  <c r="T25" i="4" s="1"/>
  <c r="H29" i="3"/>
  <c r="L30" i="3" s="1"/>
  <c r="P119" i="4"/>
  <c r="G119" i="4" s="1"/>
  <c r="J28" i="3"/>
  <c r="M30" i="3"/>
  <c r="K120" i="4"/>
  <c r="F121" i="4"/>
  <c r="E122" i="4"/>
  <c r="V28" i="3"/>
  <c r="O28" i="3" s="1"/>
  <c r="P28" i="3" s="1"/>
  <c r="G28" i="3" s="1"/>
  <c r="N29" i="3" s="1"/>
  <c r="Q24" i="4"/>
  <c r="I25" i="4"/>
  <c r="P120" i="3"/>
  <c r="G120" i="3" s="1"/>
  <c r="K121" i="3"/>
  <c r="F122" i="3"/>
  <c r="E123" i="3"/>
  <c r="Q29" i="3" l="1"/>
  <c r="I30" i="3"/>
  <c r="U25" i="4"/>
  <c r="K122" i="3"/>
  <c r="E124" i="3"/>
  <c r="F123" i="3"/>
  <c r="J29" i="3"/>
  <c r="E123" i="4"/>
  <c r="F122" i="4"/>
  <c r="H25" i="4"/>
  <c r="L26" i="4" s="1"/>
  <c r="M26" i="4" s="1"/>
  <c r="J25" i="4"/>
  <c r="R28" i="3"/>
  <c r="S28" i="3" s="1"/>
  <c r="T29" i="3" s="1"/>
  <c r="K121" i="4"/>
  <c r="O24" i="4"/>
  <c r="P24" i="4" s="1"/>
  <c r="G24" i="4" s="1"/>
  <c r="N25" i="4" s="1"/>
  <c r="P120" i="4"/>
  <c r="G120" i="4" s="1"/>
  <c r="P121" i="3"/>
  <c r="G121" i="3" s="1"/>
  <c r="F124" i="3" l="1"/>
  <c r="E125" i="3"/>
  <c r="Q25" i="4"/>
  <c r="K123" i="3"/>
  <c r="P122" i="3"/>
  <c r="G122" i="3" s="1"/>
  <c r="H30" i="3"/>
  <c r="L31" i="3" s="1"/>
  <c r="M31" i="3" s="1"/>
  <c r="U29" i="3"/>
  <c r="I26" i="4"/>
  <c r="E124" i="4"/>
  <c r="F123" i="4"/>
  <c r="P121" i="4"/>
  <c r="G121" i="4" s="1"/>
  <c r="V25" i="4"/>
  <c r="O25" i="4" s="1"/>
  <c r="P25" i="4" s="1"/>
  <c r="G25" i="4" s="1"/>
  <c r="N26" i="4" s="1"/>
  <c r="R25" i="4"/>
  <c r="S25" i="4" s="1"/>
  <c r="T26" i="4" s="1"/>
  <c r="K122" i="4"/>
  <c r="Q26" i="4" l="1"/>
  <c r="P122" i="4"/>
  <c r="G122" i="4" s="1"/>
  <c r="K123" i="4"/>
  <c r="P123" i="3"/>
  <c r="G123" i="3" s="1"/>
  <c r="E125" i="4"/>
  <c r="F124" i="4"/>
  <c r="H26" i="4"/>
  <c r="L27" i="4" s="1"/>
  <c r="M27" i="4" s="1"/>
  <c r="I27" i="4"/>
  <c r="E126" i="3"/>
  <c r="F125" i="3"/>
  <c r="J30" i="3"/>
  <c r="U26" i="4"/>
  <c r="V29" i="3"/>
  <c r="R29" i="3" s="1"/>
  <c r="S29" i="3" s="1"/>
  <c r="T30" i="3" s="1"/>
  <c r="O29" i="3"/>
  <c r="P29" i="3" s="1"/>
  <c r="G29" i="3" s="1"/>
  <c r="N30" i="3" s="1"/>
  <c r="K124" i="3"/>
  <c r="U30" i="3" l="1"/>
  <c r="K124" i="4"/>
  <c r="E126" i="4"/>
  <c r="F125" i="4"/>
  <c r="P123" i="4"/>
  <c r="G123" i="4" s="1"/>
  <c r="K125" i="3"/>
  <c r="M28" i="4"/>
  <c r="Q30" i="3"/>
  <c r="I31" i="3"/>
  <c r="V26" i="4"/>
  <c r="R26" i="4"/>
  <c r="S26" i="4" s="1"/>
  <c r="T27" i="4" s="1"/>
  <c r="O26" i="4"/>
  <c r="P26" i="4" s="1"/>
  <c r="G26" i="4" s="1"/>
  <c r="N27" i="4" s="1"/>
  <c r="I28" i="4" s="1"/>
  <c r="F126" i="3"/>
  <c r="E127" i="3"/>
  <c r="H27" i="4"/>
  <c r="L28" i="4" s="1"/>
  <c r="J27" i="4"/>
  <c r="P124" i="3"/>
  <c r="G124" i="3" s="1"/>
  <c r="J26" i="4"/>
  <c r="H28" i="4" l="1"/>
  <c r="L29" i="4" s="1"/>
  <c r="M29" i="4"/>
  <c r="P125" i="3"/>
  <c r="G125" i="3" s="1"/>
  <c r="E128" i="3"/>
  <c r="F127" i="3"/>
  <c r="K126" i="3"/>
  <c r="Q27" i="4"/>
  <c r="E127" i="4"/>
  <c r="F126" i="4"/>
  <c r="H31" i="3"/>
  <c r="L32" i="3" s="1"/>
  <c r="M32" i="3" s="1"/>
  <c r="K125" i="4"/>
  <c r="U27" i="4"/>
  <c r="P124" i="4"/>
  <c r="G124" i="4" s="1"/>
  <c r="R30" i="3"/>
  <c r="S30" i="3" s="1"/>
  <c r="T31" i="3" s="1"/>
  <c r="V30" i="3"/>
  <c r="O30" i="3" s="1"/>
  <c r="P30" i="3" s="1"/>
  <c r="G30" i="3" s="1"/>
  <c r="N31" i="3" s="1"/>
  <c r="Q31" i="3" l="1"/>
  <c r="I32" i="3"/>
  <c r="V27" i="4"/>
  <c r="R27" i="4" s="1"/>
  <c r="S27" i="4" s="1"/>
  <c r="T28" i="4" s="1"/>
  <c r="O27" i="4"/>
  <c r="P27" i="4" s="1"/>
  <c r="G27" i="4" s="1"/>
  <c r="N28" i="4" s="1"/>
  <c r="P125" i="4"/>
  <c r="G125" i="4" s="1"/>
  <c r="E128" i="4"/>
  <c r="F127" i="4"/>
  <c r="P126" i="3"/>
  <c r="G126" i="3" s="1"/>
  <c r="K127" i="3"/>
  <c r="E129" i="3"/>
  <c r="F128" i="3"/>
  <c r="J31" i="3"/>
  <c r="K126" i="4"/>
  <c r="U31" i="3"/>
  <c r="J28" i="4"/>
  <c r="U28" i="4" l="1"/>
  <c r="P126" i="4"/>
  <c r="G126" i="4" s="1"/>
  <c r="Q28" i="4"/>
  <c r="I29" i="4"/>
  <c r="E129" i="4"/>
  <c r="F128" i="4"/>
  <c r="H32" i="3"/>
  <c r="L33" i="3" s="1"/>
  <c r="M33" i="3" s="1"/>
  <c r="E130" i="3"/>
  <c r="F129" i="3"/>
  <c r="P127" i="3"/>
  <c r="G127" i="3" s="1"/>
  <c r="V31" i="3"/>
  <c r="R31" i="3" s="1"/>
  <c r="S31" i="3" s="1"/>
  <c r="T32" i="3" s="1"/>
  <c r="O31" i="3"/>
  <c r="P31" i="3" s="1"/>
  <c r="G31" i="3" s="1"/>
  <c r="N32" i="3" s="1"/>
  <c r="I33" i="3" s="1"/>
  <c r="K128" i="3"/>
  <c r="K127" i="4"/>
  <c r="H33" i="3" l="1"/>
  <c r="L34" i="3" s="1"/>
  <c r="U32" i="3"/>
  <c r="P128" i="3"/>
  <c r="G128" i="3" s="1"/>
  <c r="H29" i="4"/>
  <c r="L30" i="4" s="1"/>
  <c r="M30" i="4" s="1"/>
  <c r="M34" i="3"/>
  <c r="K128" i="4"/>
  <c r="E130" i="4"/>
  <c r="F129" i="4"/>
  <c r="Q32" i="3"/>
  <c r="V28" i="4"/>
  <c r="R28" i="4" s="1"/>
  <c r="S28" i="4" s="1"/>
  <c r="T29" i="4" s="1"/>
  <c r="P127" i="4"/>
  <c r="G127" i="4" s="1"/>
  <c r="J32" i="3"/>
  <c r="K129" i="3"/>
  <c r="F130" i="3"/>
  <c r="E131" i="3"/>
  <c r="U29" i="4" l="1"/>
  <c r="J29" i="4"/>
  <c r="K130" i="3"/>
  <c r="O28" i="4"/>
  <c r="P28" i="4" s="1"/>
  <c r="G28" i="4" s="1"/>
  <c r="N29" i="4" s="1"/>
  <c r="V32" i="3"/>
  <c r="O32" i="3" s="1"/>
  <c r="P32" i="3" s="1"/>
  <c r="G32" i="3" s="1"/>
  <c r="N33" i="3" s="1"/>
  <c r="R32" i="3"/>
  <c r="S32" i="3" s="1"/>
  <c r="T33" i="3" s="1"/>
  <c r="E131" i="4"/>
  <c r="F130" i="4"/>
  <c r="E132" i="3"/>
  <c r="F131" i="3"/>
  <c r="K129" i="4"/>
  <c r="P129" i="3"/>
  <c r="G129" i="3" s="1"/>
  <c r="P128" i="4"/>
  <c r="G128" i="4" s="1"/>
  <c r="J33" i="3"/>
  <c r="Q33" i="3" l="1"/>
  <c r="I34" i="3"/>
  <c r="Q29" i="4"/>
  <c r="I30" i="4"/>
  <c r="P129" i="4"/>
  <c r="G129" i="4" s="1"/>
  <c r="U33" i="3"/>
  <c r="P130" i="3"/>
  <c r="G130" i="3" s="1"/>
  <c r="V29" i="4"/>
  <c r="R29" i="4" s="1"/>
  <c r="S29" i="4" s="1"/>
  <c r="T30" i="4" s="1"/>
  <c r="K131" i="3"/>
  <c r="F132" i="3"/>
  <c r="E133" i="3"/>
  <c r="K130" i="4"/>
  <c r="E132" i="4"/>
  <c r="F131" i="4"/>
  <c r="U30" i="4" l="1"/>
  <c r="K131" i="4"/>
  <c r="E133" i="4"/>
  <c r="F132" i="4"/>
  <c r="H30" i="4"/>
  <c r="L31" i="4" s="1"/>
  <c r="M31" i="4" s="1"/>
  <c r="V33" i="3"/>
  <c r="O33" i="3" s="1"/>
  <c r="P33" i="3" s="1"/>
  <c r="G33" i="3" s="1"/>
  <c r="N34" i="3" s="1"/>
  <c r="R33" i="3"/>
  <c r="S33" i="3" s="1"/>
  <c r="T34" i="3" s="1"/>
  <c r="U34" i="3" s="1"/>
  <c r="H34" i="3"/>
  <c r="L35" i="3" s="1"/>
  <c r="M35" i="3" s="1"/>
  <c r="E134" i="3"/>
  <c r="F133" i="3"/>
  <c r="K132" i="3"/>
  <c r="O29" i="4"/>
  <c r="P29" i="4" s="1"/>
  <c r="G29" i="4" s="1"/>
  <c r="N30" i="4" s="1"/>
  <c r="I31" i="4" s="1"/>
  <c r="P130" i="4"/>
  <c r="G130" i="4" s="1"/>
  <c r="P131" i="3"/>
  <c r="G131" i="3" s="1"/>
  <c r="H31" i="4" l="1"/>
  <c r="L32" i="4" s="1"/>
  <c r="J31" i="4"/>
  <c r="V34" i="3"/>
  <c r="R34" i="3" s="1"/>
  <c r="S34" i="3" s="1"/>
  <c r="T35" i="3" s="1"/>
  <c r="Q34" i="3"/>
  <c r="I35" i="3"/>
  <c r="Q30" i="4"/>
  <c r="N31" i="4"/>
  <c r="I32" i="4" s="1"/>
  <c r="K133" i="3"/>
  <c r="P132" i="3"/>
  <c r="G132" i="3" s="1"/>
  <c r="K132" i="4"/>
  <c r="E134" i="4"/>
  <c r="F133" i="4"/>
  <c r="J34" i="3"/>
  <c r="R30" i="4"/>
  <c r="S30" i="4" s="1"/>
  <c r="T31" i="4" s="1"/>
  <c r="U31" i="4" s="1"/>
  <c r="V30" i="4"/>
  <c r="O30" i="4"/>
  <c r="P30" i="4" s="1"/>
  <c r="G30" i="4" s="1"/>
  <c r="M32" i="4"/>
  <c r="J30" i="4"/>
  <c r="F134" i="3"/>
  <c r="E135" i="3"/>
  <c r="P131" i="4"/>
  <c r="G131" i="4" s="1"/>
  <c r="U35" i="3" l="1"/>
  <c r="H32" i="4"/>
  <c r="L33" i="4" s="1"/>
  <c r="M33" i="4" s="1"/>
  <c r="V31" i="4"/>
  <c r="R31" i="4" s="1"/>
  <c r="S31" i="4" s="1"/>
  <c r="T32" i="4" s="1"/>
  <c r="K134" i="3"/>
  <c r="H35" i="3"/>
  <c r="L36" i="3" s="1"/>
  <c r="M36" i="3" s="1"/>
  <c r="E135" i="4"/>
  <c r="F134" i="4"/>
  <c r="P132" i="4"/>
  <c r="G132" i="4" s="1"/>
  <c r="O34" i="3"/>
  <c r="P34" i="3" s="1"/>
  <c r="G34" i="3" s="1"/>
  <c r="N35" i="3" s="1"/>
  <c r="I36" i="3" s="1"/>
  <c r="Q31" i="4"/>
  <c r="K133" i="4"/>
  <c r="E136" i="3"/>
  <c r="F135" i="3"/>
  <c r="P133" i="3"/>
  <c r="G133" i="3" s="1"/>
  <c r="H36" i="3" l="1"/>
  <c r="L37" i="3" s="1"/>
  <c r="U32" i="4"/>
  <c r="P134" i="3"/>
  <c r="G134" i="3" s="1"/>
  <c r="N36" i="3"/>
  <c r="Q35" i="3"/>
  <c r="K134" i="4"/>
  <c r="K135" i="3"/>
  <c r="O31" i="4"/>
  <c r="P31" i="4" s="1"/>
  <c r="G31" i="4" s="1"/>
  <c r="N32" i="4" s="1"/>
  <c r="J35" i="3"/>
  <c r="P133" i="4"/>
  <c r="G133" i="4" s="1"/>
  <c r="E136" i="4"/>
  <c r="F135" i="4"/>
  <c r="M37" i="3"/>
  <c r="J32" i="4"/>
  <c r="F136" i="3"/>
  <c r="E137" i="3"/>
  <c r="V35" i="3"/>
  <c r="R35" i="3"/>
  <c r="S35" i="3" s="1"/>
  <c r="T36" i="3" s="1"/>
  <c r="U36" i="3" s="1"/>
  <c r="O35" i="3"/>
  <c r="P35" i="3" s="1"/>
  <c r="G35" i="3" s="1"/>
  <c r="V36" i="3" l="1"/>
  <c r="R36" i="3" s="1"/>
  <c r="S36" i="3" s="1"/>
  <c r="T37" i="3" s="1"/>
  <c r="Q36" i="3"/>
  <c r="E138" i="3"/>
  <c r="F137" i="3"/>
  <c r="F136" i="4"/>
  <c r="E137" i="4"/>
  <c r="P134" i="4"/>
  <c r="G134" i="4" s="1"/>
  <c r="V32" i="4"/>
  <c r="R32" i="4" s="1"/>
  <c r="S32" i="4" s="1"/>
  <c r="T33" i="4" s="1"/>
  <c r="O32" i="4"/>
  <c r="P32" i="4" s="1"/>
  <c r="G32" i="4" s="1"/>
  <c r="I37" i="3"/>
  <c r="Q32" i="4"/>
  <c r="N33" i="4"/>
  <c r="I33" i="4"/>
  <c r="K136" i="3"/>
  <c r="K135" i="4"/>
  <c r="P135" i="3"/>
  <c r="G135" i="3" s="1"/>
  <c r="J36" i="3"/>
  <c r="U33" i="4" l="1"/>
  <c r="U37" i="3"/>
  <c r="H33" i="4"/>
  <c r="L34" i="4" s="1"/>
  <c r="M34" i="4" s="1"/>
  <c r="J33" i="4"/>
  <c r="I34" i="4"/>
  <c r="E138" i="4"/>
  <c r="F137" i="4"/>
  <c r="H37" i="3"/>
  <c r="L38" i="3" s="1"/>
  <c r="M38" i="3" s="1"/>
  <c r="P135" i="4"/>
  <c r="G135" i="4" s="1"/>
  <c r="Q33" i="4"/>
  <c r="F138" i="3"/>
  <c r="E139" i="3"/>
  <c r="K136" i="4"/>
  <c r="O36" i="3"/>
  <c r="P36" i="3" s="1"/>
  <c r="G36" i="3" s="1"/>
  <c r="N37" i="3" s="1"/>
  <c r="P136" i="3"/>
  <c r="G136" i="3" s="1"/>
  <c r="K137" i="3"/>
  <c r="Q37" i="3" l="1"/>
  <c r="K138" i="3"/>
  <c r="P137" i="3"/>
  <c r="G137" i="3" s="1"/>
  <c r="I38" i="3"/>
  <c r="J37" i="3"/>
  <c r="V37" i="3"/>
  <c r="R37" i="3" s="1"/>
  <c r="S37" i="3" s="1"/>
  <c r="T38" i="3" s="1"/>
  <c r="O37" i="3"/>
  <c r="P37" i="3" s="1"/>
  <c r="G37" i="3" s="1"/>
  <c r="N38" i="3" s="1"/>
  <c r="K137" i="4"/>
  <c r="F138" i="4"/>
  <c r="E139" i="4"/>
  <c r="P136" i="4"/>
  <c r="G136" i="4" s="1"/>
  <c r="M35" i="4"/>
  <c r="V33" i="4"/>
  <c r="R33" i="4" s="1"/>
  <c r="S33" i="4" s="1"/>
  <c r="T34" i="4" s="1"/>
  <c r="H34" i="4"/>
  <c r="L35" i="4" s="1"/>
  <c r="E140" i="3"/>
  <c r="F139" i="3"/>
  <c r="U38" i="3" l="1"/>
  <c r="Q38" i="3"/>
  <c r="U34" i="4"/>
  <c r="O33" i="4"/>
  <c r="P33" i="4" s="1"/>
  <c r="G33" i="4" s="1"/>
  <c r="N34" i="4" s="1"/>
  <c r="H38" i="3"/>
  <c r="L39" i="3" s="1"/>
  <c r="M39" i="3" s="1"/>
  <c r="I39" i="3"/>
  <c r="K138" i="4"/>
  <c r="P138" i="3"/>
  <c r="G138" i="3" s="1"/>
  <c r="P137" i="4"/>
  <c r="G137" i="4" s="1"/>
  <c r="K139" i="3"/>
  <c r="E140" i="4"/>
  <c r="F139" i="4"/>
  <c r="F140" i="3"/>
  <c r="E141" i="3"/>
  <c r="J34" i="4"/>
  <c r="P138" i="4" l="1"/>
  <c r="G138" i="4" s="1"/>
  <c r="Q34" i="4"/>
  <c r="I35" i="4"/>
  <c r="E142" i="3"/>
  <c r="F141" i="3"/>
  <c r="K140" i="3"/>
  <c r="K139" i="4"/>
  <c r="F140" i="4"/>
  <c r="E141" i="4"/>
  <c r="V34" i="4"/>
  <c r="R34" i="4" s="1"/>
  <c r="S34" i="4" s="1"/>
  <c r="T35" i="4" s="1"/>
  <c r="O34" i="4"/>
  <c r="P34" i="4" s="1"/>
  <c r="G34" i="4" s="1"/>
  <c r="N35" i="4" s="1"/>
  <c r="H39" i="3"/>
  <c r="L40" i="3" s="1"/>
  <c r="M40" i="3" s="1"/>
  <c r="I40" i="3"/>
  <c r="J38" i="3"/>
  <c r="P139" i="3"/>
  <c r="G139" i="3" s="1"/>
  <c r="V38" i="3"/>
  <c r="R38" i="3"/>
  <c r="S38" i="3" s="1"/>
  <c r="T39" i="3" s="1"/>
  <c r="O38" i="3"/>
  <c r="P38" i="3" s="1"/>
  <c r="G38" i="3" s="1"/>
  <c r="N39" i="3" s="1"/>
  <c r="Q35" i="4" l="1"/>
  <c r="U35" i="4"/>
  <c r="J39" i="3"/>
  <c r="P140" i="3"/>
  <c r="G140" i="3" s="1"/>
  <c r="Q39" i="3"/>
  <c r="P139" i="4"/>
  <c r="G139" i="4" s="1"/>
  <c r="F142" i="3"/>
  <c r="E143" i="3"/>
  <c r="E142" i="4"/>
  <c r="F141" i="4"/>
  <c r="H40" i="3"/>
  <c r="L41" i="3" s="1"/>
  <c r="M41" i="3" s="1"/>
  <c r="K141" i="3"/>
  <c r="H35" i="4"/>
  <c r="L36" i="4" s="1"/>
  <c r="M36" i="4" s="1"/>
  <c r="J35" i="4"/>
  <c r="I36" i="4"/>
  <c r="U39" i="3"/>
  <c r="K140" i="4"/>
  <c r="J40" i="3" l="1"/>
  <c r="K141" i="4"/>
  <c r="P141" i="3"/>
  <c r="G141" i="3" s="1"/>
  <c r="P140" i="4"/>
  <c r="G140" i="4" s="1"/>
  <c r="E144" i="3"/>
  <c r="F143" i="3"/>
  <c r="V35" i="4"/>
  <c r="R35" i="4" s="1"/>
  <c r="S35" i="4" s="1"/>
  <c r="T36" i="4" s="1"/>
  <c r="F142" i="4"/>
  <c r="E143" i="4"/>
  <c r="V39" i="3"/>
  <c r="O39" i="3" s="1"/>
  <c r="P39" i="3" s="1"/>
  <c r="G39" i="3" s="1"/>
  <c r="N40" i="3" s="1"/>
  <c r="R39" i="3"/>
  <c r="S39" i="3" s="1"/>
  <c r="T40" i="3" s="1"/>
  <c r="H36" i="4"/>
  <c r="L37" i="4" s="1"/>
  <c r="M37" i="4" s="1"/>
  <c r="K142" i="3"/>
  <c r="Q40" i="3" l="1"/>
  <c r="I41" i="3"/>
  <c r="U36" i="4"/>
  <c r="J36" i="4"/>
  <c r="K143" i="3"/>
  <c r="P141" i="4"/>
  <c r="G141" i="4" s="1"/>
  <c r="U40" i="3"/>
  <c r="E144" i="4"/>
  <c r="F143" i="4"/>
  <c r="P142" i="3"/>
  <c r="G142" i="3" s="1"/>
  <c r="F144" i="3"/>
  <c r="E145" i="3"/>
  <c r="K142" i="4"/>
  <c r="O35" i="4"/>
  <c r="P35" i="4" s="1"/>
  <c r="G35" i="4" s="1"/>
  <c r="N36" i="4" s="1"/>
  <c r="P142" i="4" l="1"/>
  <c r="G142" i="4" s="1"/>
  <c r="P143" i="3"/>
  <c r="G143" i="3" s="1"/>
  <c r="Q36" i="4"/>
  <c r="I37" i="4"/>
  <c r="K144" i="3"/>
  <c r="K143" i="4"/>
  <c r="E146" i="3"/>
  <c r="F145" i="3"/>
  <c r="V36" i="4"/>
  <c r="R36" i="4" s="1"/>
  <c r="S36" i="4" s="1"/>
  <c r="T37" i="4" s="1"/>
  <c r="H41" i="3"/>
  <c r="L42" i="3" s="1"/>
  <c r="M42" i="3" s="1"/>
  <c r="F144" i="4"/>
  <c r="E145" i="4"/>
  <c r="V40" i="3"/>
  <c r="R40" i="3" s="1"/>
  <c r="S40" i="3" s="1"/>
  <c r="T41" i="3" s="1"/>
  <c r="U37" i="4" l="1"/>
  <c r="U41" i="3"/>
  <c r="F146" i="3"/>
  <c r="E147" i="3"/>
  <c r="K144" i="4"/>
  <c r="O36" i="4"/>
  <c r="P36" i="4" s="1"/>
  <c r="G36" i="4" s="1"/>
  <c r="N37" i="4" s="1"/>
  <c r="E146" i="4"/>
  <c r="F145" i="4"/>
  <c r="P144" i="3"/>
  <c r="G144" i="3" s="1"/>
  <c r="J41" i="3"/>
  <c r="P143" i="4"/>
  <c r="G143" i="4" s="1"/>
  <c r="H37" i="4"/>
  <c r="L38" i="4" s="1"/>
  <c r="M38" i="4" s="1"/>
  <c r="J37" i="4"/>
  <c r="O40" i="3"/>
  <c r="P40" i="3" s="1"/>
  <c r="G40" i="3" s="1"/>
  <c r="N41" i="3" s="1"/>
  <c r="K145" i="3"/>
  <c r="K145" i="4" l="1"/>
  <c r="P144" i="4"/>
  <c r="G144" i="4" s="1"/>
  <c r="K146" i="3"/>
  <c r="Q37" i="4"/>
  <c r="P145" i="3"/>
  <c r="G145" i="3" s="1"/>
  <c r="F146" i="4"/>
  <c r="E147" i="4"/>
  <c r="I38" i="4"/>
  <c r="E148" i="3"/>
  <c r="F147" i="3"/>
  <c r="V41" i="3"/>
  <c r="R41" i="3"/>
  <c r="S41" i="3" s="1"/>
  <c r="T42" i="3" s="1"/>
  <c r="U42" i="3" s="1"/>
  <c r="O41" i="3"/>
  <c r="P41" i="3" s="1"/>
  <c r="G41" i="3" s="1"/>
  <c r="V37" i="4"/>
  <c r="R37" i="4" s="1"/>
  <c r="S37" i="4" s="1"/>
  <c r="T38" i="4" s="1"/>
  <c r="N42" i="3"/>
  <c r="Q41" i="3"/>
  <c r="I42" i="3"/>
  <c r="V42" i="3" l="1"/>
  <c r="O42" i="3" s="1"/>
  <c r="P42" i="3" s="1"/>
  <c r="G42" i="3" s="1"/>
  <c r="N43" i="3" s="1"/>
  <c r="R42" i="3"/>
  <c r="S42" i="3" s="1"/>
  <c r="U38" i="4"/>
  <c r="O37" i="4"/>
  <c r="P37" i="4" s="1"/>
  <c r="G37" i="4" s="1"/>
  <c r="N38" i="4" s="1"/>
  <c r="K146" i="4"/>
  <c r="P146" i="3"/>
  <c r="G146" i="3" s="1"/>
  <c r="Q42" i="3"/>
  <c r="K147" i="3"/>
  <c r="H42" i="3"/>
  <c r="L43" i="3" s="1"/>
  <c r="M43" i="3" s="1"/>
  <c r="I43" i="3"/>
  <c r="F148" i="3"/>
  <c r="E149" i="3"/>
  <c r="E148" i="4"/>
  <c r="F147" i="4"/>
  <c r="T43" i="3"/>
  <c r="J38" i="4"/>
  <c r="H38" i="4"/>
  <c r="L39" i="4" s="1"/>
  <c r="M39" i="4" s="1"/>
  <c r="P145" i="4"/>
  <c r="G145" i="4" s="1"/>
  <c r="Q43" i="3" l="1"/>
  <c r="P146" i="4"/>
  <c r="G146" i="4" s="1"/>
  <c r="K148" i="3"/>
  <c r="H43" i="3"/>
  <c r="L44" i="3" s="1"/>
  <c r="M44" i="3" s="1"/>
  <c r="I44" i="3"/>
  <c r="Q38" i="4"/>
  <c r="J42" i="3"/>
  <c r="I39" i="4"/>
  <c r="P147" i="3"/>
  <c r="G147" i="3" s="1"/>
  <c r="U43" i="3"/>
  <c r="K147" i="4"/>
  <c r="F148" i="4"/>
  <c r="E149" i="4"/>
  <c r="E150" i="3"/>
  <c r="F149" i="3"/>
  <c r="V38" i="4"/>
  <c r="R38" i="4" s="1"/>
  <c r="S38" i="4" s="1"/>
  <c r="T39" i="4" s="1"/>
  <c r="U39" i="4" l="1"/>
  <c r="F150" i="3"/>
  <c r="E151" i="3"/>
  <c r="P148" i="3"/>
  <c r="G148" i="3" s="1"/>
  <c r="H44" i="3"/>
  <c r="L45" i="3" s="1"/>
  <c r="M45" i="3" s="1"/>
  <c r="J44" i="3"/>
  <c r="P147" i="4"/>
  <c r="G147" i="4" s="1"/>
  <c r="H39" i="4"/>
  <c r="L40" i="4" s="1"/>
  <c r="M40" i="4" s="1"/>
  <c r="J39" i="4"/>
  <c r="K149" i="3"/>
  <c r="J43" i="3"/>
  <c r="E150" i="4"/>
  <c r="F149" i="4"/>
  <c r="K148" i="4"/>
  <c r="V43" i="3"/>
  <c r="R43" i="3" s="1"/>
  <c r="S43" i="3" s="1"/>
  <c r="T44" i="3" s="1"/>
  <c r="O38" i="4"/>
  <c r="P38" i="4" s="1"/>
  <c r="G38" i="4" s="1"/>
  <c r="N39" i="4" s="1"/>
  <c r="I40" i="4" s="1"/>
  <c r="H40" i="4" l="1"/>
  <c r="L41" i="4" s="1"/>
  <c r="M41" i="4" s="1"/>
  <c r="U44" i="3"/>
  <c r="F150" i="4"/>
  <c r="E151" i="4"/>
  <c r="K150" i="3"/>
  <c r="P148" i="4"/>
  <c r="G148" i="4" s="1"/>
  <c r="E152" i="3"/>
  <c r="F151" i="3"/>
  <c r="K149" i="4"/>
  <c r="P149" i="3"/>
  <c r="G149" i="3" s="1"/>
  <c r="V39" i="4"/>
  <c r="O39" i="4" s="1"/>
  <c r="P39" i="4" s="1"/>
  <c r="G39" i="4" s="1"/>
  <c r="N40" i="4" s="1"/>
  <c r="R39" i="4"/>
  <c r="S39" i="4" s="1"/>
  <c r="T40" i="4" s="1"/>
  <c r="Q39" i="4"/>
  <c r="O43" i="3"/>
  <c r="P43" i="3" s="1"/>
  <c r="G43" i="3" s="1"/>
  <c r="N44" i="3" s="1"/>
  <c r="Q40" i="4" l="1"/>
  <c r="I41" i="4"/>
  <c r="E152" i="4"/>
  <c r="F151" i="4"/>
  <c r="K150" i="4"/>
  <c r="U40" i="4"/>
  <c r="V44" i="3"/>
  <c r="O44" i="3" s="1"/>
  <c r="P44" i="3" s="1"/>
  <c r="G44" i="3" s="1"/>
  <c r="N45" i="3" s="1"/>
  <c r="P149" i="4"/>
  <c r="G149" i="4" s="1"/>
  <c r="K151" i="3"/>
  <c r="J40" i="4"/>
  <c r="P150" i="3"/>
  <c r="G150" i="3" s="1"/>
  <c r="Q44" i="3"/>
  <c r="I45" i="3"/>
  <c r="F152" i="3"/>
  <c r="E153" i="3"/>
  <c r="Q45" i="3" l="1"/>
  <c r="R44" i="3"/>
  <c r="S44" i="3" s="1"/>
  <c r="T45" i="3" s="1"/>
  <c r="P151" i="3"/>
  <c r="G151" i="3" s="1"/>
  <c r="V40" i="4"/>
  <c r="O40" i="4" s="1"/>
  <c r="P40" i="4" s="1"/>
  <c r="G40" i="4" s="1"/>
  <c r="N41" i="4" s="1"/>
  <c r="H41" i="4"/>
  <c r="L42" i="4" s="1"/>
  <c r="M42" i="4" s="1"/>
  <c r="J41" i="4"/>
  <c r="K151" i="4"/>
  <c r="H45" i="3"/>
  <c r="L46" i="3" s="1"/>
  <c r="M46" i="3" s="1"/>
  <c r="I46" i="3"/>
  <c r="P150" i="4"/>
  <c r="G150" i="4" s="1"/>
  <c r="F152" i="4"/>
  <c r="E153" i="4"/>
  <c r="E154" i="3"/>
  <c r="F153" i="3"/>
  <c r="K152" i="3"/>
  <c r="Q41" i="4" l="1"/>
  <c r="I42" i="4"/>
  <c r="K152" i="4"/>
  <c r="R40" i="4"/>
  <c r="S40" i="4" s="1"/>
  <c r="T41" i="4" s="1"/>
  <c r="J45" i="3"/>
  <c r="H46" i="3"/>
  <c r="L47" i="3" s="1"/>
  <c r="J46" i="3"/>
  <c r="M47" i="3"/>
  <c r="K153" i="3"/>
  <c r="F154" i="3"/>
  <c r="E155" i="3"/>
  <c r="E154" i="4"/>
  <c r="F153" i="4"/>
  <c r="U45" i="3"/>
  <c r="P152" i="3"/>
  <c r="G152" i="3" s="1"/>
  <c r="P151" i="4"/>
  <c r="G151" i="4" s="1"/>
  <c r="P152" i="4" l="1"/>
  <c r="G152" i="4" s="1"/>
  <c r="H42" i="4"/>
  <c r="L43" i="4" s="1"/>
  <c r="M43" i="4" s="1"/>
  <c r="U41" i="4"/>
  <c r="F154" i="4"/>
  <c r="E155" i="4"/>
  <c r="E156" i="3"/>
  <c r="F155" i="3"/>
  <c r="V45" i="3"/>
  <c r="R45" i="3" s="1"/>
  <c r="S45" i="3" s="1"/>
  <c r="T46" i="3" s="1"/>
  <c r="K153" i="4"/>
  <c r="K154" i="3"/>
  <c r="P153" i="3"/>
  <c r="G153" i="3" s="1"/>
  <c r="U46" i="3" l="1"/>
  <c r="F156" i="3"/>
  <c r="E157" i="3"/>
  <c r="V41" i="4"/>
  <c r="R41" i="4" s="1"/>
  <c r="S41" i="4" s="1"/>
  <c r="T42" i="4" s="1"/>
  <c r="J42" i="4"/>
  <c r="K155" i="3"/>
  <c r="P154" i="3"/>
  <c r="G154" i="3" s="1"/>
  <c r="P153" i="4"/>
  <c r="G153" i="4" s="1"/>
  <c r="O45" i="3"/>
  <c r="P45" i="3" s="1"/>
  <c r="G45" i="3" s="1"/>
  <c r="N46" i="3" s="1"/>
  <c r="E156" i="4"/>
  <c r="F155" i="4"/>
  <c r="K154" i="4"/>
  <c r="U42" i="4" l="1"/>
  <c r="O41" i="4"/>
  <c r="P41" i="4" s="1"/>
  <c r="G41" i="4" s="1"/>
  <c r="N42" i="4" s="1"/>
  <c r="P155" i="3"/>
  <c r="G155" i="3" s="1"/>
  <c r="P154" i="4"/>
  <c r="G154" i="4" s="1"/>
  <c r="K155" i="4"/>
  <c r="F156" i="4"/>
  <c r="E157" i="4"/>
  <c r="E158" i="3"/>
  <c r="F157" i="3"/>
  <c r="V46" i="3"/>
  <c r="O46" i="3" s="1"/>
  <c r="P46" i="3" s="1"/>
  <c r="G46" i="3" s="1"/>
  <c r="N47" i="3" s="1"/>
  <c r="Q46" i="3"/>
  <c r="I47" i="3"/>
  <c r="K156" i="3"/>
  <c r="Q47" i="3" l="1"/>
  <c r="E158" i="4"/>
  <c r="F157" i="4"/>
  <c r="P156" i="3"/>
  <c r="G156" i="3" s="1"/>
  <c r="H47" i="3"/>
  <c r="L48" i="3" s="1"/>
  <c r="M48" i="3" s="1"/>
  <c r="I48" i="3"/>
  <c r="Q42" i="4"/>
  <c r="I43" i="4"/>
  <c r="P155" i="4"/>
  <c r="G155" i="4" s="1"/>
  <c r="R46" i="3"/>
  <c r="S46" i="3" s="1"/>
  <c r="T47" i="3" s="1"/>
  <c r="F158" i="3"/>
  <c r="E159" i="3"/>
  <c r="K156" i="4"/>
  <c r="V42" i="4"/>
  <c r="R42" i="4" s="1"/>
  <c r="S42" i="4" s="1"/>
  <c r="T43" i="4" s="1"/>
  <c r="K157" i="3"/>
  <c r="U43" i="4" l="1"/>
  <c r="O42" i="4"/>
  <c r="P42" i="4" s="1"/>
  <c r="G42" i="4" s="1"/>
  <c r="N43" i="4" s="1"/>
  <c r="H43" i="4"/>
  <c r="L44" i="4" s="1"/>
  <c r="M44" i="4" s="1"/>
  <c r="J43" i="4"/>
  <c r="I44" i="4"/>
  <c r="P157" i="3"/>
  <c r="G157" i="3" s="1"/>
  <c r="U47" i="3"/>
  <c r="H48" i="3"/>
  <c r="L49" i="3" s="1"/>
  <c r="M49" i="3" s="1"/>
  <c r="P156" i="4"/>
  <c r="G156" i="4" s="1"/>
  <c r="J47" i="3"/>
  <c r="E160" i="3"/>
  <c r="F159" i="3"/>
  <c r="K158" i="3"/>
  <c r="K157" i="4"/>
  <c r="F158" i="4"/>
  <c r="E159" i="4"/>
  <c r="P158" i="3" l="1"/>
  <c r="G158" i="3" s="1"/>
  <c r="P157" i="4"/>
  <c r="G157" i="4" s="1"/>
  <c r="K159" i="3"/>
  <c r="K158" i="4"/>
  <c r="F160" i="3"/>
  <c r="E161" i="3"/>
  <c r="M45" i="4"/>
  <c r="V47" i="3"/>
  <c r="O47" i="3"/>
  <c r="P47" i="3" s="1"/>
  <c r="G47" i="3" s="1"/>
  <c r="N48" i="3" s="1"/>
  <c r="R47" i="3"/>
  <c r="S47" i="3" s="1"/>
  <c r="T48" i="3" s="1"/>
  <c r="H44" i="4"/>
  <c r="L45" i="4" s="1"/>
  <c r="Q43" i="4"/>
  <c r="V43" i="4"/>
  <c r="R43" i="4"/>
  <c r="S43" i="4" s="1"/>
  <c r="T44" i="4" s="1"/>
  <c r="O43" i="4"/>
  <c r="P43" i="4" s="1"/>
  <c r="G43" i="4" s="1"/>
  <c r="N44" i="4" s="1"/>
  <c r="E160" i="4"/>
  <c r="F159" i="4"/>
  <c r="J48" i="3"/>
  <c r="Q44" i="4" l="1"/>
  <c r="I45" i="4"/>
  <c r="E162" i="3"/>
  <c r="F161" i="3"/>
  <c r="K160" i="3"/>
  <c r="U48" i="3"/>
  <c r="P159" i="3"/>
  <c r="G159" i="3" s="1"/>
  <c r="J44" i="4"/>
  <c r="K159" i="4"/>
  <c r="F160" i="4"/>
  <c r="E161" i="4"/>
  <c r="P158" i="4"/>
  <c r="G158" i="4" s="1"/>
  <c r="Q48" i="3"/>
  <c r="I49" i="3"/>
  <c r="U44" i="4"/>
  <c r="V44" i="4" l="1"/>
  <c r="R44" i="4" s="1"/>
  <c r="S44" i="4" s="1"/>
  <c r="T45" i="4" s="1"/>
  <c r="P160" i="3"/>
  <c r="G160" i="3" s="1"/>
  <c r="V48" i="3"/>
  <c r="R48" i="3" s="1"/>
  <c r="S48" i="3" s="1"/>
  <c r="T49" i="3" s="1"/>
  <c r="O48" i="3"/>
  <c r="P48" i="3" s="1"/>
  <c r="G48" i="3" s="1"/>
  <c r="N49" i="3" s="1"/>
  <c r="F162" i="3"/>
  <c r="E163" i="3"/>
  <c r="E162" i="4"/>
  <c r="F161" i="4"/>
  <c r="K160" i="4"/>
  <c r="H49" i="3"/>
  <c r="L50" i="3" s="1"/>
  <c r="M50" i="3" s="1"/>
  <c r="K161" i="3"/>
  <c r="P159" i="4"/>
  <c r="G159" i="4" s="1"/>
  <c r="J45" i="4"/>
  <c r="H45" i="4"/>
  <c r="L46" i="4" s="1"/>
  <c r="M46" i="4" s="1"/>
  <c r="U49" i="3" l="1"/>
  <c r="U45" i="4"/>
  <c r="O44" i="4"/>
  <c r="P44" i="4" s="1"/>
  <c r="G44" i="4" s="1"/>
  <c r="N45" i="4" s="1"/>
  <c r="Q49" i="3"/>
  <c r="I50" i="3"/>
  <c r="J49" i="3"/>
  <c r="K161" i="4"/>
  <c r="E164" i="3"/>
  <c r="F163" i="3"/>
  <c r="K162" i="3"/>
  <c r="P161" i="3"/>
  <c r="G161" i="3" s="1"/>
  <c r="P160" i="4"/>
  <c r="G160" i="4" s="1"/>
  <c r="F162" i="4"/>
  <c r="E163" i="4"/>
  <c r="H50" i="3" l="1"/>
  <c r="L51" i="3" s="1"/>
  <c r="M51" i="3" s="1"/>
  <c r="J50" i="3"/>
  <c r="E164" i="4"/>
  <c r="F163" i="4"/>
  <c r="P161" i="4"/>
  <c r="G161" i="4" s="1"/>
  <c r="K162" i="4"/>
  <c r="Q45" i="4"/>
  <c r="I46" i="4"/>
  <c r="P162" i="3"/>
  <c r="G162" i="3" s="1"/>
  <c r="K163" i="3"/>
  <c r="V45" i="4"/>
  <c r="R45" i="4"/>
  <c r="S45" i="4" s="1"/>
  <c r="T46" i="4" s="1"/>
  <c r="U46" i="4" s="1"/>
  <c r="O45" i="4"/>
  <c r="P45" i="4" s="1"/>
  <c r="G45" i="4" s="1"/>
  <c r="N46" i="4" s="1"/>
  <c r="V49" i="3"/>
  <c r="R49" i="3"/>
  <c r="S49" i="3" s="1"/>
  <c r="T50" i="3" s="1"/>
  <c r="O49" i="3"/>
  <c r="P49" i="3" s="1"/>
  <c r="G49" i="3" s="1"/>
  <c r="N50" i="3" s="1"/>
  <c r="F164" i="3"/>
  <c r="E165" i="3"/>
  <c r="V46" i="4" l="1"/>
  <c r="R46" i="4" s="1"/>
  <c r="S46" i="4" s="1"/>
  <c r="T47" i="4" s="1"/>
  <c r="Q46" i="4"/>
  <c r="U50" i="3"/>
  <c r="H46" i="4"/>
  <c r="L47" i="4" s="1"/>
  <c r="M47" i="4" s="1"/>
  <c r="I47" i="4"/>
  <c r="Q50" i="3"/>
  <c r="K163" i="4"/>
  <c r="I51" i="3"/>
  <c r="P162" i="4"/>
  <c r="G162" i="4" s="1"/>
  <c r="F164" i="4"/>
  <c r="E165" i="4"/>
  <c r="P163" i="3"/>
  <c r="G163" i="3" s="1"/>
  <c r="E166" i="3"/>
  <c r="F165" i="3"/>
  <c r="K164" i="3"/>
  <c r="U47" i="4" l="1"/>
  <c r="F166" i="3"/>
  <c r="E167" i="3"/>
  <c r="J46" i="4"/>
  <c r="H47" i="4"/>
  <c r="L48" i="4" s="1"/>
  <c r="E166" i="4"/>
  <c r="F165" i="4"/>
  <c r="V50" i="3"/>
  <c r="R50" i="3" s="1"/>
  <c r="S50" i="3" s="1"/>
  <c r="T51" i="3" s="1"/>
  <c r="H51" i="3"/>
  <c r="L52" i="3" s="1"/>
  <c r="M52" i="3" s="1"/>
  <c r="O46" i="4"/>
  <c r="P46" i="4" s="1"/>
  <c r="G46" i="4" s="1"/>
  <c r="N47" i="4" s="1"/>
  <c r="P164" i="3"/>
  <c r="G164" i="3" s="1"/>
  <c r="M48" i="4"/>
  <c r="K164" i="4"/>
  <c r="P163" i="4"/>
  <c r="G163" i="4" s="1"/>
  <c r="K165" i="3"/>
  <c r="U51" i="3" l="1"/>
  <c r="J47" i="4"/>
  <c r="F166" i="4"/>
  <c r="E167" i="4"/>
  <c r="K166" i="3"/>
  <c r="N48" i="4"/>
  <c r="Q47" i="4"/>
  <c r="E168" i="3"/>
  <c r="F167" i="3"/>
  <c r="J51" i="3"/>
  <c r="V47" i="4"/>
  <c r="O47" i="4"/>
  <c r="P47" i="4" s="1"/>
  <c r="G47" i="4" s="1"/>
  <c r="R47" i="4"/>
  <c r="S47" i="4" s="1"/>
  <c r="T48" i="4" s="1"/>
  <c r="P164" i="4"/>
  <c r="G164" i="4" s="1"/>
  <c r="K165" i="4"/>
  <c r="I48" i="4"/>
  <c r="P165" i="3"/>
  <c r="G165" i="3" s="1"/>
  <c r="O50" i="3"/>
  <c r="P50" i="3" s="1"/>
  <c r="G50" i="3" s="1"/>
  <c r="N51" i="3" s="1"/>
  <c r="F168" i="3" l="1"/>
  <c r="E169" i="3"/>
  <c r="K167" i="3"/>
  <c r="P166" i="3"/>
  <c r="G166" i="3" s="1"/>
  <c r="E168" i="4"/>
  <c r="F167" i="4"/>
  <c r="K166" i="4"/>
  <c r="U48" i="4"/>
  <c r="Q48" i="4"/>
  <c r="Q51" i="3"/>
  <c r="I52" i="3"/>
  <c r="V51" i="3"/>
  <c r="R51" i="3"/>
  <c r="S51" i="3" s="1"/>
  <c r="T52" i="3" s="1"/>
  <c r="O51" i="3"/>
  <c r="P51" i="3" s="1"/>
  <c r="G51" i="3" s="1"/>
  <c r="N52" i="3" s="1"/>
  <c r="H48" i="4"/>
  <c r="L49" i="4" s="1"/>
  <c r="M49" i="4" s="1"/>
  <c r="I49" i="4"/>
  <c r="P165" i="4"/>
  <c r="G165" i="4" s="1"/>
  <c r="Q52" i="3" l="1"/>
  <c r="H52" i="3"/>
  <c r="L53" i="3" s="1"/>
  <c r="M53" i="3" s="1"/>
  <c r="J52" i="3"/>
  <c r="I53" i="3"/>
  <c r="M50" i="4"/>
  <c r="V48" i="4"/>
  <c r="R48" i="4" s="1"/>
  <c r="S48" i="4" s="1"/>
  <c r="T49" i="4" s="1"/>
  <c r="J48" i="4"/>
  <c r="P167" i="3"/>
  <c r="G167" i="3" s="1"/>
  <c r="H49" i="4"/>
  <c r="L50" i="4" s="1"/>
  <c r="I50" i="4"/>
  <c r="P166" i="4"/>
  <c r="G166" i="4" s="1"/>
  <c r="K167" i="4"/>
  <c r="F168" i="4"/>
  <c r="E169" i="4"/>
  <c r="E170" i="3"/>
  <c r="F169" i="3"/>
  <c r="U52" i="3"/>
  <c r="K168" i="3"/>
  <c r="U49" i="4" l="1"/>
  <c r="E170" i="4"/>
  <c r="F169" i="4"/>
  <c r="O48" i="4"/>
  <c r="K168" i="4"/>
  <c r="P168" i="3"/>
  <c r="G168" i="3" s="1"/>
  <c r="K169" i="3"/>
  <c r="F170" i="3"/>
  <c r="E171" i="3"/>
  <c r="P167" i="4"/>
  <c r="G167" i="4" s="1"/>
  <c r="H50" i="4"/>
  <c r="L51" i="4" s="1"/>
  <c r="I51" i="4"/>
  <c r="M51" i="4"/>
  <c r="H53" i="3"/>
  <c r="L54" i="3" s="1"/>
  <c r="M54" i="3" s="1"/>
  <c r="I54" i="3"/>
  <c r="U53" i="3"/>
  <c r="V52" i="3"/>
  <c r="R52" i="3"/>
  <c r="S52" i="3" s="1"/>
  <c r="T53" i="3" s="1"/>
  <c r="O52" i="3"/>
  <c r="P52" i="3" s="1"/>
  <c r="G52" i="3" s="1"/>
  <c r="N53" i="3" s="1"/>
  <c r="J49" i="4"/>
  <c r="K170" i="3" l="1"/>
  <c r="J53" i="3"/>
  <c r="P48" i="4"/>
  <c r="G48" i="4" s="1"/>
  <c r="N49" i="4" s="1"/>
  <c r="AB4" i="4"/>
  <c r="K169" i="4"/>
  <c r="H51" i="4"/>
  <c r="L52" i="4" s="1"/>
  <c r="M52" i="4" s="1"/>
  <c r="I52" i="4"/>
  <c r="J50" i="4"/>
  <c r="H54" i="3"/>
  <c r="L55" i="3" s="1"/>
  <c r="M55" i="3" s="1"/>
  <c r="J54" i="3"/>
  <c r="V49" i="4"/>
  <c r="R49" i="4"/>
  <c r="S49" i="4" s="1"/>
  <c r="T50" i="4" s="1"/>
  <c r="U50" i="4" s="1"/>
  <c r="O49" i="4"/>
  <c r="V53" i="3"/>
  <c r="O53" i="3" s="1"/>
  <c r="P53" i="3" s="1"/>
  <c r="G53" i="3" s="1"/>
  <c r="N54" i="3" s="1"/>
  <c r="P169" i="3"/>
  <c r="G169" i="3" s="1"/>
  <c r="P168" i="4"/>
  <c r="G168" i="4" s="1"/>
  <c r="Q53" i="3"/>
  <c r="F170" i="4"/>
  <c r="E171" i="4"/>
  <c r="E172" i="3"/>
  <c r="F171" i="3"/>
  <c r="V50" i="4" l="1"/>
  <c r="R50" i="4" s="1"/>
  <c r="S50" i="4" s="1"/>
  <c r="T51" i="4" s="1"/>
  <c r="Q54" i="3"/>
  <c r="I55" i="3"/>
  <c r="J51" i="4"/>
  <c r="H52" i="4"/>
  <c r="L53" i="4" s="1"/>
  <c r="M53" i="4" s="1"/>
  <c r="I53" i="4"/>
  <c r="F172" i="3"/>
  <c r="E173" i="3"/>
  <c r="E172" i="4"/>
  <c r="F171" i="4"/>
  <c r="K170" i="4"/>
  <c r="P170" i="3"/>
  <c r="G170" i="3" s="1"/>
  <c r="R53" i="3"/>
  <c r="S53" i="3" s="1"/>
  <c r="T54" i="3" s="1"/>
  <c r="K171" i="3"/>
  <c r="P169" i="4"/>
  <c r="G169" i="4" s="1"/>
  <c r="N50" i="4"/>
  <c r="Q49" i="4"/>
  <c r="U51" i="4" l="1"/>
  <c r="H55" i="3"/>
  <c r="L56" i="3" s="1"/>
  <c r="M56" i="3" s="1"/>
  <c r="P171" i="3"/>
  <c r="G171" i="3" s="1"/>
  <c r="J52" i="4"/>
  <c r="Q50" i="4"/>
  <c r="N51" i="4"/>
  <c r="F172" i="4"/>
  <c r="E173" i="4"/>
  <c r="O50" i="4"/>
  <c r="K172" i="3"/>
  <c r="U54" i="3"/>
  <c r="P170" i="4"/>
  <c r="G170" i="4" s="1"/>
  <c r="K171" i="4"/>
  <c r="E174" i="3"/>
  <c r="F173" i="3"/>
  <c r="H53" i="4"/>
  <c r="L54" i="4" s="1"/>
  <c r="M54" i="4" s="1"/>
  <c r="I54" i="4"/>
  <c r="K173" i="3" l="1"/>
  <c r="N52" i="4"/>
  <c r="Q51" i="4"/>
  <c r="F174" i="3"/>
  <c r="E175" i="3"/>
  <c r="H54" i="4"/>
  <c r="L55" i="4" s="1"/>
  <c r="M55" i="4" s="1"/>
  <c r="I55" i="4"/>
  <c r="P171" i="4"/>
  <c r="G171" i="4" s="1"/>
  <c r="J55" i="3"/>
  <c r="K172" i="4"/>
  <c r="V54" i="3"/>
  <c r="R54" i="3"/>
  <c r="S54" i="3" s="1"/>
  <c r="T55" i="3" s="1"/>
  <c r="O54" i="3"/>
  <c r="P54" i="3" s="1"/>
  <c r="G54" i="3" s="1"/>
  <c r="N55" i="3" s="1"/>
  <c r="P172" i="3"/>
  <c r="G172" i="3" s="1"/>
  <c r="V51" i="4"/>
  <c r="O51" i="4" s="1"/>
  <c r="J53" i="4"/>
  <c r="E174" i="4"/>
  <c r="F173" i="4"/>
  <c r="K173" i="4" l="1"/>
  <c r="U55" i="3"/>
  <c r="Q55" i="3"/>
  <c r="I56" i="3"/>
  <c r="Q52" i="4"/>
  <c r="N53" i="4"/>
  <c r="R51" i="4"/>
  <c r="S51" i="4" s="1"/>
  <c r="T52" i="4" s="1"/>
  <c r="J55" i="4"/>
  <c r="H55" i="4"/>
  <c r="L56" i="4" s="1"/>
  <c r="M56" i="4" s="1"/>
  <c r="I56" i="4"/>
  <c r="J54" i="4"/>
  <c r="K174" i="3"/>
  <c r="E176" i="3"/>
  <c r="F175" i="3"/>
  <c r="P172" i="4"/>
  <c r="G172" i="4" s="1"/>
  <c r="P173" i="3"/>
  <c r="G173" i="3" s="1"/>
  <c r="E175" i="4"/>
  <c r="F174" i="4"/>
  <c r="N54" i="4" l="1"/>
  <c r="Q53" i="4"/>
  <c r="U52" i="4"/>
  <c r="V55" i="3"/>
  <c r="R55" i="3"/>
  <c r="S55" i="3" s="1"/>
  <c r="T56" i="3" s="1"/>
  <c r="U56" i="3" s="1"/>
  <c r="O55" i="3"/>
  <c r="P55" i="3" s="1"/>
  <c r="G55" i="3" s="1"/>
  <c r="N56" i="3" s="1"/>
  <c r="H56" i="4"/>
  <c r="L57" i="4" s="1"/>
  <c r="M57" i="4" s="1"/>
  <c r="I57" i="4"/>
  <c r="E176" i="4"/>
  <c r="F175" i="4"/>
  <c r="H56" i="3"/>
  <c r="L57" i="3" s="1"/>
  <c r="M57" i="3" s="1"/>
  <c r="K175" i="3"/>
  <c r="F176" i="3"/>
  <c r="E177" i="3"/>
  <c r="P174" i="3"/>
  <c r="G174" i="3" s="1"/>
  <c r="P173" i="4"/>
  <c r="G173" i="4" s="1"/>
  <c r="K174" i="4"/>
  <c r="V56" i="3" l="1"/>
  <c r="R56" i="3"/>
  <c r="S56" i="3" s="1"/>
  <c r="T57" i="3" s="1"/>
  <c r="O56" i="3"/>
  <c r="P56" i="3" s="1"/>
  <c r="G56" i="3" s="1"/>
  <c r="N57" i="3" s="1"/>
  <c r="Q56" i="3"/>
  <c r="H57" i="4"/>
  <c r="L58" i="4" s="1"/>
  <c r="M58" i="4" s="1"/>
  <c r="I58" i="4"/>
  <c r="E178" i="3"/>
  <c r="F177" i="3"/>
  <c r="K176" i="3"/>
  <c r="J56" i="4"/>
  <c r="P175" i="3"/>
  <c r="G175" i="3" s="1"/>
  <c r="V52" i="4"/>
  <c r="O52" i="4" s="1"/>
  <c r="Q54" i="4"/>
  <c r="N55" i="4"/>
  <c r="I57" i="3"/>
  <c r="J56" i="3"/>
  <c r="P174" i="4"/>
  <c r="G174" i="4" s="1"/>
  <c r="K175" i="4"/>
  <c r="E177" i="4"/>
  <c r="F176" i="4"/>
  <c r="Q57" i="3" l="1"/>
  <c r="U57" i="3"/>
  <c r="F178" i="3"/>
  <c r="E179" i="3"/>
  <c r="K176" i="4"/>
  <c r="R52" i="4"/>
  <c r="S52" i="4" s="1"/>
  <c r="T53" i="4" s="1"/>
  <c r="N56" i="4"/>
  <c r="Q55" i="4"/>
  <c r="H58" i="4"/>
  <c r="L59" i="4" s="1"/>
  <c r="M59" i="4" s="1"/>
  <c r="I59" i="4"/>
  <c r="P175" i="4"/>
  <c r="G175" i="4" s="1"/>
  <c r="H57" i="3"/>
  <c r="L58" i="3" s="1"/>
  <c r="M58" i="3" s="1"/>
  <c r="I58" i="3"/>
  <c r="K177" i="3"/>
  <c r="E178" i="4"/>
  <c r="F177" i="4"/>
  <c r="J57" i="4"/>
  <c r="P176" i="3"/>
  <c r="G176" i="3" s="1"/>
  <c r="K177" i="4" l="1"/>
  <c r="E179" i="4"/>
  <c r="F178" i="4"/>
  <c r="U53" i="4"/>
  <c r="P176" i="4"/>
  <c r="G176" i="4" s="1"/>
  <c r="V57" i="3"/>
  <c r="R57" i="3" s="1"/>
  <c r="S57" i="3" s="1"/>
  <c r="T58" i="3" s="1"/>
  <c r="O57" i="3"/>
  <c r="P57" i="3" s="1"/>
  <c r="G57" i="3" s="1"/>
  <c r="N58" i="3" s="1"/>
  <c r="Q56" i="4"/>
  <c r="N57" i="4"/>
  <c r="P177" i="3"/>
  <c r="G177" i="3" s="1"/>
  <c r="H58" i="3"/>
  <c r="L59" i="3" s="1"/>
  <c r="J58" i="3"/>
  <c r="M59" i="3"/>
  <c r="E180" i="3"/>
  <c r="F179" i="3"/>
  <c r="J57" i="3"/>
  <c r="K178" i="3"/>
  <c r="H59" i="4"/>
  <c r="L60" i="4" s="1"/>
  <c r="M60" i="4" s="1"/>
  <c r="I60" i="4"/>
  <c r="J58" i="4"/>
  <c r="U58" i="3" l="1"/>
  <c r="F180" i="3"/>
  <c r="E181" i="3"/>
  <c r="V53" i="4"/>
  <c r="R53" i="4"/>
  <c r="S53" i="4" s="1"/>
  <c r="T54" i="4" s="1"/>
  <c r="U54" i="4" s="1"/>
  <c r="O53" i="4"/>
  <c r="E180" i="4"/>
  <c r="F179" i="4"/>
  <c r="K179" i="3"/>
  <c r="H60" i="4"/>
  <c r="L61" i="4" s="1"/>
  <c r="M61" i="4" s="1"/>
  <c r="I61" i="4"/>
  <c r="J59" i="4"/>
  <c r="Q58" i="3"/>
  <c r="K178" i="4"/>
  <c r="P178" i="3"/>
  <c r="G178" i="3" s="1"/>
  <c r="P177" i="4"/>
  <c r="G177" i="4" s="1"/>
  <c r="I59" i="3"/>
  <c r="N58" i="4"/>
  <c r="Q57" i="4"/>
  <c r="V54" i="4" l="1"/>
  <c r="R54" i="4" s="1"/>
  <c r="S54" i="4" s="1"/>
  <c r="T55" i="4" s="1"/>
  <c r="K179" i="4"/>
  <c r="P178" i="4"/>
  <c r="G178" i="4" s="1"/>
  <c r="E181" i="4"/>
  <c r="F180" i="4"/>
  <c r="Q58" i="4"/>
  <c r="N59" i="4"/>
  <c r="E182" i="3"/>
  <c r="F181" i="3"/>
  <c r="J60" i="4"/>
  <c r="P179" i="3"/>
  <c r="G179" i="3" s="1"/>
  <c r="H61" i="4"/>
  <c r="L62" i="4" s="1"/>
  <c r="M62" i="4" s="1"/>
  <c r="I62" i="4"/>
  <c r="K180" i="3"/>
  <c r="J59" i="3"/>
  <c r="H59" i="3"/>
  <c r="L60" i="3" s="1"/>
  <c r="M60" i="3" s="1"/>
  <c r="V58" i="3"/>
  <c r="O58" i="3" s="1"/>
  <c r="P58" i="3" s="1"/>
  <c r="G58" i="3" s="1"/>
  <c r="N59" i="3" s="1"/>
  <c r="R58" i="3"/>
  <c r="S58" i="3" s="1"/>
  <c r="T59" i="3" s="1"/>
  <c r="Q59" i="3" l="1"/>
  <c r="I60" i="3"/>
  <c r="U55" i="4"/>
  <c r="H62" i="4"/>
  <c r="L63" i="4" s="1"/>
  <c r="M63" i="4" s="1"/>
  <c r="I63" i="4"/>
  <c r="K180" i="4"/>
  <c r="J61" i="4"/>
  <c r="P180" i="3"/>
  <c r="G180" i="3" s="1"/>
  <c r="P179" i="4"/>
  <c r="G179" i="4" s="1"/>
  <c r="F181" i="4"/>
  <c r="E182" i="4"/>
  <c r="O54" i="4"/>
  <c r="E183" i="3"/>
  <c r="F182" i="3"/>
  <c r="U59" i="3"/>
  <c r="K181" i="3"/>
  <c r="N60" i="4"/>
  <c r="Q59" i="4"/>
  <c r="P181" i="3" l="1"/>
  <c r="G181" i="3" s="1"/>
  <c r="P180" i="4"/>
  <c r="G180" i="4" s="1"/>
  <c r="E184" i="3"/>
  <c r="F183" i="3"/>
  <c r="H63" i="4"/>
  <c r="L64" i="4" s="1"/>
  <c r="M64" i="4" s="1"/>
  <c r="I64" i="4"/>
  <c r="J62" i="4"/>
  <c r="V59" i="3"/>
  <c r="R59" i="3" s="1"/>
  <c r="S59" i="3" s="1"/>
  <c r="T60" i="3" s="1"/>
  <c r="K182" i="3"/>
  <c r="V55" i="4"/>
  <c r="R55" i="4" s="1"/>
  <c r="S55" i="4" s="1"/>
  <c r="T56" i="4" s="1"/>
  <c r="O55" i="4"/>
  <c r="K181" i="4"/>
  <c r="E183" i="4"/>
  <c r="F182" i="4"/>
  <c r="Q60" i="4"/>
  <c r="N61" i="4"/>
  <c r="H60" i="3"/>
  <c r="L61" i="3" s="1"/>
  <c r="M61" i="3" s="1"/>
  <c r="J60" i="3"/>
  <c r="U60" i="3" l="1"/>
  <c r="U56" i="4"/>
  <c r="F183" i="4"/>
  <c r="E184" i="4"/>
  <c r="H64" i="4"/>
  <c r="L65" i="4" s="1"/>
  <c r="M65" i="4" s="1"/>
  <c r="I65" i="4"/>
  <c r="J63" i="4"/>
  <c r="P182" i="3"/>
  <c r="G182" i="3" s="1"/>
  <c r="P181" i="4"/>
  <c r="G181" i="4" s="1"/>
  <c r="K183" i="3"/>
  <c r="F184" i="3"/>
  <c r="E185" i="3"/>
  <c r="N62" i="4"/>
  <c r="Q61" i="4"/>
  <c r="O59" i="3"/>
  <c r="P59" i="3" s="1"/>
  <c r="G59" i="3" s="1"/>
  <c r="N60" i="3" s="1"/>
  <c r="K182" i="4"/>
  <c r="Q60" i="3" l="1"/>
  <c r="I61" i="3"/>
  <c r="E186" i="3"/>
  <c r="F185" i="3"/>
  <c r="E185" i="4"/>
  <c r="F184" i="4"/>
  <c r="Q62" i="4"/>
  <c r="N63" i="4"/>
  <c r="J64" i="4"/>
  <c r="K183" i="4"/>
  <c r="P183" i="3"/>
  <c r="G183" i="3" s="1"/>
  <c r="V60" i="3"/>
  <c r="R60" i="3" s="1"/>
  <c r="S60" i="3" s="1"/>
  <c r="T61" i="3" s="1"/>
  <c r="P182" i="4"/>
  <c r="G182" i="4" s="1"/>
  <c r="H65" i="4"/>
  <c r="L66" i="4" s="1"/>
  <c r="M66" i="4" s="1"/>
  <c r="I66" i="4"/>
  <c r="K184" i="3"/>
  <c r="V56" i="4"/>
  <c r="R56" i="4" s="1"/>
  <c r="S56" i="4" s="1"/>
  <c r="T57" i="4" s="1"/>
  <c r="U61" i="3" l="1"/>
  <c r="U57" i="4"/>
  <c r="O60" i="3"/>
  <c r="P60" i="3" s="1"/>
  <c r="G60" i="3" s="1"/>
  <c r="N61" i="3" s="1"/>
  <c r="H66" i="4"/>
  <c r="L67" i="4" s="1"/>
  <c r="M67" i="4" s="1"/>
  <c r="I67" i="4"/>
  <c r="N64" i="4"/>
  <c r="Q63" i="4"/>
  <c r="J61" i="3"/>
  <c r="H61" i="3"/>
  <c r="L62" i="3" s="1"/>
  <c r="M62" i="3" s="1"/>
  <c r="K185" i="3"/>
  <c r="J65" i="4"/>
  <c r="K184" i="4"/>
  <c r="O56" i="4"/>
  <c r="F186" i="3"/>
  <c r="E187" i="3"/>
  <c r="F185" i="4"/>
  <c r="E186" i="4"/>
  <c r="P184" i="3"/>
  <c r="G184" i="3" s="1"/>
  <c r="P183" i="4"/>
  <c r="G183" i="4" s="1"/>
  <c r="E187" i="4" l="1"/>
  <c r="F186" i="4"/>
  <c r="K186" i="3"/>
  <c r="V57" i="4"/>
  <c r="R57" i="4" s="1"/>
  <c r="S57" i="4" s="1"/>
  <c r="T58" i="4" s="1"/>
  <c r="O57" i="4"/>
  <c r="Q64" i="4"/>
  <c r="N65" i="4"/>
  <c r="J67" i="4"/>
  <c r="H67" i="4"/>
  <c r="L68" i="4" s="1"/>
  <c r="M68" i="4" s="1"/>
  <c r="I68" i="4"/>
  <c r="J66" i="4"/>
  <c r="P185" i="3"/>
  <c r="G185" i="3" s="1"/>
  <c r="Q61" i="3"/>
  <c r="I62" i="3"/>
  <c r="V61" i="3"/>
  <c r="O61" i="3" s="1"/>
  <c r="P61" i="3" s="1"/>
  <c r="G61" i="3" s="1"/>
  <c r="N62" i="3" s="1"/>
  <c r="R61" i="3"/>
  <c r="S61" i="3" s="1"/>
  <c r="T62" i="3" s="1"/>
  <c r="U62" i="3" s="1"/>
  <c r="K185" i="4"/>
  <c r="E188" i="3"/>
  <c r="F187" i="3"/>
  <c r="P184" i="4"/>
  <c r="G184" i="4" s="1"/>
  <c r="V62" i="3" l="1"/>
  <c r="R62" i="3" s="1"/>
  <c r="S62" i="3" s="1"/>
  <c r="T63" i="3" s="1"/>
  <c r="U58" i="4"/>
  <c r="M69" i="4"/>
  <c r="Q62" i="3"/>
  <c r="P186" i="3"/>
  <c r="G186" i="3" s="1"/>
  <c r="N66" i="4"/>
  <c r="Q65" i="4"/>
  <c r="H62" i="3"/>
  <c r="L63" i="3" s="1"/>
  <c r="M63" i="3" s="1"/>
  <c r="J62" i="3"/>
  <c r="I63" i="3"/>
  <c r="K187" i="3"/>
  <c r="F188" i="3"/>
  <c r="E189" i="3"/>
  <c r="K186" i="4"/>
  <c r="P185" i="4"/>
  <c r="G185" i="4" s="1"/>
  <c r="H68" i="4"/>
  <c r="L69" i="4" s="1"/>
  <c r="I69" i="4"/>
  <c r="F187" i="4"/>
  <c r="E188" i="4"/>
  <c r="U63" i="3" l="1"/>
  <c r="P186" i="4"/>
  <c r="G186" i="4" s="1"/>
  <c r="V58" i="4"/>
  <c r="R58" i="4" s="1"/>
  <c r="S58" i="4" s="1"/>
  <c r="T59" i="4" s="1"/>
  <c r="K188" i="3"/>
  <c r="P187" i="3"/>
  <c r="G187" i="3" s="1"/>
  <c r="E189" i="4"/>
  <c r="F188" i="4"/>
  <c r="M64" i="3"/>
  <c r="K187" i="4"/>
  <c r="H69" i="4"/>
  <c r="L70" i="4" s="1"/>
  <c r="I70" i="4"/>
  <c r="J68" i="4"/>
  <c r="E190" i="3"/>
  <c r="F189" i="3"/>
  <c r="M70" i="4"/>
  <c r="H63" i="3"/>
  <c r="L64" i="3" s="1"/>
  <c r="O62" i="3"/>
  <c r="P62" i="3" s="1"/>
  <c r="G62" i="3" s="1"/>
  <c r="N63" i="3" s="1"/>
  <c r="Q66" i="4"/>
  <c r="N67" i="4"/>
  <c r="U59" i="4" l="1"/>
  <c r="E191" i="3"/>
  <c r="F190" i="3"/>
  <c r="P187" i="4"/>
  <c r="G187" i="4" s="1"/>
  <c r="Q63" i="3"/>
  <c r="P188" i="3"/>
  <c r="G188" i="3" s="1"/>
  <c r="H70" i="4"/>
  <c r="L71" i="4" s="1"/>
  <c r="M71" i="4" s="1"/>
  <c r="I71" i="4"/>
  <c r="J69" i="4"/>
  <c r="K189" i="3"/>
  <c r="O58" i="4"/>
  <c r="V63" i="3"/>
  <c r="R63" i="3"/>
  <c r="S63" i="3" s="1"/>
  <c r="T64" i="3" s="1"/>
  <c r="U64" i="3" s="1"/>
  <c r="O63" i="3"/>
  <c r="P63" i="3" s="1"/>
  <c r="G63" i="3" s="1"/>
  <c r="N64" i="3" s="1"/>
  <c r="N68" i="4"/>
  <c r="Q67" i="4"/>
  <c r="I64" i="3"/>
  <c r="K188" i="4"/>
  <c r="J63" i="3"/>
  <c r="E190" i="4"/>
  <c r="F189" i="4"/>
  <c r="Q64" i="3" l="1"/>
  <c r="V64" i="3"/>
  <c r="R64" i="3" s="1"/>
  <c r="S64" i="3" s="1"/>
  <c r="T65" i="3" s="1"/>
  <c r="Q68" i="4"/>
  <c r="N69" i="4"/>
  <c r="E191" i="4"/>
  <c r="F190" i="4"/>
  <c r="J70" i="4"/>
  <c r="K189" i="4"/>
  <c r="E192" i="3"/>
  <c r="F191" i="3"/>
  <c r="P189" i="3"/>
  <c r="G189" i="3" s="1"/>
  <c r="K190" i="3"/>
  <c r="V59" i="4"/>
  <c r="R59" i="4" s="1"/>
  <c r="S59" i="4" s="1"/>
  <c r="T60" i="4" s="1"/>
  <c r="P188" i="4"/>
  <c r="G188" i="4" s="1"/>
  <c r="H64" i="3"/>
  <c r="L65" i="3" s="1"/>
  <c r="M65" i="3" s="1"/>
  <c r="J64" i="3"/>
  <c r="I65" i="3"/>
  <c r="H71" i="4"/>
  <c r="L72" i="4" s="1"/>
  <c r="M72" i="4" s="1"/>
  <c r="I72" i="4"/>
  <c r="U65" i="3" l="1"/>
  <c r="U60" i="4"/>
  <c r="K190" i="4"/>
  <c r="H72" i="4"/>
  <c r="L73" i="4" s="1"/>
  <c r="M73" i="4" s="1"/>
  <c r="I73" i="4"/>
  <c r="E192" i="4"/>
  <c r="F191" i="4"/>
  <c r="K191" i="3"/>
  <c r="P190" i="3"/>
  <c r="G190" i="3" s="1"/>
  <c r="N70" i="4"/>
  <c r="Q69" i="4"/>
  <c r="H65" i="3"/>
  <c r="L66" i="3" s="1"/>
  <c r="I66" i="3"/>
  <c r="M66" i="3"/>
  <c r="O59" i="4"/>
  <c r="J71" i="4"/>
  <c r="O64" i="3"/>
  <c r="P64" i="3" s="1"/>
  <c r="G64" i="3" s="1"/>
  <c r="N65" i="3" s="1"/>
  <c r="F192" i="3"/>
  <c r="E193" i="3"/>
  <c r="P189" i="4"/>
  <c r="G189" i="4" s="1"/>
  <c r="P190" i="4" l="1"/>
  <c r="G190" i="4" s="1"/>
  <c r="J65" i="3"/>
  <c r="M67" i="3"/>
  <c r="Q70" i="4"/>
  <c r="N71" i="4"/>
  <c r="V65" i="3"/>
  <c r="R65" i="3" s="1"/>
  <c r="S65" i="3" s="1"/>
  <c r="T66" i="3" s="1"/>
  <c r="O65" i="3"/>
  <c r="P65" i="3" s="1"/>
  <c r="G65" i="3" s="1"/>
  <c r="N66" i="3" s="1"/>
  <c r="K191" i="4"/>
  <c r="H66" i="3"/>
  <c r="L67" i="3" s="1"/>
  <c r="J66" i="3"/>
  <c r="V60" i="4"/>
  <c r="R60" i="4" s="1"/>
  <c r="S60" i="4" s="1"/>
  <c r="T61" i="4" s="1"/>
  <c r="E194" i="3"/>
  <c r="F193" i="3"/>
  <c r="K192" i="3"/>
  <c r="E193" i="4"/>
  <c r="F192" i="4"/>
  <c r="H73" i="4"/>
  <c r="L74" i="4" s="1"/>
  <c r="M74" i="4" s="1"/>
  <c r="I74" i="4"/>
  <c r="J72" i="4"/>
  <c r="Q65" i="3"/>
  <c r="P191" i="3"/>
  <c r="G191" i="3" s="1"/>
  <c r="U66" i="3" l="1"/>
  <c r="Q66" i="3"/>
  <c r="I67" i="3"/>
  <c r="M75" i="4"/>
  <c r="U61" i="4"/>
  <c r="P191" i="4"/>
  <c r="G191" i="4" s="1"/>
  <c r="P192" i="3"/>
  <c r="G192" i="3" s="1"/>
  <c r="H74" i="4"/>
  <c r="L75" i="4" s="1"/>
  <c r="I75" i="4"/>
  <c r="F194" i="3"/>
  <c r="E195" i="3"/>
  <c r="O60" i="4"/>
  <c r="K193" i="3"/>
  <c r="N72" i="4"/>
  <c r="Q71" i="4"/>
  <c r="J73" i="4"/>
  <c r="K192" i="4"/>
  <c r="E194" i="4"/>
  <c r="F193" i="4"/>
  <c r="Q72" i="4" l="1"/>
  <c r="N73" i="4"/>
  <c r="V61" i="4"/>
  <c r="R61" i="4"/>
  <c r="S61" i="4" s="1"/>
  <c r="T62" i="4" s="1"/>
  <c r="O61" i="4"/>
  <c r="M76" i="4"/>
  <c r="E196" i="3"/>
  <c r="F195" i="3"/>
  <c r="K194" i="3"/>
  <c r="R66" i="3"/>
  <c r="S66" i="3" s="1"/>
  <c r="T67" i="3" s="1"/>
  <c r="V66" i="3"/>
  <c r="O66" i="3" s="1"/>
  <c r="P66" i="3" s="1"/>
  <c r="G66" i="3" s="1"/>
  <c r="N67" i="3" s="1"/>
  <c r="P193" i="3"/>
  <c r="G193" i="3" s="1"/>
  <c r="H67" i="3"/>
  <c r="L68" i="3" s="1"/>
  <c r="M68" i="3" s="1"/>
  <c r="K193" i="4"/>
  <c r="E195" i="4"/>
  <c r="F194" i="4"/>
  <c r="H75" i="4"/>
  <c r="L76" i="4" s="1"/>
  <c r="I76" i="4"/>
  <c r="P192" i="4"/>
  <c r="G192" i="4" s="1"/>
  <c r="J74" i="4"/>
  <c r="Q67" i="3" l="1"/>
  <c r="I68" i="3"/>
  <c r="P193" i="4"/>
  <c r="G193" i="4" s="1"/>
  <c r="E197" i="3"/>
  <c r="F196" i="3"/>
  <c r="K195" i="3"/>
  <c r="K194" i="4"/>
  <c r="E196" i="4"/>
  <c r="F195" i="4"/>
  <c r="P194" i="3"/>
  <c r="G194" i="3" s="1"/>
  <c r="J67" i="3"/>
  <c r="U62" i="4"/>
  <c r="H76" i="4"/>
  <c r="L77" i="4" s="1"/>
  <c r="M77" i="4" s="1"/>
  <c r="I77" i="4"/>
  <c r="N74" i="4"/>
  <c r="Q73" i="4"/>
  <c r="J75" i="4"/>
  <c r="U67" i="3"/>
  <c r="P194" i="4" l="1"/>
  <c r="G194" i="4" s="1"/>
  <c r="K196" i="3"/>
  <c r="V62" i="4"/>
  <c r="O62" i="4" s="1"/>
  <c r="K195" i="4"/>
  <c r="J76" i="4"/>
  <c r="E197" i="4"/>
  <c r="F196" i="4"/>
  <c r="H77" i="4"/>
  <c r="L78" i="4" s="1"/>
  <c r="M78" i="4" s="1"/>
  <c r="I78" i="4"/>
  <c r="P195" i="3"/>
  <c r="G195" i="3" s="1"/>
  <c r="E198" i="3"/>
  <c r="F197" i="3"/>
  <c r="V67" i="3"/>
  <c r="R67" i="3"/>
  <c r="S67" i="3" s="1"/>
  <c r="T68" i="3" s="1"/>
  <c r="O67" i="3"/>
  <c r="P67" i="3" s="1"/>
  <c r="G67" i="3" s="1"/>
  <c r="N68" i="3" s="1"/>
  <c r="H68" i="3"/>
  <c r="L69" i="3" s="1"/>
  <c r="M69" i="3" s="1"/>
  <c r="J68" i="3"/>
  <c r="Q74" i="4"/>
  <c r="N75" i="4"/>
  <c r="P195" i="4" l="1"/>
  <c r="G195" i="4" s="1"/>
  <c r="Q68" i="3"/>
  <c r="K197" i="3"/>
  <c r="N76" i="4"/>
  <c r="Q75" i="4"/>
  <c r="R62" i="4"/>
  <c r="S62" i="4" s="1"/>
  <c r="T63" i="4" s="1"/>
  <c r="E199" i="3"/>
  <c r="F198" i="3"/>
  <c r="H78" i="4"/>
  <c r="L79" i="4" s="1"/>
  <c r="M79" i="4" s="1"/>
  <c r="I79" i="4"/>
  <c r="I69" i="3"/>
  <c r="P196" i="3"/>
  <c r="G196" i="3" s="1"/>
  <c r="J77" i="4"/>
  <c r="K196" i="4"/>
  <c r="U68" i="3"/>
  <c r="E198" i="4"/>
  <c r="F197" i="4"/>
  <c r="P196" i="4" l="1"/>
  <c r="G196" i="4" s="1"/>
  <c r="E200" i="3"/>
  <c r="F199" i="3"/>
  <c r="H79" i="4"/>
  <c r="L80" i="4" s="1"/>
  <c r="M80" i="4" s="1"/>
  <c r="I80" i="4"/>
  <c r="V68" i="3"/>
  <c r="R68" i="3" s="1"/>
  <c r="S68" i="3" s="1"/>
  <c r="T69" i="3" s="1"/>
  <c r="Q76" i="4"/>
  <c r="N77" i="4"/>
  <c r="H69" i="3"/>
  <c r="L70" i="3" s="1"/>
  <c r="M70" i="3" s="1"/>
  <c r="U63" i="4"/>
  <c r="P197" i="3"/>
  <c r="G197" i="3" s="1"/>
  <c r="K197" i="4"/>
  <c r="J78" i="4"/>
  <c r="E199" i="4"/>
  <c r="F198" i="4"/>
  <c r="K198" i="3"/>
  <c r="U69" i="3" l="1"/>
  <c r="H80" i="4"/>
  <c r="L81" i="4" s="1"/>
  <c r="M81" i="4" s="1"/>
  <c r="I81" i="4"/>
  <c r="O68" i="3"/>
  <c r="P68" i="3" s="1"/>
  <c r="G68" i="3" s="1"/>
  <c r="N69" i="3" s="1"/>
  <c r="V63" i="4"/>
  <c r="R63" i="4"/>
  <c r="S63" i="4" s="1"/>
  <c r="T64" i="4" s="1"/>
  <c r="U64" i="4" s="1"/>
  <c r="O63" i="4"/>
  <c r="J79" i="4"/>
  <c r="K199" i="3"/>
  <c r="J69" i="3"/>
  <c r="P197" i="4"/>
  <c r="G197" i="4" s="1"/>
  <c r="P198" i="3"/>
  <c r="G198" i="3" s="1"/>
  <c r="F200" i="3"/>
  <c r="E201" i="3"/>
  <c r="K198" i="4"/>
  <c r="N78" i="4"/>
  <c r="Q77" i="4"/>
  <c r="E200" i="4"/>
  <c r="F199" i="4"/>
  <c r="V64" i="4" l="1"/>
  <c r="R64" i="4" s="1"/>
  <c r="S64" i="4" s="1"/>
  <c r="T65" i="4" s="1"/>
  <c r="M82" i="4"/>
  <c r="P198" i="4"/>
  <c r="G198" i="4" s="1"/>
  <c r="K199" i="4"/>
  <c r="E202" i="3"/>
  <c r="F201" i="3"/>
  <c r="J81" i="4"/>
  <c r="H81" i="4"/>
  <c r="L82" i="4" s="1"/>
  <c r="I82" i="4"/>
  <c r="V69" i="3"/>
  <c r="O69" i="3"/>
  <c r="P69" i="3" s="1"/>
  <c r="G69" i="3" s="1"/>
  <c r="N70" i="3" s="1"/>
  <c r="R69" i="3"/>
  <c r="S69" i="3" s="1"/>
  <c r="T70" i="3" s="1"/>
  <c r="K200" i="3"/>
  <c r="J80" i="4"/>
  <c r="E201" i="4"/>
  <c r="F200" i="4"/>
  <c r="Q69" i="3"/>
  <c r="I70" i="3"/>
  <c r="Q78" i="4"/>
  <c r="N79" i="4"/>
  <c r="P199" i="3"/>
  <c r="G199" i="3" s="1"/>
  <c r="Q70" i="3" l="1"/>
  <c r="U65" i="4"/>
  <c r="E202" i="4"/>
  <c r="F201" i="4"/>
  <c r="P199" i="4"/>
  <c r="G199" i="4" s="1"/>
  <c r="N80" i="4"/>
  <c r="Q79" i="4"/>
  <c r="K200" i="4"/>
  <c r="P200" i="3"/>
  <c r="G200" i="3" s="1"/>
  <c r="H70" i="3"/>
  <c r="L71" i="3" s="1"/>
  <c r="M71" i="3" s="1"/>
  <c r="J70" i="3"/>
  <c r="I71" i="3"/>
  <c r="O64" i="4"/>
  <c r="K201" i="3"/>
  <c r="H82" i="4"/>
  <c r="L83" i="4" s="1"/>
  <c r="M83" i="4" s="1"/>
  <c r="I83" i="4"/>
  <c r="F202" i="3"/>
  <c r="E203" i="3"/>
  <c r="U70" i="3"/>
  <c r="J82" i="4" l="1"/>
  <c r="V70" i="3"/>
  <c r="R70" i="3" s="1"/>
  <c r="S70" i="3" s="1"/>
  <c r="T71" i="3" s="1"/>
  <c r="Q80" i="4"/>
  <c r="N81" i="4"/>
  <c r="H71" i="3"/>
  <c r="L72" i="3" s="1"/>
  <c r="M72" i="3" s="1"/>
  <c r="K201" i="4"/>
  <c r="V65" i="4"/>
  <c r="R65" i="4"/>
  <c r="S65" i="4" s="1"/>
  <c r="T66" i="4" s="1"/>
  <c r="O65" i="4"/>
  <c r="P201" i="3"/>
  <c r="G201" i="3" s="1"/>
  <c r="E203" i="4"/>
  <c r="F202" i="4"/>
  <c r="E204" i="3"/>
  <c r="F203" i="3"/>
  <c r="K202" i="3"/>
  <c r="H83" i="4"/>
  <c r="L84" i="4" s="1"/>
  <c r="M84" i="4" s="1"/>
  <c r="I84" i="4"/>
  <c r="P200" i="4"/>
  <c r="G200" i="4" s="1"/>
  <c r="U71" i="3" l="1"/>
  <c r="N82" i="4"/>
  <c r="Q81" i="4"/>
  <c r="P201" i="4"/>
  <c r="G201" i="4" s="1"/>
  <c r="E204" i="4"/>
  <c r="F203" i="4"/>
  <c r="O70" i="3"/>
  <c r="P70" i="3" s="1"/>
  <c r="G70" i="3" s="1"/>
  <c r="N71" i="3" s="1"/>
  <c r="K202" i="4"/>
  <c r="U66" i="4"/>
  <c r="J83" i="4"/>
  <c r="K203" i="3"/>
  <c r="E205" i="3"/>
  <c r="F204" i="3"/>
  <c r="J71" i="3"/>
  <c r="J84" i="4"/>
  <c r="H84" i="4"/>
  <c r="L85" i="4" s="1"/>
  <c r="M85" i="4" s="1"/>
  <c r="I85" i="4"/>
  <c r="P202" i="3"/>
  <c r="G202" i="3" s="1"/>
  <c r="Q71" i="3" l="1"/>
  <c r="I72" i="3"/>
  <c r="E205" i="4"/>
  <c r="F204" i="4"/>
  <c r="K204" i="3"/>
  <c r="E206" i="3"/>
  <c r="F205" i="3"/>
  <c r="Q82" i="4"/>
  <c r="N83" i="4"/>
  <c r="V71" i="3"/>
  <c r="O71" i="3"/>
  <c r="P71" i="3" s="1"/>
  <c r="G71" i="3" s="1"/>
  <c r="N72" i="3" s="1"/>
  <c r="R71" i="3"/>
  <c r="S71" i="3" s="1"/>
  <c r="T72" i="3" s="1"/>
  <c r="H85" i="4"/>
  <c r="L86" i="4" s="1"/>
  <c r="M86" i="4" s="1"/>
  <c r="J85" i="4"/>
  <c r="I86" i="4"/>
  <c r="K203" i="4"/>
  <c r="P203" i="3"/>
  <c r="G203" i="3" s="1"/>
  <c r="R66" i="4"/>
  <c r="S66" i="4" s="1"/>
  <c r="T67" i="4" s="1"/>
  <c r="V66" i="4"/>
  <c r="O66" i="4" s="1"/>
  <c r="P202" i="4"/>
  <c r="G202" i="4" s="1"/>
  <c r="Q72" i="3" l="1"/>
  <c r="P204" i="3"/>
  <c r="G204" i="3" s="1"/>
  <c r="P203" i="4"/>
  <c r="G203" i="4" s="1"/>
  <c r="N84" i="4"/>
  <c r="Q83" i="4"/>
  <c r="K205" i="3"/>
  <c r="E207" i="3"/>
  <c r="F206" i="3"/>
  <c r="H86" i="4"/>
  <c r="L87" i="4" s="1"/>
  <c r="M87" i="4" s="1"/>
  <c r="I87" i="4"/>
  <c r="K204" i="4"/>
  <c r="F205" i="4"/>
  <c r="E206" i="4"/>
  <c r="H72" i="3"/>
  <c r="L73" i="3" s="1"/>
  <c r="M73" i="3" s="1"/>
  <c r="J72" i="3"/>
  <c r="I73" i="3"/>
  <c r="U72" i="3"/>
  <c r="U67" i="4"/>
  <c r="P205" i="3" l="1"/>
  <c r="G205" i="3" s="1"/>
  <c r="F206" i="4"/>
  <c r="E207" i="4"/>
  <c r="K206" i="3"/>
  <c r="M74" i="3"/>
  <c r="K205" i="4"/>
  <c r="H87" i="4"/>
  <c r="L88" i="4" s="1"/>
  <c r="M88" i="4" s="1"/>
  <c r="J87" i="4"/>
  <c r="I88" i="4"/>
  <c r="J86" i="4"/>
  <c r="E208" i="3"/>
  <c r="F207" i="3"/>
  <c r="N85" i="4"/>
  <c r="Q84" i="4"/>
  <c r="P204" i="4"/>
  <c r="G204" i="4" s="1"/>
  <c r="V67" i="4"/>
  <c r="R67" i="4" s="1"/>
  <c r="S67" i="4" s="1"/>
  <c r="T68" i="4" s="1"/>
  <c r="O67" i="4"/>
  <c r="V72" i="3"/>
  <c r="R72" i="3" s="1"/>
  <c r="S72" i="3" s="1"/>
  <c r="T73" i="3" s="1"/>
  <c r="H73" i="3"/>
  <c r="L74" i="3" s="1"/>
  <c r="U73" i="3" l="1"/>
  <c r="U68" i="4"/>
  <c r="P205" i="4"/>
  <c r="G205" i="4" s="1"/>
  <c r="P206" i="3"/>
  <c r="G206" i="3" s="1"/>
  <c r="N86" i="4"/>
  <c r="Q85" i="4"/>
  <c r="E208" i="4"/>
  <c r="F207" i="4"/>
  <c r="K207" i="3"/>
  <c r="J73" i="3"/>
  <c r="K206" i="4"/>
  <c r="O72" i="3"/>
  <c r="P72" i="3" s="1"/>
  <c r="G72" i="3" s="1"/>
  <c r="N73" i="3" s="1"/>
  <c r="E209" i="3"/>
  <c r="F208" i="3"/>
  <c r="H88" i="4"/>
  <c r="L89" i="4" s="1"/>
  <c r="M89" i="4" s="1"/>
  <c r="I89" i="4"/>
  <c r="Q73" i="3" l="1"/>
  <c r="I74" i="3"/>
  <c r="K208" i="3"/>
  <c r="J88" i="4"/>
  <c r="P206" i="4"/>
  <c r="G206" i="4" s="1"/>
  <c r="K207" i="4"/>
  <c r="Q86" i="4"/>
  <c r="N87" i="4"/>
  <c r="E210" i="3"/>
  <c r="F209" i="3"/>
  <c r="V68" i="4"/>
  <c r="O68" i="4" s="1"/>
  <c r="P207" i="3"/>
  <c r="G207" i="3" s="1"/>
  <c r="V73" i="3"/>
  <c r="R73" i="3"/>
  <c r="S73" i="3" s="1"/>
  <c r="T74" i="3" s="1"/>
  <c r="O73" i="3"/>
  <c r="P73" i="3" s="1"/>
  <c r="G73" i="3" s="1"/>
  <c r="N74" i="3" s="1"/>
  <c r="H89" i="4"/>
  <c r="L90" i="4" s="1"/>
  <c r="M90" i="4" s="1"/>
  <c r="J89" i="4"/>
  <c r="I90" i="4"/>
  <c r="E209" i="4"/>
  <c r="F208" i="4"/>
  <c r="Q74" i="3" l="1"/>
  <c r="H74" i="3"/>
  <c r="L75" i="3" s="1"/>
  <c r="M75" i="3" s="1"/>
  <c r="J74" i="3"/>
  <c r="I75" i="3"/>
  <c r="P208" i="3"/>
  <c r="G208" i="3" s="1"/>
  <c r="H90" i="4"/>
  <c r="L91" i="4" s="1"/>
  <c r="M91" i="4" s="1"/>
  <c r="I91" i="4"/>
  <c r="K209" i="3"/>
  <c r="K208" i="4"/>
  <c r="E210" i="4"/>
  <c r="F209" i="4"/>
  <c r="R68" i="4"/>
  <c r="S68" i="4" s="1"/>
  <c r="T69" i="4" s="1"/>
  <c r="E211" i="3"/>
  <c r="F210" i="3"/>
  <c r="P207" i="4"/>
  <c r="G207" i="4" s="1"/>
  <c r="U74" i="3"/>
  <c r="N88" i="4"/>
  <c r="Q87" i="4"/>
  <c r="U69" i="4" l="1"/>
  <c r="V74" i="3"/>
  <c r="R74" i="3" s="1"/>
  <c r="S74" i="3" s="1"/>
  <c r="T75" i="3" s="1"/>
  <c r="K210" i="3"/>
  <c r="E212" i="3"/>
  <c r="F211" i="3"/>
  <c r="H91" i="4"/>
  <c r="L92" i="4" s="1"/>
  <c r="M92" i="4" s="1"/>
  <c r="I92" i="4"/>
  <c r="J90" i="4"/>
  <c r="K209" i="4"/>
  <c r="F210" i="4"/>
  <c r="E211" i="4"/>
  <c r="H75" i="3"/>
  <c r="L76" i="3" s="1"/>
  <c r="I76" i="3"/>
  <c r="M76" i="3"/>
  <c r="P208" i="4"/>
  <c r="G208" i="4" s="1"/>
  <c r="Q88" i="4"/>
  <c r="N89" i="4"/>
  <c r="P209" i="3"/>
  <c r="G209" i="3" s="1"/>
  <c r="U75" i="3" l="1"/>
  <c r="H76" i="3"/>
  <c r="L77" i="3" s="1"/>
  <c r="M77" i="3" s="1"/>
  <c r="J76" i="3"/>
  <c r="I77" i="3"/>
  <c r="E213" i="3"/>
  <c r="F212" i="3"/>
  <c r="J75" i="3"/>
  <c r="P209" i="4"/>
  <c r="G209" i="4" s="1"/>
  <c r="P210" i="3"/>
  <c r="G210" i="3" s="1"/>
  <c r="F211" i="4"/>
  <c r="E212" i="4"/>
  <c r="K210" i="4"/>
  <c r="O74" i="3"/>
  <c r="K211" i="3"/>
  <c r="N90" i="4"/>
  <c r="Q89" i="4"/>
  <c r="V69" i="4"/>
  <c r="R69" i="4" s="1"/>
  <c r="S69" i="4" s="1"/>
  <c r="T70" i="4" s="1"/>
  <c r="H92" i="4"/>
  <c r="L93" i="4" s="1"/>
  <c r="M93" i="4" s="1"/>
  <c r="I93" i="4"/>
  <c r="J91" i="4"/>
  <c r="U70" i="4" l="1"/>
  <c r="H77" i="3"/>
  <c r="L78" i="3" s="1"/>
  <c r="M78" i="3" s="1"/>
  <c r="I78" i="3"/>
  <c r="K212" i="3"/>
  <c r="P74" i="3"/>
  <c r="G74" i="3" s="1"/>
  <c r="N75" i="3" s="1"/>
  <c r="AB4" i="3"/>
  <c r="Q90" i="4"/>
  <c r="N91" i="4"/>
  <c r="E214" i="3"/>
  <c r="F213" i="3"/>
  <c r="H93" i="4"/>
  <c r="L94" i="4" s="1"/>
  <c r="M94" i="4" s="1"/>
  <c r="J93" i="4"/>
  <c r="I94" i="4"/>
  <c r="P210" i="4"/>
  <c r="G210" i="4" s="1"/>
  <c r="J92" i="4"/>
  <c r="K211" i="4"/>
  <c r="P211" i="3"/>
  <c r="G211" i="3" s="1"/>
  <c r="F212" i="4"/>
  <c r="E213" i="4"/>
  <c r="O69" i="4"/>
  <c r="V75" i="3"/>
  <c r="O75" i="3"/>
  <c r="P212" i="3" l="1"/>
  <c r="G212" i="3" s="1"/>
  <c r="N76" i="3"/>
  <c r="Q75" i="3"/>
  <c r="R75" i="3"/>
  <c r="S75" i="3" s="1"/>
  <c r="T76" i="3" s="1"/>
  <c r="H78" i="3"/>
  <c r="L79" i="3" s="1"/>
  <c r="M79" i="3" s="1"/>
  <c r="J78" i="3"/>
  <c r="I79" i="3"/>
  <c r="J77" i="3"/>
  <c r="P211" i="4"/>
  <c r="G211" i="4" s="1"/>
  <c r="H94" i="4"/>
  <c r="L95" i="4" s="1"/>
  <c r="M95" i="4" s="1"/>
  <c r="I95" i="4"/>
  <c r="F213" i="4"/>
  <c r="E214" i="4"/>
  <c r="K213" i="3"/>
  <c r="V70" i="4"/>
  <c r="O70" i="4" s="1"/>
  <c r="K212" i="4"/>
  <c r="E215" i="3"/>
  <c r="F214" i="3"/>
  <c r="N92" i="4"/>
  <c r="Q91" i="4"/>
  <c r="H79" i="3" l="1"/>
  <c r="L80" i="3" s="1"/>
  <c r="M80" i="3" s="1"/>
  <c r="I80" i="3"/>
  <c r="Q92" i="4"/>
  <c r="N93" i="4"/>
  <c r="U76" i="3"/>
  <c r="N77" i="3"/>
  <c r="Q76" i="3"/>
  <c r="K214" i="3"/>
  <c r="H95" i="4"/>
  <c r="L96" i="4" s="1"/>
  <c r="M96" i="4" s="1"/>
  <c r="J95" i="4"/>
  <c r="I96" i="4"/>
  <c r="R70" i="4"/>
  <c r="S70" i="4" s="1"/>
  <c r="T71" i="4" s="1"/>
  <c r="P213" i="3"/>
  <c r="G213" i="3" s="1"/>
  <c r="F214" i="4"/>
  <c r="E215" i="4"/>
  <c r="J94" i="4"/>
  <c r="K213" i="4"/>
  <c r="E216" i="3"/>
  <c r="F215" i="3"/>
  <c r="P212" i="4"/>
  <c r="G212" i="4" s="1"/>
  <c r="V76" i="3" l="1"/>
  <c r="O76" i="3" s="1"/>
  <c r="P213" i="4"/>
  <c r="G213" i="4" s="1"/>
  <c r="N94" i="4"/>
  <c r="Q93" i="4"/>
  <c r="N78" i="3"/>
  <c r="Q77" i="3"/>
  <c r="F215" i="4"/>
  <c r="E216" i="4"/>
  <c r="K214" i="4"/>
  <c r="H80" i="3"/>
  <c r="L81" i="3" s="1"/>
  <c r="M81" i="3" s="1"/>
  <c r="I81" i="3"/>
  <c r="H96" i="4"/>
  <c r="L97" i="4" s="1"/>
  <c r="M97" i="4" s="1"/>
  <c r="I97" i="4"/>
  <c r="K215" i="3"/>
  <c r="U71" i="4"/>
  <c r="J79" i="3"/>
  <c r="E217" i="3"/>
  <c r="F216" i="3"/>
  <c r="P214" i="3"/>
  <c r="G214" i="3" s="1"/>
  <c r="N79" i="3" l="1"/>
  <c r="Q78" i="3"/>
  <c r="J96" i="4"/>
  <c r="E218" i="3"/>
  <c r="F217" i="3"/>
  <c r="N95" i="4"/>
  <c r="Q94" i="4"/>
  <c r="J80" i="3"/>
  <c r="K216" i="3"/>
  <c r="R76" i="3"/>
  <c r="S76" i="3" s="1"/>
  <c r="T77" i="3" s="1"/>
  <c r="H81" i="3"/>
  <c r="L82" i="3" s="1"/>
  <c r="M82" i="3" s="1"/>
  <c r="I82" i="3"/>
  <c r="F216" i="4"/>
  <c r="E217" i="4"/>
  <c r="P215" i="3"/>
  <c r="G215" i="3" s="1"/>
  <c r="H97" i="4"/>
  <c r="L98" i="4" s="1"/>
  <c r="M98" i="4" s="1"/>
  <c r="I98" i="4"/>
  <c r="P214" i="4"/>
  <c r="G214" i="4" s="1"/>
  <c r="V71" i="4"/>
  <c r="R71" i="4"/>
  <c r="S71" i="4" s="1"/>
  <c r="T72" i="4" s="1"/>
  <c r="O71" i="4"/>
  <c r="K215" i="4"/>
  <c r="K216" i="4" l="1"/>
  <c r="F217" i="4"/>
  <c r="E218" i="4"/>
  <c r="H82" i="3"/>
  <c r="L83" i="3" s="1"/>
  <c r="M83" i="3" s="1"/>
  <c r="I83" i="3"/>
  <c r="N80" i="3"/>
  <c r="Q79" i="3"/>
  <c r="P216" i="3"/>
  <c r="G216" i="3" s="1"/>
  <c r="J97" i="4"/>
  <c r="P215" i="4"/>
  <c r="G215" i="4" s="1"/>
  <c r="E219" i="3"/>
  <c r="F218" i="3"/>
  <c r="U72" i="4"/>
  <c r="H98" i="4"/>
  <c r="L99" i="4" s="1"/>
  <c r="M99" i="4" s="1"/>
  <c r="I99" i="4"/>
  <c r="N96" i="4"/>
  <c r="Q95" i="4"/>
  <c r="K217" i="3"/>
  <c r="J81" i="3"/>
  <c r="U77" i="3"/>
  <c r="N81" i="3" l="1"/>
  <c r="Q80" i="3"/>
  <c r="N97" i="4"/>
  <c r="Q96" i="4"/>
  <c r="V72" i="4"/>
  <c r="R72" i="4" s="1"/>
  <c r="S72" i="4" s="1"/>
  <c r="T73" i="4" s="1"/>
  <c r="V77" i="3"/>
  <c r="R77" i="3" s="1"/>
  <c r="S77" i="3" s="1"/>
  <c r="T78" i="3" s="1"/>
  <c r="E219" i="4"/>
  <c r="F218" i="4"/>
  <c r="P216" i="4"/>
  <c r="G216" i="4" s="1"/>
  <c r="H99" i="4"/>
  <c r="L100" i="4" s="1"/>
  <c r="M100" i="4" s="1"/>
  <c r="J99" i="4"/>
  <c r="I100" i="4"/>
  <c r="J98" i="4"/>
  <c r="K218" i="3"/>
  <c r="J83" i="3"/>
  <c r="H83" i="3"/>
  <c r="L84" i="3" s="1"/>
  <c r="M84" i="3" s="1"/>
  <c r="I84" i="3"/>
  <c r="J82" i="3"/>
  <c r="E220" i="3"/>
  <c r="F219" i="3"/>
  <c r="K217" i="4"/>
  <c r="P217" i="3"/>
  <c r="G217" i="3" s="1"/>
  <c r="U78" i="3" l="1"/>
  <c r="U73" i="4"/>
  <c r="M85" i="3"/>
  <c r="P218" i="3"/>
  <c r="G218" i="3" s="1"/>
  <c r="H100" i="4"/>
  <c r="L101" i="4" s="1"/>
  <c r="M101" i="4" s="1"/>
  <c r="I101" i="4"/>
  <c r="N98" i="4"/>
  <c r="Q97" i="4"/>
  <c r="O72" i="4"/>
  <c r="K218" i="4"/>
  <c r="H84" i="3"/>
  <c r="L85" i="3" s="1"/>
  <c r="J84" i="3"/>
  <c r="I85" i="3"/>
  <c r="F219" i="4"/>
  <c r="E220" i="4"/>
  <c r="N82" i="3"/>
  <c r="Q81" i="3"/>
  <c r="P217" i="4"/>
  <c r="G217" i="4" s="1"/>
  <c r="K219" i="3"/>
  <c r="E221" i="3"/>
  <c r="F220" i="3"/>
  <c r="O77" i="3"/>
  <c r="J100" i="4" l="1"/>
  <c r="N99" i="4"/>
  <c r="Q98" i="4"/>
  <c r="N83" i="3"/>
  <c r="Q82" i="3"/>
  <c r="K219" i="4"/>
  <c r="K220" i="3"/>
  <c r="R78" i="3"/>
  <c r="S78" i="3" s="1"/>
  <c r="T79" i="3" s="1"/>
  <c r="V78" i="3"/>
  <c r="O78" i="3" s="1"/>
  <c r="H101" i="4"/>
  <c r="L102" i="4" s="1"/>
  <c r="M102" i="4" s="1"/>
  <c r="J101" i="4"/>
  <c r="I102" i="4"/>
  <c r="F220" i="4"/>
  <c r="E221" i="4"/>
  <c r="H85" i="3"/>
  <c r="L86" i="3" s="1"/>
  <c r="M86" i="3" s="1"/>
  <c r="I86" i="3"/>
  <c r="V73" i="4"/>
  <c r="R73" i="4" s="1"/>
  <c r="S73" i="4" s="1"/>
  <c r="T74" i="4" s="1"/>
  <c r="E222" i="3"/>
  <c r="F221" i="3"/>
  <c r="P218" i="4"/>
  <c r="G218" i="4" s="1"/>
  <c r="P219" i="3"/>
  <c r="G219" i="3" s="1"/>
  <c r="U74" i="4" l="1"/>
  <c r="P220" i="3"/>
  <c r="G220" i="3" s="1"/>
  <c r="J85" i="3"/>
  <c r="F221" i="4"/>
  <c r="E222" i="4"/>
  <c r="K220" i="4"/>
  <c r="E223" i="3"/>
  <c r="F222" i="3"/>
  <c r="H86" i="3"/>
  <c r="L87" i="3" s="1"/>
  <c r="M87" i="3" s="1"/>
  <c r="I87" i="3"/>
  <c r="H102" i="4"/>
  <c r="L103" i="4" s="1"/>
  <c r="M103" i="4" s="1"/>
  <c r="I103" i="4"/>
  <c r="N100" i="4"/>
  <c r="Q99" i="4"/>
  <c r="K221" i="3"/>
  <c r="O73" i="4"/>
  <c r="P219" i="4"/>
  <c r="G219" i="4" s="1"/>
  <c r="N84" i="3"/>
  <c r="Q83" i="3"/>
  <c r="U79" i="3"/>
  <c r="P221" i="3" l="1"/>
  <c r="G221" i="3" s="1"/>
  <c r="F222" i="4"/>
  <c r="E223" i="4"/>
  <c r="H87" i="3"/>
  <c r="L88" i="3" s="1"/>
  <c r="M88" i="3" s="1"/>
  <c r="I88" i="3"/>
  <c r="V79" i="3"/>
  <c r="R79" i="3" s="1"/>
  <c r="S79" i="3" s="1"/>
  <c r="T80" i="3" s="1"/>
  <c r="J102" i="4"/>
  <c r="J86" i="3"/>
  <c r="E224" i="3"/>
  <c r="F223" i="3"/>
  <c r="N101" i="4"/>
  <c r="Q100" i="4"/>
  <c r="V74" i="4"/>
  <c r="O74" i="4" s="1"/>
  <c r="P220" i="4"/>
  <c r="G220" i="4" s="1"/>
  <c r="K221" i="4"/>
  <c r="H103" i="4"/>
  <c r="L104" i="4" s="1"/>
  <c r="M104" i="4" s="1"/>
  <c r="J103" i="4"/>
  <c r="I104" i="4"/>
  <c r="N85" i="3"/>
  <c r="Q84" i="3"/>
  <c r="K222" i="3"/>
  <c r="U80" i="3" l="1"/>
  <c r="M89" i="3"/>
  <c r="N86" i="3"/>
  <c r="Q85" i="3"/>
  <c r="P222" i="3"/>
  <c r="G222" i="3" s="1"/>
  <c r="R74" i="4"/>
  <c r="S74" i="4" s="1"/>
  <c r="T75" i="4" s="1"/>
  <c r="H104" i="4"/>
  <c r="L105" i="4" s="1"/>
  <c r="M105" i="4" s="1"/>
  <c r="I105" i="4"/>
  <c r="H88" i="3"/>
  <c r="L89" i="3" s="1"/>
  <c r="J88" i="3"/>
  <c r="I89" i="3"/>
  <c r="E225" i="3"/>
  <c r="F224" i="3"/>
  <c r="J87" i="3"/>
  <c r="F223" i="4"/>
  <c r="E224" i="4"/>
  <c r="O79" i="3"/>
  <c r="N102" i="4"/>
  <c r="Q101" i="4"/>
  <c r="K223" i="3"/>
  <c r="K222" i="4"/>
  <c r="P221" i="4"/>
  <c r="G221" i="4" s="1"/>
  <c r="H105" i="4" l="1"/>
  <c r="L106" i="4" s="1"/>
  <c r="M106" i="4" s="1"/>
  <c r="J105" i="4"/>
  <c r="I106" i="4"/>
  <c r="P223" i="3"/>
  <c r="G223" i="3" s="1"/>
  <c r="J104" i="4"/>
  <c r="V80" i="3"/>
  <c r="R80" i="3" s="1"/>
  <c r="S80" i="3" s="1"/>
  <c r="T81" i="3" s="1"/>
  <c r="U75" i="4"/>
  <c r="F224" i="4"/>
  <c r="E225" i="4"/>
  <c r="K223" i="4"/>
  <c r="N87" i="3"/>
  <c r="Q86" i="3"/>
  <c r="M90" i="3"/>
  <c r="N103" i="4"/>
  <c r="Q102" i="4"/>
  <c r="K224" i="3"/>
  <c r="E226" i="3"/>
  <c r="F225" i="3"/>
  <c r="H89" i="3"/>
  <c r="L90" i="3" s="1"/>
  <c r="I90" i="3"/>
  <c r="P222" i="4"/>
  <c r="G222" i="4" s="1"/>
  <c r="U81" i="3" l="1"/>
  <c r="N104" i="4"/>
  <c r="Q103" i="4"/>
  <c r="N88" i="3"/>
  <c r="Q87" i="3"/>
  <c r="P224" i="3"/>
  <c r="G224" i="3" s="1"/>
  <c r="M91" i="3"/>
  <c r="P223" i="4"/>
  <c r="G223" i="4" s="1"/>
  <c r="F225" i="4"/>
  <c r="E226" i="4"/>
  <c r="O80" i="3"/>
  <c r="H90" i="3"/>
  <c r="L91" i="3" s="1"/>
  <c r="J90" i="3"/>
  <c r="I91" i="3"/>
  <c r="H106" i="4"/>
  <c r="L107" i="4" s="1"/>
  <c r="M107" i="4" s="1"/>
  <c r="I107" i="4"/>
  <c r="J89" i="3"/>
  <c r="K225" i="3"/>
  <c r="K224" i="4"/>
  <c r="E227" i="3"/>
  <c r="F226" i="3"/>
  <c r="V75" i="4"/>
  <c r="R75" i="4"/>
  <c r="S75" i="4" s="1"/>
  <c r="T76" i="4" s="1"/>
  <c r="U76" i="4" s="1"/>
  <c r="O75" i="4"/>
  <c r="V76" i="4" l="1"/>
  <c r="R76" i="4" s="1"/>
  <c r="S76" i="4" s="1"/>
  <c r="T77" i="4" s="1"/>
  <c r="P225" i="3"/>
  <c r="G225" i="3" s="1"/>
  <c r="H107" i="4"/>
  <c r="L108" i="4" s="1"/>
  <c r="M108" i="4" s="1"/>
  <c r="J107" i="4"/>
  <c r="I108" i="4"/>
  <c r="M92" i="3"/>
  <c r="K226" i="3"/>
  <c r="J106" i="4"/>
  <c r="N89" i="3"/>
  <c r="Q88" i="3"/>
  <c r="E228" i="3"/>
  <c r="F227" i="3"/>
  <c r="H91" i="3"/>
  <c r="L92" i="3" s="1"/>
  <c r="I92" i="3"/>
  <c r="N105" i="4"/>
  <c r="Q104" i="4"/>
  <c r="V81" i="3"/>
  <c r="R81" i="3" s="1"/>
  <c r="S81" i="3" s="1"/>
  <c r="T82" i="3" s="1"/>
  <c r="E227" i="4"/>
  <c r="F226" i="4"/>
  <c r="P224" i="4"/>
  <c r="G224" i="4" s="1"/>
  <c r="K225" i="4"/>
  <c r="U82" i="3" l="1"/>
  <c r="U77" i="4"/>
  <c r="H108" i="4"/>
  <c r="L109" i="4" s="1"/>
  <c r="M109" i="4" s="1"/>
  <c r="I109" i="4"/>
  <c r="P225" i="4"/>
  <c r="G225" i="4" s="1"/>
  <c r="K227" i="3"/>
  <c r="O76" i="4"/>
  <c r="N106" i="4"/>
  <c r="Q105" i="4"/>
  <c r="J91" i="3"/>
  <c r="K226" i="4"/>
  <c r="F227" i="4"/>
  <c r="E228" i="4"/>
  <c r="H92" i="3"/>
  <c r="L93" i="3" s="1"/>
  <c r="M93" i="3" s="1"/>
  <c r="J92" i="3"/>
  <c r="I93" i="3"/>
  <c r="E229" i="3"/>
  <c r="F228" i="3"/>
  <c r="N90" i="3"/>
  <c r="Q89" i="3"/>
  <c r="O81" i="3"/>
  <c r="P226" i="3"/>
  <c r="G226" i="3" s="1"/>
  <c r="H109" i="4" l="1"/>
  <c r="L110" i="4" s="1"/>
  <c r="M110" i="4" s="1"/>
  <c r="J109" i="4"/>
  <c r="I110" i="4"/>
  <c r="P227" i="3"/>
  <c r="G227" i="3" s="1"/>
  <c r="J108" i="4"/>
  <c r="P226" i="4"/>
  <c r="G226" i="4" s="1"/>
  <c r="R82" i="3"/>
  <c r="S82" i="3" s="1"/>
  <c r="T83" i="3" s="1"/>
  <c r="U83" i="3" s="1"/>
  <c r="V82" i="3"/>
  <c r="O82" i="3" s="1"/>
  <c r="N107" i="4"/>
  <c r="Q106" i="4"/>
  <c r="H93" i="3"/>
  <c r="L94" i="3" s="1"/>
  <c r="M94" i="3" s="1"/>
  <c r="I94" i="3"/>
  <c r="E229" i="4"/>
  <c r="F228" i="4"/>
  <c r="K227" i="4"/>
  <c r="V77" i="4"/>
  <c r="R77" i="4" s="1"/>
  <c r="S77" i="4" s="1"/>
  <c r="T78" i="4" s="1"/>
  <c r="N91" i="3"/>
  <c r="Q90" i="3"/>
  <c r="K228" i="3"/>
  <c r="E230" i="3"/>
  <c r="F229" i="3"/>
  <c r="V83" i="3" l="1"/>
  <c r="R83" i="3"/>
  <c r="S83" i="3" s="1"/>
  <c r="T84" i="3" s="1"/>
  <c r="O83" i="3"/>
  <c r="M95" i="3"/>
  <c r="U78" i="4"/>
  <c r="M111" i="4"/>
  <c r="F229" i="4"/>
  <c r="E230" i="4"/>
  <c r="P228" i="3"/>
  <c r="G228" i="3" s="1"/>
  <c r="E231" i="3"/>
  <c r="F230" i="3"/>
  <c r="H94" i="3"/>
  <c r="L95" i="3" s="1"/>
  <c r="J94" i="3"/>
  <c r="I95" i="3"/>
  <c r="J93" i="3"/>
  <c r="O77" i="4"/>
  <c r="P227" i="4"/>
  <c r="G227" i="4" s="1"/>
  <c r="K228" i="4"/>
  <c r="H110" i="4"/>
  <c r="L111" i="4" s="1"/>
  <c r="I111" i="4"/>
  <c r="K229" i="3"/>
  <c r="N92" i="3"/>
  <c r="Q91" i="3"/>
  <c r="N108" i="4"/>
  <c r="Q107" i="4"/>
  <c r="U84" i="3" l="1"/>
  <c r="P228" i="4"/>
  <c r="G228" i="4" s="1"/>
  <c r="N109" i="4"/>
  <c r="Q108" i="4"/>
  <c r="K229" i="4"/>
  <c r="N93" i="3"/>
  <c r="Q92" i="3"/>
  <c r="P229" i="3"/>
  <c r="G229" i="3" s="1"/>
  <c r="K230" i="3"/>
  <c r="H95" i="3"/>
  <c r="L96" i="3" s="1"/>
  <c r="I96" i="3"/>
  <c r="M96" i="3"/>
  <c r="H111" i="4"/>
  <c r="L112" i="4" s="1"/>
  <c r="M112" i="4" s="1"/>
  <c r="J111" i="4"/>
  <c r="I112" i="4"/>
  <c r="E231" i="4"/>
  <c r="F230" i="4"/>
  <c r="V78" i="4"/>
  <c r="R78" i="4" s="1"/>
  <c r="S78" i="4" s="1"/>
  <c r="T79" i="4" s="1"/>
  <c r="E232" i="3"/>
  <c r="F231" i="3"/>
  <c r="J110" i="4"/>
  <c r="U79" i="4" l="1"/>
  <c r="H112" i="4"/>
  <c r="L113" i="4" s="1"/>
  <c r="M113" i="4" s="1"/>
  <c r="I113" i="4"/>
  <c r="N110" i="4"/>
  <c r="Q109" i="4"/>
  <c r="K230" i="4"/>
  <c r="F231" i="4"/>
  <c r="E232" i="4"/>
  <c r="O78" i="4"/>
  <c r="P229" i="4"/>
  <c r="G229" i="4" s="1"/>
  <c r="P230" i="3"/>
  <c r="G230" i="3" s="1"/>
  <c r="V84" i="3"/>
  <c r="R84" i="3" s="1"/>
  <c r="S84" i="3" s="1"/>
  <c r="T85" i="3" s="1"/>
  <c r="N94" i="3"/>
  <c r="Q93" i="3"/>
  <c r="K231" i="3"/>
  <c r="H96" i="3"/>
  <c r="L97" i="3" s="1"/>
  <c r="M97" i="3" s="1"/>
  <c r="I97" i="3"/>
  <c r="E233" i="3"/>
  <c r="F232" i="3"/>
  <c r="J95" i="3"/>
  <c r="U85" i="3" l="1"/>
  <c r="O84" i="3"/>
  <c r="N95" i="3"/>
  <c r="Q94" i="3"/>
  <c r="P230" i="4"/>
  <c r="G230" i="4" s="1"/>
  <c r="K232" i="3"/>
  <c r="H113" i="4"/>
  <c r="L114" i="4" s="1"/>
  <c r="M114" i="4" s="1"/>
  <c r="I114" i="4"/>
  <c r="E233" i="4"/>
  <c r="F232" i="4"/>
  <c r="E234" i="3"/>
  <c r="F233" i="3"/>
  <c r="H97" i="3"/>
  <c r="L98" i="3" s="1"/>
  <c r="M98" i="3" s="1"/>
  <c r="I98" i="3"/>
  <c r="J112" i="4"/>
  <c r="V79" i="4"/>
  <c r="O79" i="4" s="1"/>
  <c r="R79" i="4"/>
  <c r="S79" i="4" s="1"/>
  <c r="T80" i="4" s="1"/>
  <c r="K231" i="4"/>
  <c r="N111" i="4"/>
  <c r="Q110" i="4"/>
  <c r="J96" i="3"/>
  <c r="P231" i="3"/>
  <c r="G231" i="3" s="1"/>
  <c r="M99" i="3" l="1"/>
  <c r="P232" i="3"/>
  <c r="G232" i="3" s="1"/>
  <c r="J97" i="3"/>
  <c r="N96" i="3"/>
  <c r="Q95" i="3"/>
  <c r="N112" i="4"/>
  <c r="Q111" i="4"/>
  <c r="F233" i="4"/>
  <c r="E234" i="4"/>
  <c r="H98" i="3"/>
  <c r="L99" i="3" s="1"/>
  <c r="J98" i="3"/>
  <c r="I99" i="3"/>
  <c r="K232" i="4"/>
  <c r="H114" i="4"/>
  <c r="L115" i="4" s="1"/>
  <c r="M115" i="4" s="1"/>
  <c r="I115" i="4"/>
  <c r="K233" i="3"/>
  <c r="E235" i="3"/>
  <c r="F234" i="3"/>
  <c r="P231" i="4"/>
  <c r="G231" i="4" s="1"/>
  <c r="V85" i="3"/>
  <c r="R85" i="3"/>
  <c r="S85" i="3" s="1"/>
  <c r="T86" i="3" s="1"/>
  <c r="U86" i="3" s="1"/>
  <c r="O85" i="3"/>
  <c r="U80" i="4"/>
  <c r="J113" i="4"/>
  <c r="V86" i="3" l="1"/>
  <c r="O86" i="3" s="1"/>
  <c r="N113" i="4"/>
  <c r="Q112" i="4"/>
  <c r="E235" i="4"/>
  <c r="F234" i="4"/>
  <c r="R80" i="4"/>
  <c r="S80" i="4" s="1"/>
  <c r="T81" i="4" s="1"/>
  <c r="O80" i="4"/>
  <c r="V80" i="4"/>
  <c r="E236" i="3"/>
  <c r="F235" i="3"/>
  <c r="P233" i="3"/>
  <c r="G233" i="3" s="1"/>
  <c r="N97" i="3"/>
  <c r="Q96" i="3"/>
  <c r="J114" i="4"/>
  <c r="K234" i="3"/>
  <c r="H115" i="4"/>
  <c r="L116" i="4" s="1"/>
  <c r="M116" i="4" s="1"/>
  <c r="I116" i="4"/>
  <c r="K233" i="4"/>
  <c r="P232" i="4"/>
  <c r="G232" i="4" s="1"/>
  <c r="H99" i="3"/>
  <c r="L100" i="3" s="1"/>
  <c r="M100" i="3" s="1"/>
  <c r="I100" i="3"/>
  <c r="M117" i="4" l="1"/>
  <c r="P234" i="3"/>
  <c r="G234" i="3" s="1"/>
  <c r="F235" i="4"/>
  <c r="E236" i="4"/>
  <c r="U81" i="4"/>
  <c r="H100" i="3"/>
  <c r="L101" i="3" s="1"/>
  <c r="M101" i="3" s="1"/>
  <c r="I101" i="3"/>
  <c r="K234" i="4"/>
  <c r="J99" i="3"/>
  <c r="N114" i="4"/>
  <c r="Q113" i="4"/>
  <c r="N98" i="3"/>
  <c r="Q97" i="3"/>
  <c r="R86" i="3"/>
  <c r="S86" i="3" s="1"/>
  <c r="T87" i="3" s="1"/>
  <c r="P233" i="4"/>
  <c r="G233" i="4" s="1"/>
  <c r="K235" i="3"/>
  <c r="J116" i="4"/>
  <c r="H116" i="4"/>
  <c r="L117" i="4" s="1"/>
  <c r="I117" i="4"/>
  <c r="F236" i="3"/>
  <c r="E237" i="3"/>
  <c r="J115" i="4"/>
  <c r="P234" i="4" l="1"/>
  <c r="G234" i="4" s="1"/>
  <c r="K235" i="4"/>
  <c r="H101" i="3"/>
  <c r="L102" i="3" s="1"/>
  <c r="M102" i="3" s="1"/>
  <c r="I102" i="3"/>
  <c r="V81" i="4"/>
  <c r="R81" i="4" s="1"/>
  <c r="S81" i="4" s="1"/>
  <c r="T82" i="4" s="1"/>
  <c r="O81" i="4"/>
  <c r="N115" i="4"/>
  <c r="Q114" i="4"/>
  <c r="U87" i="3"/>
  <c r="N99" i="3"/>
  <c r="Q98" i="3"/>
  <c r="E238" i="3"/>
  <c r="F237" i="3"/>
  <c r="P235" i="3"/>
  <c r="G235" i="3" s="1"/>
  <c r="J100" i="3"/>
  <c r="E237" i="4"/>
  <c r="F236" i="4"/>
  <c r="K236" i="3"/>
  <c r="H117" i="4"/>
  <c r="L118" i="4" s="1"/>
  <c r="J117" i="4"/>
  <c r="I118" i="4"/>
  <c r="M118" i="4"/>
  <c r="U82" i="4" l="1"/>
  <c r="H102" i="3"/>
  <c r="L103" i="3" s="1"/>
  <c r="M103" i="3" s="1"/>
  <c r="J102" i="3"/>
  <c r="I103" i="3"/>
  <c r="P235" i="4"/>
  <c r="G235" i="4" s="1"/>
  <c r="F237" i="4"/>
  <c r="E238" i="4"/>
  <c r="K237" i="3"/>
  <c r="V87" i="3"/>
  <c r="R87" i="3"/>
  <c r="S87" i="3" s="1"/>
  <c r="T88" i="3" s="1"/>
  <c r="O87" i="3"/>
  <c r="U88" i="3"/>
  <c r="N100" i="3"/>
  <c r="Q99" i="3"/>
  <c r="F238" i="3"/>
  <c r="E239" i="3"/>
  <c r="H118" i="4"/>
  <c r="L119" i="4" s="1"/>
  <c r="M119" i="4" s="1"/>
  <c r="I119" i="4"/>
  <c r="J101" i="3"/>
  <c r="P236" i="3"/>
  <c r="G236" i="3" s="1"/>
  <c r="K236" i="4"/>
  <c r="N116" i="4"/>
  <c r="Q115" i="4"/>
  <c r="J118" i="4" l="1"/>
  <c r="H119" i="4"/>
  <c r="L120" i="4" s="1"/>
  <c r="M120" i="4" s="1"/>
  <c r="J119" i="4"/>
  <c r="I120" i="4"/>
  <c r="K237" i="4"/>
  <c r="N117" i="4"/>
  <c r="Q116" i="4"/>
  <c r="K238" i="3"/>
  <c r="H103" i="3"/>
  <c r="L104" i="3" s="1"/>
  <c r="M104" i="3" s="1"/>
  <c r="I104" i="3"/>
  <c r="P237" i="3"/>
  <c r="G237" i="3" s="1"/>
  <c r="E240" i="3"/>
  <c r="F239" i="3"/>
  <c r="P236" i="4"/>
  <c r="G236" i="4" s="1"/>
  <c r="R82" i="4"/>
  <c r="S82" i="4" s="1"/>
  <c r="T83" i="4" s="1"/>
  <c r="U83" i="4" s="1"/>
  <c r="O82" i="4"/>
  <c r="V82" i="4"/>
  <c r="E239" i="4"/>
  <c r="F238" i="4"/>
  <c r="N101" i="3"/>
  <c r="Q100" i="3"/>
  <c r="V88" i="3"/>
  <c r="O88" i="3" s="1"/>
  <c r="V83" i="4" l="1"/>
  <c r="R83" i="4"/>
  <c r="S83" i="4" s="1"/>
  <c r="O83" i="4"/>
  <c r="P238" i="3"/>
  <c r="G238" i="3" s="1"/>
  <c r="P237" i="4"/>
  <c r="G237" i="4" s="1"/>
  <c r="N118" i="4"/>
  <c r="Q117" i="4"/>
  <c r="R88" i="3"/>
  <c r="S88" i="3" s="1"/>
  <c r="T89" i="3" s="1"/>
  <c r="K238" i="4"/>
  <c r="K239" i="3"/>
  <c r="F240" i="3"/>
  <c r="E241" i="3"/>
  <c r="N102" i="3"/>
  <c r="Q101" i="3"/>
  <c r="T84" i="4"/>
  <c r="H120" i="4"/>
  <c r="L121" i="4" s="1"/>
  <c r="M121" i="4" s="1"/>
  <c r="I121" i="4"/>
  <c r="H104" i="3"/>
  <c r="L105" i="3" s="1"/>
  <c r="M105" i="3" s="1"/>
  <c r="I105" i="3"/>
  <c r="F239" i="4"/>
  <c r="E240" i="4"/>
  <c r="J103" i="3"/>
  <c r="J120" i="4" l="1"/>
  <c r="N103" i="3"/>
  <c r="Q102" i="3"/>
  <c r="E241" i="4"/>
  <c r="F240" i="4"/>
  <c r="P239" i="3"/>
  <c r="G239" i="3" s="1"/>
  <c r="E242" i="3"/>
  <c r="F241" i="3"/>
  <c r="K240" i="3"/>
  <c r="N119" i="4"/>
  <c r="Q118" i="4"/>
  <c r="K239" i="4"/>
  <c r="H105" i="3"/>
  <c r="L106" i="3" s="1"/>
  <c r="M106" i="3" s="1"/>
  <c r="I106" i="3"/>
  <c r="U84" i="4"/>
  <c r="J104" i="3"/>
  <c r="P238" i="4"/>
  <c r="G238" i="4" s="1"/>
  <c r="H121" i="4"/>
  <c r="L122" i="4" s="1"/>
  <c r="M122" i="4" s="1"/>
  <c r="I122" i="4"/>
  <c r="U89" i="3"/>
  <c r="V84" i="4" l="1"/>
  <c r="R84" i="4"/>
  <c r="S84" i="4" s="1"/>
  <c r="T85" i="4" s="1"/>
  <c r="U85" i="4" s="1"/>
  <c r="O84" i="4"/>
  <c r="N104" i="3"/>
  <c r="Q103" i="3"/>
  <c r="P239" i="4"/>
  <c r="G239" i="4" s="1"/>
  <c r="K241" i="3"/>
  <c r="H106" i="3"/>
  <c r="L107" i="3" s="1"/>
  <c r="M107" i="3" s="1"/>
  <c r="J106" i="3"/>
  <c r="I107" i="3"/>
  <c r="K240" i="4"/>
  <c r="J105" i="3"/>
  <c r="N120" i="4"/>
  <c r="Q119" i="4"/>
  <c r="F242" i="3"/>
  <c r="E243" i="3"/>
  <c r="V89" i="3"/>
  <c r="O89" i="3" s="1"/>
  <c r="R89" i="3"/>
  <c r="S89" i="3" s="1"/>
  <c r="T90" i="3" s="1"/>
  <c r="H122" i="4"/>
  <c r="L123" i="4" s="1"/>
  <c r="M123" i="4" s="1"/>
  <c r="I123" i="4"/>
  <c r="P240" i="3"/>
  <c r="G240" i="3" s="1"/>
  <c r="F241" i="4"/>
  <c r="E242" i="4"/>
  <c r="J121" i="4"/>
  <c r="V85" i="4" l="1"/>
  <c r="R85" i="4" s="1"/>
  <c r="S85" i="4" s="1"/>
  <c r="T86" i="4" s="1"/>
  <c r="P241" i="3"/>
  <c r="G241" i="3" s="1"/>
  <c r="E243" i="4"/>
  <c r="F242" i="4"/>
  <c r="N105" i="3"/>
  <c r="Q104" i="3"/>
  <c r="P240" i="4"/>
  <c r="G240" i="4" s="1"/>
  <c r="K241" i="4"/>
  <c r="N121" i="4"/>
  <c r="Q120" i="4"/>
  <c r="H123" i="4"/>
  <c r="L124" i="4" s="1"/>
  <c r="M124" i="4" s="1"/>
  <c r="J123" i="4"/>
  <c r="I124" i="4"/>
  <c r="E244" i="3"/>
  <c r="F243" i="3"/>
  <c r="K242" i="3"/>
  <c r="J122" i="4"/>
  <c r="H107" i="3"/>
  <c r="L108" i="3" s="1"/>
  <c r="M108" i="3" s="1"/>
  <c r="I108" i="3"/>
  <c r="U90" i="3"/>
  <c r="U86" i="4" l="1"/>
  <c r="H124" i="4"/>
  <c r="L125" i="4" s="1"/>
  <c r="M125" i="4" s="1"/>
  <c r="I125" i="4"/>
  <c r="K243" i="3"/>
  <c r="K242" i="4"/>
  <c r="N122" i="4"/>
  <c r="Q121" i="4"/>
  <c r="N106" i="3"/>
  <c r="Q105" i="3"/>
  <c r="F243" i="4"/>
  <c r="E244" i="4"/>
  <c r="P241" i="4"/>
  <c r="G241" i="4" s="1"/>
  <c r="P242" i="3"/>
  <c r="G242" i="3" s="1"/>
  <c r="F244" i="3"/>
  <c r="E245" i="3"/>
  <c r="R90" i="3"/>
  <c r="S90" i="3" s="1"/>
  <c r="T91" i="3" s="1"/>
  <c r="O90" i="3"/>
  <c r="V90" i="3"/>
  <c r="H108" i="3"/>
  <c r="L109" i="3" s="1"/>
  <c r="M109" i="3" s="1"/>
  <c r="J108" i="3"/>
  <c r="I109" i="3"/>
  <c r="J107" i="3"/>
  <c r="O85" i="4"/>
  <c r="P243" i="3" l="1"/>
  <c r="G243" i="3" s="1"/>
  <c r="E246" i="3"/>
  <c r="F245" i="3"/>
  <c r="H109" i="3"/>
  <c r="L110" i="3" s="1"/>
  <c r="M110" i="3" s="1"/>
  <c r="I110" i="3"/>
  <c r="P242" i="4"/>
  <c r="G242" i="4" s="1"/>
  <c r="H125" i="4"/>
  <c r="L126" i="4" s="1"/>
  <c r="M126" i="4" s="1"/>
  <c r="I126" i="4"/>
  <c r="E245" i="4"/>
  <c r="F244" i="4"/>
  <c r="K243" i="4"/>
  <c r="J124" i="4"/>
  <c r="Q122" i="4"/>
  <c r="N123" i="4"/>
  <c r="K244" i="3"/>
  <c r="V86" i="4"/>
  <c r="R86" i="4"/>
  <c r="S86" i="4" s="1"/>
  <c r="T87" i="4" s="1"/>
  <c r="O86" i="4"/>
  <c r="U87" i="4"/>
  <c r="N107" i="3"/>
  <c r="Q106" i="3"/>
  <c r="U91" i="3"/>
  <c r="N124" i="4" l="1"/>
  <c r="Q123" i="4"/>
  <c r="P244" i="3"/>
  <c r="G244" i="3" s="1"/>
  <c r="K245" i="3"/>
  <c r="J109" i="3"/>
  <c r="N108" i="3"/>
  <c r="Q107" i="3"/>
  <c r="P243" i="4"/>
  <c r="G243" i="4" s="1"/>
  <c r="K244" i="4"/>
  <c r="H110" i="3"/>
  <c r="L111" i="3" s="1"/>
  <c r="M111" i="3" s="1"/>
  <c r="I111" i="3"/>
  <c r="V91" i="3"/>
  <c r="R91" i="3"/>
  <c r="S91" i="3" s="1"/>
  <c r="T92" i="3" s="1"/>
  <c r="U92" i="3" s="1"/>
  <c r="O91" i="3"/>
  <c r="F246" i="3"/>
  <c r="E247" i="3"/>
  <c r="V87" i="4"/>
  <c r="R87" i="4" s="1"/>
  <c r="S87" i="4" s="1"/>
  <c r="T88" i="4" s="1"/>
  <c r="F245" i="4"/>
  <c r="E246" i="4"/>
  <c r="H126" i="4"/>
  <c r="L127" i="4" s="1"/>
  <c r="M127" i="4" s="1"/>
  <c r="J126" i="4"/>
  <c r="I127" i="4"/>
  <c r="J125" i="4"/>
  <c r="U88" i="4" l="1"/>
  <c r="V92" i="3"/>
  <c r="R92" i="3" s="1"/>
  <c r="S92" i="3" s="1"/>
  <c r="T93" i="3" s="1"/>
  <c r="M112" i="3"/>
  <c r="K246" i="3"/>
  <c r="E247" i="4"/>
  <c r="F246" i="4"/>
  <c r="J110" i="3"/>
  <c r="N109" i="3"/>
  <c r="Q108" i="3"/>
  <c r="K245" i="4"/>
  <c r="N125" i="4"/>
  <c r="Q124" i="4"/>
  <c r="H127" i="4"/>
  <c r="L128" i="4" s="1"/>
  <c r="M128" i="4" s="1"/>
  <c r="I128" i="4"/>
  <c r="J111" i="3"/>
  <c r="H111" i="3"/>
  <c r="L112" i="3" s="1"/>
  <c r="I112" i="3"/>
  <c r="P244" i="4"/>
  <c r="G244" i="4" s="1"/>
  <c r="P245" i="3"/>
  <c r="G245" i="3" s="1"/>
  <c r="O87" i="4"/>
  <c r="E248" i="3"/>
  <c r="F247" i="3"/>
  <c r="U93" i="3" l="1"/>
  <c r="M129" i="4"/>
  <c r="F247" i="4"/>
  <c r="E248" i="4"/>
  <c r="O92" i="3"/>
  <c r="F248" i="3"/>
  <c r="E249" i="3"/>
  <c r="P245" i="4"/>
  <c r="G245" i="4" s="1"/>
  <c r="P246" i="3"/>
  <c r="G246" i="3" s="1"/>
  <c r="J127" i="4"/>
  <c r="H128" i="4"/>
  <c r="L129" i="4" s="1"/>
  <c r="J128" i="4"/>
  <c r="I129" i="4"/>
  <c r="K247" i="3"/>
  <c r="N126" i="4"/>
  <c r="Q125" i="4"/>
  <c r="N110" i="3"/>
  <c r="Q109" i="3"/>
  <c r="H112" i="3"/>
  <c r="L113" i="3" s="1"/>
  <c r="M113" i="3" s="1"/>
  <c r="I113" i="3"/>
  <c r="V88" i="4"/>
  <c r="R88" i="4"/>
  <c r="S88" i="4" s="1"/>
  <c r="T89" i="4" s="1"/>
  <c r="U89" i="4" s="1"/>
  <c r="O88" i="4"/>
  <c r="K246" i="4"/>
  <c r="V89" i="4" l="1"/>
  <c r="R89" i="4" s="1"/>
  <c r="S89" i="4" s="1"/>
  <c r="T90" i="4" s="1"/>
  <c r="P246" i="4"/>
  <c r="G246" i="4" s="1"/>
  <c r="J112" i="3"/>
  <c r="M130" i="4"/>
  <c r="N111" i="3"/>
  <c r="Q110" i="3"/>
  <c r="N127" i="4"/>
  <c r="Q126" i="4"/>
  <c r="P247" i="3"/>
  <c r="G247" i="3" s="1"/>
  <c r="E249" i="4"/>
  <c r="F248" i="4"/>
  <c r="H129" i="4"/>
  <c r="L130" i="4" s="1"/>
  <c r="I130" i="4"/>
  <c r="K247" i="4"/>
  <c r="V93" i="3"/>
  <c r="O93" i="3" s="1"/>
  <c r="R93" i="3"/>
  <c r="S93" i="3" s="1"/>
  <c r="T94" i="3" s="1"/>
  <c r="E250" i="3"/>
  <c r="F249" i="3"/>
  <c r="K248" i="3"/>
  <c r="H113" i="3"/>
  <c r="L114" i="3" s="1"/>
  <c r="M114" i="3" s="1"/>
  <c r="I114" i="3"/>
  <c r="U90" i="4" l="1"/>
  <c r="N112" i="3"/>
  <c r="Q111" i="3"/>
  <c r="P247" i="4"/>
  <c r="G247" i="4" s="1"/>
  <c r="P248" i="3"/>
  <c r="G248" i="3" s="1"/>
  <c r="H114" i="3"/>
  <c r="L115" i="3" s="1"/>
  <c r="M115" i="3" s="1"/>
  <c r="I115" i="3"/>
  <c r="J129" i="4"/>
  <c r="O89" i="4"/>
  <c r="J113" i="3"/>
  <c r="H130" i="4"/>
  <c r="L131" i="4" s="1"/>
  <c r="M131" i="4" s="1"/>
  <c r="J130" i="4"/>
  <c r="I131" i="4"/>
  <c r="F249" i="4"/>
  <c r="E250" i="4"/>
  <c r="F250" i="3"/>
  <c r="E251" i="3"/>
  <c r="N128" i="4"/>
  <c r="Q127" i="4"/>
  <c r="K248" i="4"/>
  <c r="K249" i="3"/>
  <c r="U94" i="3"/>
  <c r="K250" i="3" l="1"/>
  <c r="N129" i="4"/>
  <c r="Q128" i="4"/>
  <c r="E252" i="3"/>
  <c r="F251" i="3"/>
  <c r="V94" i="3"/>
  <c r="R94" i="3" s="1"/>
  <c r="S94" i="3" s="1"/>
  <c r="T95" i="3" s="1"/>
  <c r="P248" i="4"/>
  <c r="G248" i="4" s="1"/>
  <c r="J114" i="3"/>
  <c r="E251" i="4"/>
  <c r="F250" i="4"/>
  <c r="K249" i="4"/>
  <c r="H131" i="4"/>
  <c r="L132" i="4" s="1"/>
  <c r="M132" i="4" s="1"/>
  <c r="I132" i="4"/>
  <c r="P249" i="3"/>
  <c r="G249" i="3" s="1"/>
  <c r="N113" i="3"/>
  <c r="Q112" i="3"/>
  <c r="V90" i="4"/>
  <c r="R90" i="4"/>
  <c r="S90" i="4" s="1"/>
  <c r="T91" i="4" s="1"/>
  <c r="O90" i="4"/>
  <c r="H115" i="3"/>
  <c r="L116" i="3" s="1"/>
  <c r="M116" i="3" s="1"/>
  <c r="I116" i="3"/>
  <c r="U95" i="3" l="1"/>
  <c r="H116" i="3"/>
  <c r="L117" i="3" s="1"/>
  <c r="M117" i="3" s="1"/>
  <c r="J116" i="3"/>
  <c r="I117" i="3"/>
  <c r="P249" i="4"/>
  <c r="G249" i="4" s="1"/>
  <c r="U91" i="4"/>
  <c r="K250" i="4"/>
  <c r="O94" i="3"/>
  <c r="H132" i="4"/>
  <c r="L133" i="4" s="1"/>
  <c r="M133" i="4" s="1"/>
  <c r="J132" i="4"/>
  <c r="I133" i="4"/>
  <c r="K251" i="3"/>
  <c r="N130" i="4"/>
  <c r="Q129" i="4"/>
  <c r="F251" i="4"/>
  <c r="E252" i="4"/>
  <c r="J131" i="4"/>
  <c r="J115" i="3"/>
  <c r="F252" i="3"/>
  <c r="E253" i="3"/>
  <c r="P250" i="3"/>
  <c r="G250" i="3" s="1"/>
  <c r="N114" i="3"/>
  <c r="Q113" i="3"/>
  <c r="V91" i="4" l="1"/>
  <c r="R91" i="4" s="1"/>
  <c r="S91" i="4" s="1"/>
  <c r="T92" i="4" s="1"/>
  <c r="E253" i="4"/>
  <c r="F252" i="4"/>
  <c r="K251" i="4"/>
  <c r="N115" i="3"/>
  <c r="Q114" i="3"/>
  <c r="P250" i="4"/>
  <c r="G250" i="4" s="1"/>
  <c r="E254" i="3"/>
  <c r="F254" i="3" s="1"/>
  <c r="F253" i="3"/>
  <c r="P251" i="3"/>
  <c r="G251" i="3" s="1"/>
  <c r="N131" i="4"/>
  <c r="Q130" i="4"/>
  <c r="H117" i="3"/>
  <c r="L118" i="3" s="1"/>
  <c r="M118" i="3" s="1"/>
  <c r="I118" i="3"/>
  <c r="J133" i="4"/>
  <c r="H133" i="4"/>
  <c r="L134" i="4" s="1"/>
  <c r="M134" i="4" s="1"/>
  <c r="I134" i="4"/>
  <c r="V95" i="3"/>
  <c r="R95" i="3" s="1"/>
  <c r="S95" i="3" s="1"/>
  <c r="T96" i="3" s="1"/>
  <c r="K252" i="3"/>
  <c r="U96" i="3" l="1"/>
  <c r="U92" i="4"/>
  <c r="J117" i="3"/>
  <c r="P252" i="3"/>
  <c r="G252" i="3" s="1"/>
  <c r="F253" i="4"/>
  <c r="E254" i="4"/>
  <c r="F254" i="4" s="1"/>
  <c r="N116" i="3"/>
  <c r="Q115" i="3"/>
  <c r="N132" i="4"/>
  <c r="Q131" i="4"/>
  <c r="P251" i="4"/>
  <c r="G251" i="4" s="1"/>
  <c r="O91" i="4"/>
  <c r="H118" i="3"/>
  <c r="L119" i="3" s="1"/>
  <c r="M119" i="3" s="1"/>
  <c r="J118" i="3"/>
  <c r="I119" i="3"/>
  <c r="K252" i="4"/>
  <c r="O95" i="3"/>
  <c r="K253" i="3"/>
  <c r="K254" i="3"/>
  <c r="P254" i="3" s="1"/>
  <c r="G254" i="3" s="1"/>
  <c r="H134" i="4"/>
  <c r="L135" i="4" s="1"/>
  <c r="M135" i="4" s="1"/>
  <c r="J134" i="4"/>
  <c r="I135" i="4"/>
  <c r="K253" i="4" l="1"/>
  <c r="N117" i="3"/>
  <c r="Q116" i="3"/>
  <c r="P252" i="4"/>
  <c r="G252" i="4" s="1"/>
  <c r="H135" i="4"/>
  <c r="L136" i="4" s="1"/>
  <c r="M136" i="4" s="1"/>
  <c r="I136" i="4"/>
  <c r="V92" i="4"/>
  <c r="R92" i="4" s="1"/>
  <c r="S92" i="4" s="1"/>
  <c r="T93" i="4" s="1"/>
  <c r="V96" i="3"/>
  <c r="O96" i="3" s="1"/>
  <c r="H119" i="3"/>
  <c r="L120" i="3" s="1"/>
  <c r="M120" i="3" s="1"/>
  <c r="I120" i="3"/>
  <c r="N133" i="4"/>
  <c r="Q132" i="4"/>
  <c r="K254" i="4"/>
  <c r="P254" i="4" s="1"/>
  <c r="G254" i="4" s="1"/>
  <c r="P253" i="3"/>
  <c r="G253" i="3" s="1"/>
  <c r="U93" i="4" l="1"/>
  <c r="J135" i="4"/>
  <c r="N134" i="4"/>
  <c r="Q133" i="4"/>
  <c r="H120" i="3"/>
  <c r="L121" i="3" s="1"/>
  <c r="M121" i="3" s="1"/>
  <c r="J120" i="3"/>
  <c r="I121" i="3"/>
  <c r="J119" i="3"/>
  <c r="R96" i="3"/>
  <c r="S96" i="3" s="1"/>
  <c r="T97" i="3" s="1"/>
  <c r="P253" i="4"/>
  <c r="G253" i="4" s="1"/>
  <c r="H136" i="4"/>
  <c r="L137" i="4" s="1"/>
  <c r="M137" i="4" s="1"/>
  <c r="I137" i="4"/>
  <c r="N118" i="3"/>
  <c r="Q117" i="3"/>
  <c r="O92" i="4"/>
  <c r="H121" i="3" l="1"/>
  <c r="L122" i="3" s="1"/>
  <c r="M122" i="3" s="1"/>
  <c r="I122" i="3"/>
  <c r="N119" i="3"/>
  <c r="Q118" i="3"/>
  <c r="H137" i="4"/>
  <c r="L138" i="4" s="1"/>
  <c r="M138" i="4" s="1"/>
  <c r="I138" i="4"/>
  <c r="J136" i="4"/>
  <c r="V93" i="4"/>
  <c r="R93" i="4" s="1"/>
  <c r="S93" i="4" s="1"/>
  <c r="T94" i="4" s="1"/>
  <c r="N135" i="4"/>
  <c r="Q134" i="4"/>
  <c r="U97" i="3"/>
  <c r="U94" i="4" l="1"/>
  <c r="H138" i="4"/>
  <c r="L139" i="4" s="1"/>
  <c r="M139" i="4" s="1"/>
  <c r="J138" i="4"/>
  <c r="I139" i="4"/>
  <c r="V97" i="3"/>
  <c r="R97" i="3" s="1"/>
  <c r="S97" i="3" s="1"/>
  <c r="T98" i="3" s="1"/>
  <c r="O97" i="3"/>
  <c r="H122" i="3"/>
  <c r="L123" i="3" s="1"/>
  <c r="M123" i="3" s="1"/>
  <c r="I123" i="3"/>
  <c r="Q119" i="3"/>
  <c r="N120" i="3"/>
  <c r="Q135" i="4"/>
  <c r="N136" i="4"/>
  <c r="O93" i="4"/>
  <c r="J137" i="4"/>
  <c r="J121" i="3"/>
  <c r="U98" i="3" l="1"/>
  <c r="M140" i="4"/>
  <c r="N137" i="4"/>
  <c r="Q136" i="4"/>
  <c r="H123" i="3"/>
  <c r="L124" i="3" s="1"/>
  <c r="M124" i="3" s="1"/>
  <c r="I124" i="3"/>
  <c r="V94" i="4"/>
  <c r="O94" i="4" s="1"/>
  <c r="H139" i="4"/>
  <c r="L140" i="4" s="1"/>
  <c r="I140" i="4"/>
  <c r="N121" i="3"/>
  <c r="Q120" i="3"/>
  <c r="J122" i="3"/>
  <c r="R94" i="4" l="1"/>
  <c r="S94" i="4" s="1"/>
  <c r="T95" i="4" s="1"/>
  <c r="Q121" i="3"/>
  <c r="N122" i="3"/>
  <c r="H124" i="3"/>
  <c r="L125" i="3" s="1"/>
  <c r="M125" i="3" s="1"/>
  <c r="J124" i="3"/>
  <c r="I125" i="3"/>
  <c r="J123" i="3"/>
  <c r="Q137" i="4"/>
  <c r="N138" i="4"/>
  <c r="H140" i="4"/>
  <c r="L141" i="4" s="1"/>
  <c r="M141" i="4" s="1"/>
  <c r="I141" i="4"/>
  <c r="V98" i="3"/>
  <c r="R98" i="3" s="1"/>
  <c r="S98" i="3" s="1"/>
  <c r="T99" i="3" s="1"/>
  <c r="J139" i="4"/>
  <c r="U99" i="3" l="1"/>
  <c r="H125" i="3"/>
  <c r="L126" i="3" s="1"/>
  <c r="M126" i="3" s="1"/>
  <c r="I126" i="3"/>
  <c r="N139" i="4"/>
  <c r="Q138" i="4"/>
  <c r="O98" i="3"/>
  <c r="H141" i="4"/>
  <c r="L142" i="4" s="1"/>
  <c r="M142" i="4" s="1"/>
  <c r="I142" i="4"/>
  <c r="N123" i="3"/>
  <c r="Q122" i="3"/>
  <c r="U95" i="4"/>
  <c r="J140" i="4"/>
  <c r="Q139" i="4" l="1"/>
  <c r="N140" i="4"/>
  <c r="H126" i="3"/>
  <c r="L127" i="3" s="1"/>
  <c r="M127" i="3" s="1"/>
  <c r="J126" i="3"/>
  <c r="I127" i="3"/>
  <c r="J125" i="3"/>
  <c r="V99" i="3"/>
  <c r="R99" i="3"/>
  <c r="S99" i="3" s="1"/>
  <c r="T100" i="3" s="1"/>
  <c r="O99" i="3"/>
  <c r="J141" i="4"/>
  <c r="V95" i="4"/>
  <c r="R95" i="4" s="1"/>
  <c r="S95" i="4" s="1"/>
  <c r="T96" i="4" s="1"/>
  <c r="Q123" i="3"/>
  <c r="N124" i="3"/>
  <c r="H142" i="4"/>
  <c r="L143" i="4" s="1"/>
  <c r="M143" i="4" s="1"/>
  <c r="J142" i="4"/>
  <c r="I143" i="4"/>
  <c r="U96" i="4" l="1"/>
  <c r="H143" i="4"/>
  <c r="L144" i="4" s="1"/>
  <c r="M144" i="4" s="1"/>
  <c r="I144" i="4"/>
  <c r="N125" i="3"/>
  <c r="Q124" i="3"/>
  <c r="O95" i="4"/>
  <c r="U100" i="3"/>
  <c r="H127" i="3"/>
  <c r="L128" i="3" s="1"/>
  <c r="M128" i="3" s="1"/>
  <c r="I128" i="3"/>
  <c r="N141" i="4"/>
  <c r="Q140" i="4"/>
  <c r="Q125" i="3" l="1"/>
  <c r="N126" i="3"/>
  <c r="J143" i="4"/>
  <c r="V100" i="3"/>
  <c r="O100" i="3" s="1"/>
  <c r="H144" i="4"/>
  <c r="L145" i="4" s="1"/>
  <c r="M145" i="4" s="1"/>
  <c r="J144" i="4"/>
  <c r="I145" i="4"/>
  <c r="N142" i="4"/>
  <c r="Q141" i="4"/>
  <c r="H128" i="3"/>
  <c r="L129" i="3" s="1"/>
  <c r="M129" i="3" s="1"/>
  <c r="J128" i="3"/>
  <c r="I129" i="3"/>
  <c r="V96" i="4"/>
  <c r="R96" i="4"/>
  <c r="S96" i="4" s="1"/>
  <c r="T97" i="4" s="1"/>
  <c r="U97" i="4" s="1"/>
  <c r="O96" i="4"/>
  <c r="J127" i="3"/>
  <c r="V97" i="4" l="1"/>
  <c r="R97" i="4" s="1"/>
  <c r="S97" i="4" s="1"/>
  <c r="T98" i="4" s="1"/>
  <c r="H145" i="4"/>
  <c r="L146" i="4" s="1"/>
  <c r="M146" i="4" s="1"/>
  <c r="I146" i="4"/>
  <c r="R100" i="3"/>
  <c r="S100" i="3" s="1"/>
  <c r="T101" i="3" s="1"/>
  <c r="J129" i="3"/>
  <c r="H129" i="3"/>
  <c r="L130" i="3" s="1"/>
  <c r="M130" i="3" s="1"/>
  <c r="I130" i="3"/>
  <c r="N127" i="3"/>
  <c r="Q126" i="3"/>
  <c r="N143" i="4"/>
  <c r="Q142" i="4"/>
  <c r="U98" i="4" l="1"/>
  <c r="Q127" i="3"/>
  <c r="N128" i="3"/>
  <c r="H146" i="4"/>
  <c r="L147" i="4" s="1"/>
  <c r="M147" i="4" s="1"/>
  <c r="J146" i="4"/>
  <c r="I147" i="4"/>
  <c r="J145" i="4"/>
  <c r="H130" i="3"/>
  <c r="L131" i="3" s="1"/>
  <c r="M131" i="3" s="1"/>
  <c r="J130" i="3"/>
  <c r="I131" i="3"/>
  <c r="U101" i="3"/>
  <c r="Q143" i="4"/>
  <c r="N144" i="4"/>
  <c r="O97" i="4"/>
  <c r="N129" i="3" l="1"/>
  <c r="Q128" i="3"/>
  <c r="H147" i="4"/>
  <c r="L148" i="4" s="1"/>
  <c r="M148" i="4" s="1"/>
  <c r="I148" i="4"/>
  <c r="N145" i="4"/>
  <c r="Q144" i="4"/>
  <c r="V98" i="4"/>
  <c r="R98" i="4"/>
  <c r="S98" i="4" s="1"/>
  <c r="T99" i="4" s="1"/>
  <c r="O98" i="4"/>
  <c r="V101" i="3"/>
  <c r="R101" i="3"/>
  <c r="S101" i="3" s="1"/>
  <c r="T102" i="3" s="1"/>
  <c r="O101" i="3"/>
  <c r="H131" i="3"/>
  <c r="L132" i="3" s="1"/>
  <c r="M132" i="3" s="1"/>
  <c r="I132" i="3"/>
  <c r="H132" i="3" l="1"/>
  <c r="L133" i="3" s="1"/>
  <c r="M133" i="3" s="1"/>
  <c r="J132" i="3"/>
  <c r="I133" i="3"/>
  <c r="Q145" i="4"/>
  <c r="N146" i="4"/>
  <c r="J147" i="4"/>
  <c r="H148" i="4"/>
  <c r="L149" i="4" s="1"/>
  <c r="M149" i="4" s="1"/>
  <c r="J148" i="4"/>
  <c r="I149" i="4"/>
  <c r="J131" i="3"/>
  <c r="U102" i="3"/>
  <c r="Q129" i="3"/>
  <c r="N130" i="3"/>
  <c r="U99" i="4"/>
  <c r="N131" i="3" l="1"/>
  <c r="Q130" i="3"/>
  <c r="N147" i="4"/>
  <c r="Q146" i="4"/>
  <c r="V99" i="4"/>
  <c r="R99" i="4" s="1"/>
  <c r="S99" i="4" s="1"/>
  <c r="T100" i="4" s="1"/>
  <c r="H133" i="3"/>
  <c r="L134" i="3" s="1"/>
  <c r="M134" i="3" s="1"/>
  <c r="I134" i="3"/>
  <c r="V102" i="3"/>
  <c r="R102" i="3" s="1"/>
  <c r="S102" i="3" s="1"/>
  <c r="T103" i="3" s="1"/>
  <c r="H149" i="4"/>
  <c r="L150" i="4" s="1"/>
  <c r="M150" i="4" s="1"/>
  <c r="I150" i="4"/>
  <c r="U103" i="3" l="1"/>
  <c r="U100" i="4"/>
  <c r="O99" i="4"/>
  <c r="H150" i="4"/>
  <c r="L151" i="4" s="1"/>
  <c r="M151" i="4" s="1"/>
  <c r="J150" i="4"/>
  <c r="I151" i="4"/>
  <c r="J133" i="3"/>
  <c r="N148" i="4"/>
  <c r="Q147" i="4"/>
  <c r="J149" i="4"/>
  <c r="O102" i="3"/>
  <c r="N132" i="3"/>
  <c r="Q131" i="3"/>
  <c r="H134" i="3"/>
  <c r="L135" i="3" s="1"/>
  <c r="M135" i="3" s="1"/>
  <c r="J134" i="3"/>
  <c r="I135" i="3"/>
  <c r="M136" i="3" l="1"/>
  <c r="N149" i="4"/>
  <c r="Q148" i="4"/>
  <c r="V100" i="4"/>
  <c r="R100" i="4"/>
  <c r="S100" i="4" s="1"/>
  <c r="T101" i="4" s="1"/>
  <c r="U101" i="4" s="1"/>
  <c r="O100" i="4"/>
  <c r="H151" i="4"/>
  <c r="L152" i="4" s="1"/>
  <c r="M152" i="4" s="1"/>
  <c r="I152" i="4"/>
  <c r="J135" i="3"/>
  <c r="H135" i="3"/>
  <c r="L136" i="3" s="1"/>
  <c r="I136" i="3"/>
  <c r="N133" i="3"/>
  <c r="Q132" i="3"/>
  <c r="V103" i="3"/>
  <c r="R103" i="3"/>
  <c r="S103" i="3" s="1"/>
  <c r="T104" i="3" s="1"/>
  <c r="O103" i="3"/>
  <c r="V101" i="4" l="1"/>
  <c r="R101" i="4" s="1"/>
  <c r="S101" i="4" s="1"/>
  <c r="T102" i="4" s="1"/>
  <c r="J151" i="4"/>
  <c r="H152" i="4"/>
  <c r="L153" i="4" s="1"/>
  <c r="M153" i="4" s="1"/>
  <c r="I153" i="4"/>
  <c r="U104" i="3"/>
  <c r="Q133" i="3"/>
  <c r="N134" i="3"/>
  <c r="Q149" i="4"/>
  <c r="N150" i="4"/>
  <c r="H136" i="3"/>
  <c r="L137" i="3" s="1"/>
  <c r="M137" i="3" s="1"/>
  <c r="J136" i="3"/>
  <c r="I137" i="3"/>
  <c r="U102" i="4" l="1"/>
  <c r="H137" i="3"/>
  <c r="L138" i="3" s="1"/>
  <c r="M138" i="3" s="1"/>
  <c r="I138" i="3"/>
  <c r="V104" i="3"/>
  <c r="R104" i="3" s="1"/>
  <c r="S104" i="3" s="1"/>
  <c r="T105" i="3" s="1"/>
  <c r="J152" i="4"/>
  <c r="N151" i="4"/>
  <c r="Q150" i="4"/>
  <c r="N135" i="3"/>
  <c r="Q134" i="3"/>
  <c r="H153" i="4"/>
  <c r="L154" i="4" s="1"/>
  <c r="M154" i="4" s="1"/>
  <c r="I154" i="4"/>
  <c r="O101" i="4"/>
  <c r="U105" i="3" l="1"/>
  <c r="H154" i="4"/>
  <c r="L155" i="4" s="1"/>
  <c r="M155" i="4" s="1"/>
  <c r="J154" i="4"/>
  <c r="I155" i="4"/>
  <c r="O104" i="3"/>
  <c r="J153" i="4"/>
  <c r="J137" i="3"/>
  <c r="H138" i="3"/>
  <c r="L139" i="3" s="1"/>
  <c r="M139" i="3" s="1"/>
  <c r="J138" i="3"/>
  <c r="I139" i="3"/>
  <c r="V102" i="4"/>
  <c r="R102" i="4"/>
  <c r="S102" i="4" s="1"/>
  <c r="T103" i="4" s="1"/>
  <c r="U103" i="4" s="1"/>
  <c r="O102" i="4"/>
  <c r="N136" i="3"/>
  <c r="Q135" i="3"/>
  <c r="N152" i="4"/>
  <c r="Q151" i="4"/>
  <c r="V103" i="4" l="1"/>
  <c r="R103" i="4" s="1"/>
  <c r="S103" i="4" s="1"/>
  <c r="T104" i="4" s="1"/>
  <c r="H155" i="4"/>
  <c r="L156" i="4" s="1"/>
  <c r="M156" i="4" s="1"/>
  <c r="I156" i="4"/>
  <c r="N153" i="4"/>
  <c r="Q152" i="4"/>
  <c r="N137" i="3"/>
  <c r="Q136" i="3"/>
  <c r="V105" i="3"/>
  <c r="R105" i="3"/>
  <c r="S105" i="3" s="1"/>
  <c r="T106" i="3" s="1"/>
  <c r="U106" i="3" s="1"/>
  <c r="O105" i="3"/>
  <c r="H139" i="3"/>
  <c r="L140" i="3" s="1"/>
  <c r="M140" i="3" s="1"/>
  <c r="I140" i="3"/>
  <c r="V106" i="3" l="1"/>
  <c r="R106" i="3" s="1"/>
  <c r="S106" i="3" s="1"/>
  <c r="T107" i="3" s="1"/>
  <c r="U104" i="4"/>
  <c r="H156" i="4"/>
  <c r="L157" i="4" s="1"/>
  <c r="M157" i="4" s="1"/>
  <c r="J156" i="4"/>
  <c r="I157" i="4"/>
  <c r="J139" i="3"/>
  <c r="H140" i="3"/>
  <c r="L141" i="3" s="1"/>
  <c r="M141" i="3" s="1"/>
  <c r="J140" i="3"/>
  <c r="I141" i="3"/>
  <c r="J155" i="4"/>
  <c r="Q153" i="4"/>
  <c r="N154" i="4"/>
  <c r="O103" i="4"/>
  <c r="Q137" i="3"/>
  <c r="N138" i="3"/>
  <c r="U107" i="3" l="1"/>
  <c r="H157" i="4"/>
  <c r="L158" i="4" s="1"/>
  <c r="M158" i="4" s="1"/>
  <c r="I158" i="4"/>
  <c r="N139" i="3"/>
  <c r="Q138" i="3"/>
  <c r="V104" i="4"/>
  <c r="O104" i="4" s="1"/>
  <c r="N155" i="4"/>
  <c r="Q154" i="4"/>
  <c r="O106" i="3"/>
  <c r="H141" i="3"/>
  <c r="L142" i="3" s="1"/>
  <c r="M142" i="3" s="1"/>
  <c r="I142" i="3"/>
  <c r="H142" i="3" l="1"/>
  <c r="L143" i="3" s="1"/>
  <c r="M143" i="3" s="1"/>
  <c r="J142" i="3"/>
  <c r="I143" i="3"/>
  <c r="N140" i="3"/>
  <c r="Q139" i="3"/>
  <c r="R104" i="4"/>
  <c r="S104" i="4" s="1"/>
  <c r="T105" i="4" s="1"/>
  <c r="H158" i="4"/>
  <c r="L159" i="4" s="1"/>
  <c r="M159" i="4" s="1"/>
  <c r="I159" i="4"/>
  <c r="J141" i="3"/>
  <c r="J157" i="4"/>
  <c r="V107" i="3"/>
  <c r="R107" i="3"/>
  <c r="S107" i="3" s="1"/>
  <c r="T108" i="3" s="1"/>
  <c r="O107" i="3"/>
  <c r="N156" i="4"/>
  <c r="Q155" i="4"/>
  <c r="M144" i="3" l="1"/>
  <c r="H159" i="4"/>
  <c r="L160" i="4" s="1"/>
  <c r="M160" i="4" s="1"/>
  <c r="I160" i="4"/>
  <c r="N157" i="4"/>
  <c r="Q156" i="4"/>
  <c r="U105" i="4"/>
  <c r="J158" i="4"/>
  <c r="N141" i="3"/>
  <c r="Q140" i="3"/>
  <c r="J143" i="3"/>
  <c r="H143" i="3"/>
  <c r="L144" i="3" s="1"/>
  <c r="I144" i="3"/>
  <c r="U108" i="3"/>
  <c r="Q141" i="3" l="1"/>
  <c r="N142" i="3"/>
  <c r="N158" i="4"/>
  <c r="Q157" i="4"/>
  <c r="H160" i="4"/>
  <c r="L161" i="4" s="1"/>
  <c r="M161" i="4" s="1"/>
  <c r="J160" i="4"/>
  <c r="I161" i="4"/>
  <c r="J159" i="4"/>
  <c r="R105" i="4"/>
  <c r="S105" i="4" s="1"/>
  <c r="T106" i="4" s="1"/>
  <c r="U106" i="4" s="1"/>
  <c r="O105" i="4"/>
  <c r="V105" i="4"/>
  <c r="V108" i="3"/>
  <c r="R108" i="3" s="1"/>
  <c r="S108" i="3" s="1"/>
  <c r="T109" i="3" s="1"/>
  <c r="H144" i="3"/>
  <c r="L145" i="3" s="1"/>
  <c r="J144" i="3"/>
  <c r="I145" i="3"/>
  <c r="M145" i="3"/>
  <c r="U109" i="3" l="1"/>
  <c r="V106" i="4"/>
  <c r="R106" i="4"/>
  <c r="S106" i="4" s="1"/>
  <c r="T107" i="4" s="1"/>
  <c r="O106" i="4"/>
  <c r="H161" i="4"/>
  <c r="L162" i="4" s="1"/>
  <c r="M162" i="4" s="1"/>
  <c r="I162" i="4"/>
  <c r="N143" i="3"/>
  <c r="Q142" i="3"/>
  <c r="O108" i="3"/>
  <c r="H145" i="3"/>
  <c r="L146" i="3" s="1"/>
  <c r="M146" i="3" s="1"/>
  <c r="I146" i="3"/>
  <c r="N159" i="4"/>
  <c r="Q158" i="4"/>
  <c r="U107" i="4" l="1"/>
  <c r="J161" i="4"/>
  <c r="H162" i="4"/>
  <c r="L163" i="4" s="1"/>
  <c r="M163" i="4" s="1"/>
  <c r="J162" i="4"/>
  <c r="I163" i="4"/>
  <c r="N160" i="4"/>
  <c r="Q159" i="4"/>
  <c r="H146" i="3"/>
  <c r="L147" i="3" s="1"/>
  <c r="M147" i="3" s="1"/>
  <c r="I147" i="3"/>
  <c r="N144" i="3"/>
  <c r="Q143" i="3"/>
  <c r="J145" i="3"/>
  <c r="V109" i="3"/>
  <c r="R109" i="3"/>
  <c r="S109" i="3" s="1"/>
  <c r="T110" i="3" s="1"/>
  <c r="O109" i="3"/>
  <c r="N161" i="4" l="1"/>
  <c r="Q160" i="4"/>
  <c r="H163" i="4"/>
  <c r="L164" i="4" s="1"/>
  <c r="M164" i="4" s="1"/>
  <c r="I164" i="4"/>
  <c r="V107" i="4"/>
  <c r="O107" i="4" s="1"/>
  <c r="J146" i="3"/>
  <c r="U110" i="3"/>
  <c r="N145" i="3"/>
  <c r="Q144" i="3"/>
  <c r="H147" i="3"/>
  <c r="L148" i="3" s="1"/>
  <c r="M148" i="3" s="1"/>
  <c r="I148" i="3"/>
  <c r="R107" i="4" l="1"/>
  <c r="S107" i="4" s="1"/>
  <c r="T108" i="4" s="1"/>
  <c r="H164" i="4"/>
  <c r="L165" i="4" s="1"/>
  <c r="M165" i="4" s="1"/>
  <c r="I165" i="4"/>
  <c r="J163" i="4"/>
  <c r="N162" i="4"/>
  <c r="Q161" i="4"/>
  <c r="H148" i="3"/>
  <c r="L149" i="3" s="1"/>
  <c r="M149" i="3" s="1"/>
  <c r="I149" i="3"/>
  <c r="J147" i="3"/>
  <c r="Q145" i="3"/>
  <c r="N146" i="3"/>
  <c r="V110" i="3"/>
  <c r="O110" i="3" s="1"/>
  <c r="H149" i="3" l="1"/>
  <c r="L150" i="3" s="1"/>
  <c r="M150" i="3" s="1"/>
  <c r="I150" i="3"/>
  <c r="R110" i="3"/>
  <c r="S110" i="3" s="1"/>
  <c r="T111" i="3" s="1"/>
  <c r="N163" i="4"/>
  <c r="Q162" i="4"/>
  <c r="J148" i="3"/>
  <c r="H165" i="4"/>
  <c r="L166" i="4" s="1"/>
  <c r="M166" i="4" s="1"/>
  <c r="I166" i="4"/>
  <c r="J164" i="4"/>
  <c r="N147" i="3"/>
  <c r="Q146" i="3"/>
  <c r="U108" i="4"/>
  <c r="N164" i="4" l="1"/>
  <c r="Q163" i="4"/>
  <c r="H166" i="4"/>
  <c r="L167" i="4" s="1"/>
  <c r="M167" i="4" s="1"/>
  <c r="J166" i="4"/>
  <c r="I167" i="4"/>
  <c r="H150" i="3"/>
  <c r="L151" i="3" s="1"/>
  <c r="M151" i="3" s="1"/>
  <c r="I151" i="3"/>
  <c r="J165" i="4"/>
  <c r="V108" i="4"/>
  <c r="R108" i="4"/>
  <c r="S108" i="4" s="1"/>
  <c r="T109" i="4" s="1"/>
  <c r="O108" i="4"/>
  <c r="N148" i="3"/>
  <c r="Q147" i="3"/>
  <c r="U111" i="3"/>
  <c r="J149" i="3"/>
  <c r="H151" i="3" l="1"/>
  <c r="L152" i="3" s="1"/>
  <c r="M152" i="3" s="1"/>
  <c r="I152" i="3"/>
  <c r="N149" i="3"/>
  <c r="Q148" i="3"/>
  <c r="V111" i="3"/>
  <c r="R111" i="3" s="1"/>
  <c r="S111" i="3" s="1"/>
  <c r="T112" i="3" s="1"/>
  <c r="O111" i="3"/>
  <c r="J150" i="3"/>
  <c r="H167" i="4"/>
  <c r="L168" i="4" s="1"/>
  <c r="M168" i="4" s="1"/>
  <c r="I168" i="4"/>
  <c r="N165" i="4"/>
  <c r="Q164" i="4"/>
  <c r="U109" i="4"/>
  <c r="U112" i="3" l="1"/>
  <c r="M153" i="3"/>
  <c r="N166" i="4"/>
  <c r="Q165" i="4"/>
  <c r="N150" i="3"/>
  <c r="Q149" i="3"/>
  <c r="J151" i="3"/>
  <c r="R109" i="4"/>
  <c r="S109" i="4" s="1"/>
  <c r="T110" i="4" s="1"/>
  <c r="U110" i="4" s="1"/>
  <c r="O109" i="4"/>
  <c r="V109" i="4"/>
  <c r="H152" i="3"/>
  <c r="L153" i="3" s="1"/>
  <c r="J152" i="3"/>
  <c r="I153" i="3"/>
  <c r="H168" i="4"/>
  <c r="L169" i="4" s="1"/>
  <c r="M169" i="4" s="1"/>
  <c r="J168" i="4"/>
  <c r="I169" i="4"/>
  <c r="J167" i="4"/>
  <c r="V110" i="4" l="1"/>
  <c r="R110" i="4"/>
  <c r="S110" i="4" s="1"/>
  <c r="T111" i="4" s="1"/>
  <c r="O110" i="4"/>
  <c r="H169" i="4"/>
  <c r="L170" i="4" s="1"/>
  <c r="M170" i="4" s="1"/>
  <c r="I170" i="4"/>
  <c r="M154" i="3"/>
  <c r="N151" i="3"/>
  <c r="Q150" i="3"/>
  <c r="N167" i="4"/>
  <c r="Q166" i="4"/>
  <c r="H153" i="3"/>
  <c r="L154" i="3" s="1"/>
  <c r="I154" i="3"/>
  <c r="V112" i="3"/>
  <c r="O112" i="3" s="1"/>
  <c r="U111" i="4" l="1"/>
  <c r="N168" i="4"/>
  <c r="Q167" i="4"/>
  <c r="M155" i="3"/>
  <c r="R112" i="3"/>
  <c r="S112" i="3" s="1"/>
  <c r="T113" i="3" s="1"/>
  <c r="N152" i="3"/>
  <c r="Q151" i="3"/>
  <c r="H170" i="4"/>
  <c r="L171" i="4" s="1"/>
  <c r="M171" i="4" s="1"/>
  <c r="J170" i="4"/>
  <c r="I171" i="4"/>
  <c r="J169" i="4"/>
  <c r="H154" i="3"/>
  <c r="L155" i="3" s="1"/>
  <c r="I155" i="3"/>
  <c r="J153" i="3"/>
  <c r="N153" i="3" l="1"/>
  <c r="Q152" i="3"/>
  <c r="H171" i="4"/>
  <c r="L172" i="4" s="1"/>
  <c r="M172" i="4" s="1"/>
  <c r="I172" i="4"/>
  <c r="H155" i="3"/>
  <c r="L156" i="3" s="1"/>
  <c r="M156" i="3" s="1"/>
  <c r="I156" i="3"/>
  <c r="U113" i="3"/>
  <c r="N169" i="4"/>
  <c r="Q168" i="4"/>
  <c r="J154" i="3"/>
  <c r="R111" i="4"/>
  <c r="S111" i="4" s="1"/>
  <c r="T112" i="4" s="1"/>
  <c r="U112" i="4" s="1"/>
  <c r="O111" i="4"/>
  <c r="V111" i="4"/>
  <c r="V112" i="4" l="1"/>
  <c r="R112" i="4"/>
  <c r="S112" i="4" s="1"/>
  <c r="O112" i="4"/>
  <c r="M173" i="4"/>
  <c r="V113" i="3"/>
  <c r="O113" i="3" s="1"/>
  <c r="J155" i="3"/>
  <c r="H156" i="3"/>
  <c r="L157" i="3" s="1"/>
  <c r="M157" i="3" s="1"/>
  <c r="I157" i="3"/>
  <c r="J171" i="4"/>
  <c r="H172" i="4"/>
  <c r="L173" i="4" s="1"/>
  <c r="J172" i="4"/>
  <c r="I173" i="4"/>
  <c r="N154" i="3"/>
  <c r="Q153" i="3"/>
  <c r="T113" i="4"/>
  <c r="N170" i="4"/>
  <c r="Q169" i="4"/>
  <c r="R113" i="3" l="1"/>
  <c r="S113" i="3" s="1"/>
  <c r="T114" i="3" s="1"/>
  <c r="N155" i="3"/>
  <c r="Q154" i="3"/>
  <c r="M174" i="4"/>
  <c r="H157" i="3"/>
  <c r="L158" i="3" s="1"/>
  <c r="M158" i="3" s="1"/>
  <c r="I158" i="3"/>
  <c r="U113" i="4"/>
  <c r="N171" i="4"/>
  <c r="Q170" i="4"/>
  <c r="H173" i="4"/>
  <c r="L174" i="4" s="1"/>
  <c r="I174" i="4"/>
  <c r="J156" i="3"/>
  <c r="N172" i="4" l="1"/>
  <c r="Q171" i="4"/>
  <c r="H158" i="3"/>
  <c r="L159" i="3" s="1"/>
  <c r="M159" i="3" s="1"/>
  <c r="J158" i="3"/>
  <c r="I159" i="3"/>
  <c r="N156" i="3"/>
  <c r="Q155" i="3"/>
  <c r="R113" i="4"/>
  <c r="S113" i="4" s="1"/>
  <c r="T114" i="4" s="1"/>
  <c r="O113" i="4"/>
  <c r="V113" i="4"/>
  <c r="H174" i="4"/>
  <c r="L175" i="4" s="1"/>
  <c r="M175" i="4" s="1"/>
  <c r="I175" i="4"/>
  <c r="J157" i="3"/>
  <c r="U114" i="3"/>
  <c r="J173" i="4"/>
  <c r="V114" i="3" l="1"/>
  <c r="O114" i="3" s="1"/>
  <c r="H159" i="3"/>
  <c r="L160" i="3" s="1"/>
  <c r="M160" i="3" s="1"/>
  <c r="I160" i="3"/>
  <c r="J174" i="4"/>
  <c r="N173" i="4"/>
  <c r="Q172" i="4"/>
  <c r="U114" i="4"/>
  <c r="N157" i="3"/>
  <c r="Q156" i="3"/>
  <c r="H175" i="4"/>
  <c r="L176" i="4" s="1"/>
  <c r="M176" i="4" s="1"/>
  <c r="I176" i="4"/>
  <c r="Q173" i="4" l="1"/>
  <c r="N174" i="4"/>
  <c r="J159" i="3"/>
  <c r="R114" i="3"/>
  <c r="S114" i="3" s="1"/>
  <c r="T115" i="3" s="1"/>
  <c r="H160" i="3"/>
  <c r="L161" i="3" s="1"/>
  <c r="M161" i="3" s="1"/>
  <c r="J160" i="3"/>
  <c r="I161" i="3"/>
  <c r="J175" i="4"/>
  <c r="V114" i="4"/>
  <c r="O114" i="4"/>
  <c r="R114" i="4"/>
  <c r="S114" i="4" s="1"/>
  <c r="T115" i="4" s="1"/>
  <c r="H176" i="4"/>
  <c r="L177" i="4" s="1"/>
  <c r="M177" i="4" s="1"/>
  <c r="I177" i="4"/>
  <c r="N158" i="3"/>
  <c r="Q157" i="3"/>
  <c r="N159" i="3" l="1"/>
  <c r="Q158" i="3"/>
  <c r="H161" i="3"/>
  <c r="L162" i="3" s="1"/>
  <c r="M162" i="3" s="1"/>
  <c r="I162" i="3"/>
  <c r="H177" i="4"/>
  <c r="L178" i="4" s="1"/>
  <c r="M178" i="4" s="1"/>
  <c r="I178" i="4"/>
  <c r="U115" i="3"/>
  <c r="N175" i="4"/>
  <c r="Q174" i="4"/>
  <c r="J176" i="4"/>
  <c r="U115" i="4"/>
  <c r="J177" i="4" l="1"/>
  <c r="H162" i="3"/>
  <c r="L163" i="3" s="1"/>
  <c r="M163" i="3" s="1"/>
  <c r="I163" i="3"/>
  <c r="J161" i="3"/>
  <c r="H178" i="4"/>
  <c r="L179" i="4" s="1"/>
  <c r="M179" i="4" s="1"/>
  <c r="I179" i="4"/>
  <c r="R115" i="4"/>
  <c r="S115" i="4" s="1"/>
  <c r="T116" i="4" s="1"/>
  <c r="O115" i="4"/>
  <c r="V115" i="4"/>
  <c r="N160" i="3"/>
  <c r="Q159" i="3"/>
  <c r="Q175" i="4"/>
  <c r="N176" i="4"/>
  <c r="V115" i="3"/>
  <c r="O115" i="3" s="1"/>
  <c r="U116" i="4" l="1"/>
  <c r="J178" i="4"/>
  <c r="H163" i="3"/>
  <c r="L164" i="3" s="1"/>
  <c r="M164" i="3" s="1"/>
  <c r="I164" i="3"/>
  <c r="H179" i="4"/>
  <c r="L180" i="4" s="1"/>
  <c r="M180" i="4" s="1"/>
  <c r="I180" i="4"/>
  <c r="R115" i="3"/>
  <c r="S115" i="3" s="1"/>
  <c r="T116" i="3" s="1"/>
  <c r="N177" i="4"/>
  <c r="Q176" i="4"/>
  <c r="J162" i="3"/>
  <c r="N161" i="3"/>
  <c r="Q160" i="3"/>
  <c r="H180" i="4" l="1"/>
  <c r="L181" i="4" s="1"/>
  <c r="M181" i="4" s="1"/>
  <c r="I181" i="4"/>
  <c r="J163" i="3"/>
  <c r="N162" i="3"/>
  <c r="Q161" i="3"/>
  <c r="U116" i="3"/>
  <c r="H164" i="3"/>
  <c r="L165" i="3" s="1"/>
  <c r="M165" i="3" s="1"/>
  <c r="J164" i="3"/>
  <c r="I165" i="3"/>
  <c r="V116" i="4"/>
  <c r="R116" i="4"/>
  <c r="S116" i="4" s="1"/>
  <c r="T117" i="4" s="1"/>
  <c r="O116" i="4"/>
  <c r="J179" i="4"/>
  <c r="Q177" i="4"/>
  <c r="N178" i="4"/>
  <c r="N163" i="3" l="1"/>
  <c r="Q162" i="3"/>
  <c r="H181" i="4"/>
  <c r="L182" i="4" s="1"/>
  <c r="M182" i="4" s="1"/>
  <c r="I182" i="4"/>
  <c r="J180" i="4"/>
  <c r="N179" i="4"/>
  <c r="Q178" i="4"/>
  <c r="U117" i="3"/>
  <c r="V116" i="3"/>
  <c r="R116" i="3"/>
  <c r="S116" i="3" s="1"/>
  <c r="T117" i="3" s="1"/>
  <c r="O116" i="3"/>
  <c r="U117" i="4"/>
  <c r="H165" i="3"/>
  <c r="L166" i="3" s="1"/>
  <c r="M166" i="3" s="1"/>
  <c r="I166" i="3"/>
  <c r="Q179" i="4" l="1"/>
  <c r="N180" i="4"/>
  <c r="J181" i="4"/>
  <c r="J165" i="3"/>
  <c r="N164" i="3"/>
  <c r="Q163" i="3"/>
  <c r="V117" i="3"/>
  <c r="O117" i="3" s="1"/>
  <c r="H182" i="4"/>
  <c r="L183" i="4" s="1"/>
  <c r="M183" i="4" s="1"/>
  <c r="I183" i="4"/>
  <c r="R117" i="4"/>
  <c r="S117" i="4" s="1"/>
  <c r="T118" i="4" s="1"/>
  <c r="O117" i="4"/>
  <c r="V117" i="4"/>
  <c r="H166" i="3"/>
  <c r="L167" i="3" s="1"/>
  <c r="M167" i="3" s="1"/>
  <c r="J166" i="3"/>
  <c r="I167" i="3"/>
  <c r="R117" i="3" l="1"/>
  <c r="S117" i="3" s="1"/>
  <c r="T118" i="3" s="1"/>
  <c r="H167" i="3"/>
  <c r="L168" i="3" s="1"/>
  <c r="M168" i="3" s="1"/>
  <c r="I168" i="3"/>
  <c r="N181" i="4"/>
  <c r="Q180" i="4"/>
  <c r="H183" i="4"/>
  <c r="L184" i="4" s="1"/>
  <c r="M184" i="4" s="1"/>
  <c r="I184" i="4"/>
  <c r="N165" i="3"/>
  <c r="Q164" i="3"/>
  <c r="U118" i="4"/>
  <c r="J182" i="4"/>
  <c r="Q181" i="4" l="1"/>
  <c r="N182" i="4"/>
  <c r="H168" i="3"/>
  <c r="L169" i="3" s="1"/>
  <c r="M169" i="3" s="1"/>
  <c r="J168" i="3"/>
  <c r="I169" i="3"/>
  <c r="J167" i="3"/>
  <c r="J183" i="4"/>
  <c r="V118" i="4"/>
  <c r="R118" i="4"/>
  <c r="S118" i="4" s="1"/>
  <c r="T119" i="4" s="1"/>
  <c r="O118" i="4"/>
  <c r="H184" i="4"/>
  <c r="L185" i="4" s="1"/>
  <c r="M185" i="4" s="1"/>
  <c r="I185" i="4"/>
  <c r="U118" i="3"/>
  <c r="N166" i="3"/>
  <c r="Q165" i="3"/>
  <c r="H169" i="3" l="1"/>
  <c r="L170" i="3" s="1"/>
  <c r="M170" i="3" s="1"/>
  <c r="I170" i="3"/>
  <c r="V118" i="3"/>
  <c r="R118" i="3" s="1"/>
  <c r="S118" i="3" s="1"/>
  <c r="T119" i="3" s="1"/>
  <c r="H185" i="4"/>
  <c r="L186" i="4" s="1"/>
  <c r="M186" i="4" s="1"/>
  <c r="I186" i="4"/>
  <c r="N167" i="3"/>
  <c r="Q166" i="3"/>
  <c r="N183" i="4"/>
  <c r="Q182" i="4"/>
  <c r="J184" i="4"/>
  <c r="U119" i="4"/>
  <c r="U119" i="3" l="1"/>
  <c r="R119" i="4"/>
  <c r="S119" i="4" s="1"/>
  <c r="T120" i="4" s="1"/>
  <c r="U120" i="4" s="1"/>
  <c r="O119" i="4"/>
  <c r="V119" i="4"/>
  <c r="O118" i="3"/>
  <c r="H170" i="3"/>
  <c r="L171" i="3" s="1"/>
  <c r="M171" i="3" s="1"/>
  <c r="I171" i="3"/>
  <c r="J185" i="4"/>
  <c r="Q183" i="4"/>
  <c r="N184" i="4"/>
  <c r="J169" i="3"/>
  <c r="N168" i="3"/>
  <c r="Q167" i="3"/>
  <c r="H186" i="4"/>
  <c r="L187" i="4" s="1"/>
  <c r="M187" i="4" s="1"/>
  <c r="I187" i="4"/>
  <c r="V120" i="4" l="1"/>
  <c r="R120" i="4"/>
  <c r="S120" i="4" s="1"/>
  <c r="O120" i="4"/>
  <c r="J170" i="3"/>
  <c r="J186" i="4"/>
  <c r="N169" i="3"/>
  <c r="Q168" i="3"/>
  <c r="N185" i="4"/>
  <c r="Q184" i="4"/>
  <c r="H171" i="3"/>
  <c r="L172" i="3" s="1"/>
  <c r="M172" i="3" s="1"/>
  <c r="I172" i="3"/>
  <c r="H187" i="4"/>
  <c r="L188" i="4" s="1"/>
  <c r="M188" i="4" s="1"/>
  <c r="I188" i="4"/>
  <c r="T121" i="4"/>
  <c r="U121" i="4" s="1"/>
  <c r="V119" i="3"/>
  <c r="O119" i="3" s="1"/>
  <c r="R121" i="4" l="1"/>
  <c r="S121" i="4" s="1"/>
  <c r="O121" i="4"/>
  <c r="V121" i="4"/>
  <c r="N170" i="3"/>
  <c r="Q169" i="3"/>
  <c r="Q185" i="4"/>
  <c r="N186" i="4"/>
  <c r="R119" i="3"/>
  <c r="S119" i="3" s="1"/>
  <c r="T120" i="3" s="1"/>
  <c r="J187" i="4"/>
  <c r="H172" i="3"/>
  <c r="L173" i="3" s="1"/>
  <c r="M173" i="3" s="1"/>
  <c r="I173" i="3"/>
  <c r="H188" i="4"/>
  <c r="L189" i="4" s="1"/>
  <c r="M189" i="4" s="1"/>
  <c r="I189" i="4"/>
  <c r="T122" i="4"/>
  <c r="J171" i="3"/>
  <c r="U120" i="3" l="1"/>
  <c r="N187" i="4"/>
  <c r="Q186" i="4"/>
  <c r="H189" i="4"/>
  <c r="L190" i="4" s="1"/>
  <c r="M190" i="4" s="1"/>
  <c r="I190" i="4"/>
  <c r="U122" i="4"/>
  <c r="J188" i="4"/>
  <c r="J172" i="3"/>
  <c r="N171" i="3"/>
  <c r="Q170" i="3"/>
  <c r="H173" i="3"/>
  <c r="L174" i="3" s="1"/>
  <c r="M174" i="3" s="1"/>
  <c r="I174" i="3"/>
  <c r="H190" i="4" l="1"/>
  <c r="L191" i="4" s="1"/>
  <c r="M191" i="4" s="1"/>
  <c r="I191" i="4"/>
  <c r="J173" i="3"/>
  <c r="V122" i="4"/>
  <c r="R122" i="4"/>
  <c r="S122" i="4" s="1"/>
  <c r="T123" i="4" s="1"/>
  <c r="O122" i="4"/>
  <c r="H174" i="3"/>
  <c r="L175" i="3" s="1"/>
  <c r="M175" i="3" s="1"/>
  <c r="J174" i="3"/>
  <c r="I175" i="3"/>
  <c r="N172" i="3"/>
  <c r="Q171" i="3"/>
  <c r="J189" i="4"/>
  <c r="Q187" i="4"/>
  <c r="N188" i="4"/>
  <c r="V120" i="3"/>
  <c r="O120" i="3" s="1"/>
  <c r="R120" i="3" l="1"/>
  <c r="S120" i="3" s="1"/>
  <c r="T121" i="3" s="1"/>
  <c r="U123" i="4"/>
  <c r="H191" i="4"/>
  <c r="L192" i="4" s="1"/>
  <c r="M192" i="4" s="1"/>
  <c r="I192" i="4"/>
  <c r="N189" i="4"/>
  <c r="Q188" i="4"/>
  <c r="J190" i="4"/>
  <c r="N173" i="3"/>
  <c r="Q172" i="3"/>
  <c r="H175" i="3"/>
  <c r="L176" i="3" s="1"/>
  <c r="M176" i="3" s="1"/>
  <c r="I176" i="3"/>
  <c r="N174" i="3" l="1"/>
  <c r="Q173" i="3"/>
  <c r="H192" i="4"/>
  <c r="L193" i="4" s="1"/>
  <c r="M193" i="4" s="1"/>
  <c r="I193" i="4"/>
  <c r="V123" i="4"/>
  <c r="R123" i="4"/>
  <c r="S123" i="4" s="1"/>
  <c r="T124" i="4" s="1"/>
  <c r="U124" i="4" s="1"/>
  <c r="O123" i="4"/>
  <c r="U121" i="3"/>
  <c r="Q189" i="4"/>
  <c r="N190" i="4"/>
  <c r="J191" i="4"/>
  <c r="H176" i="3"/>
  <c r="L177" i="3" s="1"/>
  <c r="M177" i="3" s="1"/>
  <c r="J176" i="3"/>
  <c r="I177" i="3"/>
  <c r="J175" i="3"/>
  <c r="R124" i="4" l="1"/>
  <c r="S124" i="4" s="1"/>
  <c r="O124" i="4"/>
  <c r="V124" i="4"/>
  <c r="M194" i="4"/>
  <c r="H177" i="3"/>
  <c r="L178" i="3" s="1"/>
  <c r="M178" i="3" s="1"/>
  <c r="I178" i="3"/>
  <c r="N191" i="4"/>
  <c r="Q190" i="4"/>
  <c r="T125" i="4"/>
  <c r="H193" i="4"/>
  <c r="L194" i="4" s="1"/>
  <c r="J193" i="4"/>
  <c r="I194" i="4"/>
  <c r="J192" i="4"/>
  <c r="N175" i="3"/>
  <c r="Q174" i="3"/>
  <c r="V121" i="3"/>
  <c r="O121" i="3" s="1"/>
  <c r="R121" i="3"/>
  <c r="S121" i="3" s="1"/>
  <c r="T122" i="3" s="1"/>
  <c r="H178" i="3" l="1"/>
  <c r="L179" i="3" s="1"/>
  <c r="M179" i="3" s="1"/>
  <c r="J178" i="3"/>
  <c r="I179" i="3"/>
  <c r="N176" i="3"/>
  <c r="Q175" i="3"/>
  <c r="H194" i="4"/>
  <c r="L195" i="4" s="1"/>
  <c r="M195" i="4" s="1"/>
  <c r="I195" i="4"/>
  <c r="Q191" i="4"/>
  <c r="N192" i="4"/>
  <c r="U122" i="3"/>
  <c r="J177" i="3"/>
  <c r="U125" i="4"/>
  <c r="H179" i="3" l="1"/>
  <c r="L180" i="3" s="1"/>
  <c r="M180" i="3" s="1"/>
  <c r="I180" i="3"/>
  <c r="H195" i="4"/>
  <c r="L196" i="4" s="1"/>
  <c r="M196" i="4" s="1"/>
  <c r="I196" i="4"/>
  <c r="J194" i="4"/>
  <c r="U126" i="4"/>
  <c r="O125" i="4"/>
  <c r="V125" i="4"/>
  <c r="R125" i="4"/>
  <c r="S125" i="4" s="1"/>
  <c r="T126" i="4" s="1"/>
  <c r="V122" i="3"/>
  <c r="R122" i="3"/>
  <c r="S122" i="3" s="1"/>
  <c r="T123" i="3" s="1"/>
  <c r="O122" i="3"/>
  <c r="N177" i="3"/>
  <c r="Q176" i="3"/>
  <c r="N193" i="4"/>
  <c r="Q192" i="4"/>
  <c r="M181" i="3" l="1"/>
  <c r="N178" i="3"/>
  <c r="Q177" i="3"/>
  <c r="V126" i="4"/>
  <c r="R126" i="4"/>
  <c r="S126" i="4" s="1"/>
  <c r="T127" i="4" s="1"/>
  <c r="O126" i="4"/>
  <c r="H196" i="4"/>
  <c r="L197" i="4" s="1"/>
  <c r="M197" i="4" s="1"/>
  <c r="I197" i="4"/>
  <c r="H180" i="3"/>
  <c r="L181" i="3" s="1"/>
  <c r="J180" i="3"/>
  <c r="I181" i="3"/>
  <c r="J179" i="3"/>
  <c r="U123" i="3"/>
  <c r="Q193" i="4"/>
  <c r="N194" i="4"/>
  <c r="J195" i="4"/>
  <c r="U127" i="4" l="1"/>
  <c r="H197" i="4"/>
  <c r="L198" i="4" s="1"/>
  <c r="M198" i="4" s="1"/>
  <c r="I198" i="4"/>
  <c r="N195" i="4"/>
  <c r="Q194" i="4"/>
  <c r="V123" i="3"/>
  <c r="O123" i="3" s="1"/>
  <c r="R123" i="3"/>
  <c r="S123" i="3" s="1"/>
  <c r="T124" i="3" s="1"/>
  <c r="J196" i="4"/>
  <c r="H181" i="3"/>
  <c r="L182" i="3" s="1"/>
  <c r="M182" i="3" s="1"/>
  <c r="I182" i="3"/>
  <c r="N179" i="3"/>
  <c r="Q178" i="3"/>
  <c r="Q195" i="4" l="1"/>
  <c r="N196" i="4"/>
  <c r="U124" i="3"/>
  <c r="N180" i="3"/>
  <c r="Q179" i="3"/>
  <c r="H198" i="4"/>
  <c r="L199" i="4" s="1"/>
  <c r="M199" i="4" s="1"/>
  <c r="I199" i="4"/>
  <c r="U128" i="4"/>
  <c r="O127" i="4"/>
  <c r="V127" i="4"/>
  <c r="R127" i="4"/>
  <c r="S127" i="4" s="1"/>
  <c r="T128" i="4" s="1"/>
  <c r="H182" i="3"/>
  <c r="L183" i="3" s="1"/>
  <c r="M183" i="3" s="1"/>
  <c r="I183" i="3"/>
  <c r="J197" i="4"/>
  <c r="J181" i="3"/>
  <c r="V128" i="4" l="1"/>
  <c r="R128" i="4"/>
  <c r="S128" i="4" s="1"/>
  <c r="O128" i="4"/>
  <c r="J198" i="4"/>
  <c r="N181" i="3"/>
  <c r="Q180" i="3"/>
  <c r="H183" i="3"/>
  <c r="L184" i="3" s="1"/>
  <c r="M184" i="3" s="1"/>
  <c r="I184" i="3"/>
  <c r="N197" i="4"/>
  <c r="Q196" i="4"/>
  <c r="H199" i="4"/>
  <c r="L200" i="4" s="1"/>
  <c r="M200" i="4" s="1"/>
  <c r="I200" i="4"/>
  <c r="V124" i="3"/>
  <c r="R124" i="3"/>
  <c r="S124" i="3" s="1"/>
  <c r="T125" i="3" s="1"/>
  <c r="U125" i="3" s="1"/>
  <c r="O124" i="3"/>
  <c r="J182" i="3"/>
  <c r="T129" i="4"/>
  <c r="V125" i="3" l="1"/>
  <c r="O125" i="3" s="1"/>
  <c r="H184" i="3"/>
  <c r="L185" i="3" s="1"/>
  <c r="M185" i="3" s="1"/>
  <c r="I185" i="3"/>
  <c r="J183" i="3"/>
  <c r="N182" i="3"/>
  <c r="Q181" i="3"/>
  <c r="H200" i="4"/>
  <c r="L201" i="4" s="1"/>
  <c r="M201" i="4" s="1"/>
  <c r="I201" i="4"/>
  <c r="J199" i="4"/>
  <c r="U129" i="4"/>
  <c r="Q197" i="4"/>
  <c r="N198" i="4"/>
  <c r="H185" i="3" l="1"/>
  <c r="L186" i="3" s="1"/>
  <c r="M186" i="3" s="1"/>
  <c r="I186" i="3"/>
  <c r="N199" i="4"/>
  <c r="Q198" i="4"/>
  <c r="Q182" i="3"/>
  <c r="N183" i="3"/>
  <c r="J184" i="3"/>
  <c r="R125" i="3"/>
  <c r="S125" i="3" s="1"/>
  <c r="T126" i="3" s="1"/>
  <c r="U130" i="4"/>
  <c r="O129" i="4"/>
  <c r="V129" i="4"/>
  <c r="R129" i="4"/>
  <c r="S129" i="4" s="1"/>
  <c r="T130" i="4" s="1"/>
  <c r="H201" i="4"/>
  <c r="L202" i="4" s="1"/>
  <c r="M202" i="4" s="1"/>
  <c r="J201" i="4"/>
  <c r="I202" i="4"/>
  <c r="J200" i="4"/>
  <c r="V130" i="4" l="1"/>
  <c r="R130" i="4"/>
  <c r="S130" i="4" s="1"/>
  <c r="O130" i="4"/>
  <c r="Q199" i="4"/>
  <c r="N200" i="4"/>
  <c r="U126" i="3"/>
  <c r="H202" i="4"/>
  <c r="L203" i="4" s="1"/>
  <c r="M203" i="4" s="1"/>
  <c r="I203" i="4"/>
  <c r="H186" i="3"/>
  <c r="L187" i="3" s="1"/>
  <c r="M187" i="3" s="1"/>
  <c r="J186" i="3"/>
  <c r="I187" i="3"/>
  <c r="J185" i="3"/>
  <c r="N184" i="3"/>
  <c r="Q183" i="3"/>
  <c r="T131" i="4"/>
  <c r="V126" i="3" l="1"/>
  <c r="R126" i="3" s="1"/>
  <c r="S126" i="3" s="1"/>
  <c r="T127" i="3" s="1"/>
  <c r="J202" i="4"/>
  <c r="N185" i="3"/>
  <c r="Q184" i="3"/>
  <c r="U131" i="4"/>
  <c r="N201" i="4"/>
  <c r="Q200" i="4"/>
  <c r="H187" i="3"/>
  <c r="L188" i="3" s="1"/>
  <c r="M188" i="3" s="1"/>
  <c r="I188" i="3"/>
  <c r="H203" i="4"/>
  <c r="L204" i="4" s="1"/>
  <c r="M204" i="4" s="1"/>
  <c r="J203" i="4"/>
  <c r="I204" i="4"/>
  <c r="U127" i="3" l="1"/>
  <c r="O131" i="4"/>
  <c r="R131" i="4"/>
  <c r="S131" i="4" s="1"/>
  <c r="T132" i="4" s="1"/>
  <c r="V131" i="4"/>
  <c r="Q185" i="3"/>
  <c r="N186" i="3"/>
  <c r="H204" i="4"/>
  <c r="L205" i="4" s="1"/>
  <c r="M205" i="4" s="1"/>
  <c r="I205" i="4"/>
  <c r="Q201" i="4"/>
  <c r="N202" i="4"/>
  <c r="H188" i="3"/>
  <c r="L189" i="3" s="1"/>
  <c r="M189" i="3" s="1"/>
  <c r="J188" i="3"/>
  <c r="I189" i="3"/>
  <c r="O126" i="3"/>
  <c r="J187" i="3"/>
  <c r="J204" i="4" l="1"/>
  <c r="H189" i="3"/>
  <c r="L190" i="3" s="1"/>
  <c r="M190" i="3" s="1"/>
  <c r="I190" i="3"/>
  <c r="U132" i="4"/>
  <c r="V127" i="3"/>
  <c r="O127" i="3" s="1"/>
  <c r="R127" i="3"/>
  <c r="S127" i="3" s="1"/>
  <c r="T128" i="3" s="1"/>
  <c r="N187" i="3"/>
  <c r="Q186" i="3"/>
  <c r="N203" i="4"/>
  <c r="Q202" i="4"/>
  <c r="H205" i="4"/>
  <c r="L206" i="4" s="1"/>
  <c r="M206" i="4" s="1"/>
  <c r="J205" i="4"/>
  <c r="I206" i="4"/>
  <c r="M207" i="4" l="1"/>
  <c r="U128" i="3"/>
  <c r="H206" i="4"/>
  <c r="L207" i="4" s="1"/>
  <c r="I207" i="4"/>
  <c r="H190" i="3"/>
  <c r="L191" i="3" s="1"/>
  <c r="M191" i="3" s="1"/>
  <c r="I191" i="3"/>
  <c r="Q203" i="4"/>
  <c r="N204" i="4"/>
  <c r="O132" i="4"/>
  <c r="V132" i="4"/>
  <c r="R132" i="4"/>
  <c r="S132" i="4" s="1"/>
  <c r="T133" i="4" s="1"/>
  <c r="J189" i="3"/>
  <c r="Q187" i="3"/>
  <c r="N188" i="3"/>
  <c r="N205" i="4" l="1"/>
  <c r="Q204" i="4"/>
  <c r="J190" i="3"/>
  <c r="H191" i="3"/>
  <c r="L192" i="3" s="1"/>
  <c r="M192" i="3" s="1"/>
  <c r="I192" i="3"/>
  <c r="N189" i="3"/>
  <c r="Q188" i="3"/>
  <c r="H207" i="4"/>
  <c r="L208" i="4" s="1"/>
  <c r="M208" i="4" s="1"/>
  <c r="I208" i="4"/>
  <c r="J206" i="4"/>
  <c r="V128" i="3"/>
  <c r="R128" i="3" s="1"/>
  <c r="S128" i="3" s="1"/>
  <c r="T129" i="3" s="1"/>
  <c r="O128" i="3"/>
  <c r="U133" i="4"/>
  <c r="U129" i="3" l="1"/>
  <c r="N190" i="3"/>
  <c r="Q189" i="3"/>
  <c r="J207" i="4"/>
  <c r="H192" i="3"/>
  <c r="L193" i="3" s="1"/>
  <c r="M193" i="3" s="1"/>
  <c r="J192" i="3"/>
  <c r="I193" i="3"/>
  <c r="U134" i="4"/>
  <c r="O133" i="4"/>
  <c r="V133" i="4"/>
  <c r="R133" i="4"/>
  <c r="S133" i="4" s="1"/>
  <c r="T134" i="4" s="1"/>
  <c r="J191" i="3"/>
  <c r="N206" i="4"/>
  <c r="Q205" i="4"/>
  <c r="H208" i="4"/>
  <c r="L209" i="4" s="1"/>
  <c r="M209" i="4" s="1"/>
  <c r="I209" i="4"/>
  <c r="H193" i="3" l="1"/>
  <c r="L194" i="3" s="1"/>
  <c r="M194" i="3" s="1"/>
  <c r="I194" i="3"/>
  <c r="N191" i="3"/>
  <c r="Q190" i="3"/>
  <c r="N207" i="4"/>
  <c r="Q206" i="4"/>
  <c r="V129" i="3"/>
  <c r="R129" i="3" s="1"/>
  <c r="S129" i="3" s="1"/>
  <c r="T130" i="3" s="1"/>
  <c r="V134" i="4"/>
  <c r="R134" i="4"/>
  <c r="S134" i="4" s="1"/>
  <c r="O134" i="4"/>
  <c r="H209" i="4"/>
  <c r="L210" i="4" s="1"/>
  <c r="M210" i="4" s="1"/>
  <c r="J209" i="4"/>
  <c r="I210" i="4"/>
  <c r="J208" i="4"/>
  <c r="T135" i="4"/>
  <c r="U130" i="3" l="1"/>
  <c r="M195" i="3"/>
  <c r="H210" i="4"/>
  <c r="L211" i="4" s="1"/>
  <c r="M211" i="4" s="1"/>
  <c r="I211" i="4"/>
  <c r="N192" i="3"/>
  <c r="Q191" i="3"/>
  <c r="U135" i="4"/>
  <c r="O129" i="3"/>
  <c r="N208" i="4"/>
  <c r="Q207" i="4"/>
  <c r="H194" i="3"/>
  <c r="L195" i="3" s="1"/>
  <c r="J194" i="3"/>
  <c r="I195" i="3"/>
  <c r="J193" i="3"/>
  <c r="O135" i="4" l="1"/>
  <c r="V135" i="4"/>
  <c r="R135" i="4"/>
  <c r="S135" i="4" s="1"/>
  <c r="T136" i="4" s="1"/>
  <c r="H211" i="4"/>
  <c r="L212" i="4" s="1"/>
  <c r="M212" i="4" s="1"/>
  <c r="J211" i="4"/>
  <c r="I212" i="4"/>
  <c r="J210" i="4"/>
  <c r="N193" i="3"/>
  <c r="Q192" i="3"/>
  <c r="J195" i="3"/>
  <c r="H195" i="3"/>
  <c r="L196" i="3" s="1"/>
  <c r="I196" i="3"/>
  <c r="M196" i="3"/>
  <c r="V130" i="3"/>
  <c r="R130" i="3" s="1"/>
  <c r="S130" i="3" s="1"/>
  <c r="T131" i="3" s="1"/>
  <c r="O130" i="3"/>
  <c r="N209" i="4"/>
  <c r="Q208" i="4"/>
  <c r="U131" i="3" l="1"/>
  <c r="Q209" i="4"/>
  <c r="N210" i="4"/>
  <c r="N194" i="3"/>
  <c r="Q193" i="3"/>
  <c r="J212" i="4"/>
  <c r="H212" i="4"/>
  <c r="L213" i="4" s="1"/>
  <c r="M213" i="4" s="1"/>
  <c r="I213" i="4"/>
  <c r="H196" i="3"/>
  <c r="L197" i="3" s="1"/>
  <c r="M197" i="3" s="1"/>
  <c r="I197" i="3"/>
  <c r="U136" i="4"/>
  <c r="H213" i="4" l="1"/>
  <c r="L214" i="4" s="1"/>
  <c r="M214" i="4" s="1"/>
  <c r="I214" i="4"/>
  <c r="N211" i="4"/>
  <c r="Q210" i="4"/>
  <c r="N195" i="3"/>
  <c r="Q194" i="3"/>
  <c r="V136" i="4"/>
  <c r="R136" i="4"/>
  <c r="S136" i="4" s="1"/>
  <c r="T137" i="4" s="1"/>
  <c r="U137" i="4" s="1"/>
  <c r="O136" i="4"/>
  <c r="V131" i="3"/>
  <c r="O131" i="3" s="1"/>
  <c r="H197" i="3"/>
  <c r="L198" i="3" s="1"/>
  <c r="M198" i="3" s="1"/>
  <c r="I198" i="3"/>
  <c r="J196" i="3"/>
  <c r="O137" i="4" l="1"/>
  <c r="V137" i="4"/>
  <c r="R137" i="4"/>
  <c r="S137" i="4" s="1"/>
  <c r="M215" i="4"/>
  <c r="N196" i="3"/>
  <c r="Q195" i="3"/>
  <c r="J197" i="3"/>
  <c r="H198" i="3"/>
  <c r="L199" i="3" s="1"/>
  <c r="M199" i="3" s="1"/>
  <c r="J198" i="3"/>
  <c r="I199" i="3"/>
  <c r="N212" i="4"/>
  <c r="Q211" i="4"/>
  <c r="R131" i="3"/>
  <c r="S131" i="3" s="1"/>
  <c r="T132" i="3" s="1"/>
  <c r="H214" i="4"/>
  <c r="L215" i="4" s="1"/>
  <c r="I215" i="4"/>
  <c r="J213" i="4"/>
  <c r="T138" i="4"/>
  <c r="U138" i="4" s="1"/>
  <c r="V138" i="4" l="1"/>
  <c r="R138" i="4"/>
  <c r="S138" i="4" s="1"/>
  <c r="T139" i="4" s="1"/>
  <c r="O138" i="4"/>
  <c r="H199" i="3"/>
  <c r="L200" i="3" s="1"/>
  <c r="M200" i="3" s="1"/>
  <c r="I200" i="3"/>
  <c r="N197" i="3"/>
  <c r="Q196" i="3"/>
  <c r="M216" i="4"/>
  <c r="U132" i="3"/>
  <c r="H215" i="4"/>
  <c r="L216" i="4" s="1"/>
  <c r="I216" i="4"/>
  <c r="J214" i="4"/>
  <c r="N213" i="4"/>
  <c r="Q212" i="4"/>
  <c r="U139" i="4" l="1"/>
  <c r="H200" i="3"/>
  <c r="L201" i="3" s="1"/>
  <c r="M201" i="3" s="1"/>
  <c r="J200" i="3"/>
  <c r="I201" i="3"/>
  <c r="J199" i="3"/>
  <c r="N198" i="3"/>
  <c r="Q197" i="3"/>
  <c r="H216" i="4"/>
  <c r="L217" i="4" s="1"/>
  <c r="M217" i="4" s="1"/>
  <c r="I217" i="4"/>
  <c r="J215" i="4"/>
  <c r="N214" i="4"/>
  <c r="Q213" i="4"/>
  <c r="V132" i="3"/>
  <c r="R132" i="3" s="1"/>
  <c r="S132" i="3" s="1"/>
  <c r="T133" i="3" s="1"/>
  <c r="O132" i="3"/>
  <c r="U133" i="3" l="1"/>
  <c r="J216" i="4"/>
  <c r="N199" i="3"/>
  <c r="Q198" i="3"/>
  <c r="H201" i="3"/>
  <c r="L202" i="3" s="1"/>
  <c r="M202" i="3" s="1"/>
  <c r="I202" i="3"/>
  <c r="N215" i="4"/>
  <c r="Q214" i="4"/>
  <c r="O139" i="4"/>
  <c r="V139" i="4"/>
  <c r="R139" i="4"/>
  <c r="S139" i="4" s="1"/>
  <c r="T140" i="4" s="1"/>
  <c r="H217" i="4"/>
  <c r="L218" i="4" s="1"/>
  <c r="M218" i="4" s="1"/>
  <c r="I218" i="4"/>
  <c r="Q215" i="4" l="1"/>
  <c r="N216" i="4"/>
  <c r="N200" i="3"/>
  <c r="Q199" i="3"/>
  <c r="H202" i="3"/>
  <c r="L203" i="3" s="1"/>
  <c r="M203" i="3" s="1"/>
  <c r="J202" i="3"/>
  <c r="I203" i="3"/>
  <c r="J201" i="3"/>
  <c r="H218" i="4"/>
  <c r="L219" i="4" s="1"/>
  <c r="M219" i="4" s="1"/>
  <c r="I219" i="4"/>
  <c r="V133" i="3"/>
  <c r="O133" i="3" s="1"/>
  <c r="R133" i="3"/>
  <c r="S133" i="3" s="1"/>
  <c r="T134" i="3" s="1"/>
  <c r="J217" i="4"/>
  <c r="U140" i="4"/>
  <c r="M204" i="3" l="1"/>
  <c r="V140" i="4"/>
  <c r="R140" i="4"/>
  <c r="S140" i="4" s="1"/>
  <c r="T141" i="4" s="1"/>
  <c r="O140" i="4"/>
  <c r="N217" i="4"/>
  <c r="Q216" i="4"/>
  <c r="U134" i="3"/>
  <c r="J218" i="4"/>
  <c r="J203" i="3"/>
  <c r="H203" i="3"/>
  <c r="L204" i="3" s="1"/>
  <c r="I204" i="3"/>
  <c r="N201" i="3"/>
  <c r="Q200" i="3"/>
  <c r="H219" i="4"/>
  <c r="L220" i="4" s="1"/>
  <c r="M220" i="4" s="1"/>
  <c r="J219" i="4"/>
  <c r="I220" i="4"/>
  <c r="Q217" i="4" l="1"/>
  <c r="N218" i="4"/>
  <c r="H220" i="4"/>
  <c r="L221" i="4" s="1"/>
  <c r="M221" i="4" s="1"/>
  <c r="I221" i="4"/>
  <c r="M205" i="3"/>
  <c r="V134" i="3"/>
  <c r="R134" i="3" s="1"/>
  <c r="S134" i="3" s="1"/>
  <c r="T135" i="3" s="1"/>
  <c r="N202" i="3"/>
  <c r="Q201" i="3"/>
  <c r="U141" i="4"/>
  <c r="H204" i="3"/>
  <c r="L205" i="3" s="1"/>
  <c r="J204" i="3"/>
  <c r="I205" i="3"/>
  <c r="U135" i="3" l="1"/>
  <c r="O134" i="3"/>
  <c r="M206" i="3"/>
  <c r="H221" i="4"/>
  <c r="L222" i="4" s="1"/>
  <c r="M222" i="4" s="1"/>
  <c r="I222" i="4"/>
  <c r="O141" i="4"/>
  <c r="V141" i="4"/>
  <c r="R141" i="4"/>
  <c r="S141" i="4" s="1"/>
  <c r="T142" i="4" s="1"/>
  <c r="H205" i="3"/>
  <c r="L206" i="3" s="1"/>
  <c r="I206" i="3"/>
  <c r="J220" i="4"/>
  <c r="N219" i="4"/>
  <c r="Q218" i="4"/>
  <c r="N203" i="3"/>
  <c r="Q202" i="3"/>
  <c r="H222" i="4" l="1"/>
  <c r="L223" i="4" s="1"/>
  <c r="M223" i="4" s="1"/>
  <c r="I223" i="4"/>
  <c r="N220" i="4"/>
  <c r="Q219" i="4"/>
  <c r="N204" i="3"/>
  <c r="Q203" i="3"/>
  <c r="J221" i="4"/>
  <c r="M207" i="3"/>
  <c r="U142" i="4"/>
  <c r="H206" i="3"/>
  <c r="L207" i="3" s="1"/>
  <c r="J206" i="3"/>
  <c r="I207" i="3"/>
  <c r="V135" i="3"/>
  <c r="O135" i="3" s="1"/>
  <c r="J205" i="3"/>
  <c r="R142" i="4" l="1"/>
  <c r="S142" i="4" s="1"/>
  <c r="T143" i="4" s="1"/>
  <c r="V142" i="4"/>
  <c r="O142" i="4"/>
  <c r="R135" i="3"/>
  <c r="S135" i="3" s="1"/>
  <c r="T136" i="3" s="1"/>
  <c r="H223" i="4"/>
  <c r="L224" i="4" s="1"/>
  <c r="M224" i="4" s="1"/>
  <c r="I224" i="4"/>
  <c r="J222" i="4"/>
  <c r="N205" i="3"/>
  <c r="Q204" i="3"/>
  <c r="N221" i="4"/>
  <c r="Q220" i="4"/>
  <c r="H207" i="3"/>
  <c r="L208" i="3" s="1"/>
  <c r="M208" i="3" s="1"/>
  <c r="I208" i="3"/>
  <c r="H224" i="4" l="1"/>
  <c r="L225" i="4" s="1"/>
  <c r="M225" i="4" s="1"/>
  <c r="I225" i="4"/>
  <c r="N206" i="3"/>
  <c r="Q205" i="3"/>
  <c r="J223" i="4"/>
  <c r="H208" i="3"/>
  <c r="L209" i="3" s="1"/>
  <c r="M209" i="3" s="1"/>
  <c r="J208" i="3"/>
  <c r="I209" i="3"/>
  <c r="U136" i="3"/>
  <c r="J207" i="3"/>
  <c r="U143" i="4"/>
  <c r="N222" i="4"/>
  <c r="Q221" i="4"/>
  <c r="N223" i="4" l="1"/>
  <c r="Q222" i="4"/>
  <c r="N207" i="3"/>
  <c r="Q206" i="3"/>
  <c r="O143" i="4"/>
  <c r="V143" i="4"/>
  <c r="R143" i="4"/>
  <c r="S143" i="4" s="1"/>
  <c r="T144" i="4" s="1"/>
  <c r="J224" i="4"/>
  <c r="R136" i="3"/>
  <c r="S136" i="3" s="1"/>
  <c r="T137" i="3" s="1"/>
  <c r="V136" i="3"/>
  <c r="O136" i="3"/>
  <c r="H209" i="3"/>
  <c r="L210" i="3" s="1"/>
  <c r="M210" i="3" s="1"/>
  <c r="I210" i="3"/>
  <c r="H225" i="4"/>
  <c r="L226" i="4" s="1"/>
  <c r="M226" i="4" s="1"/>
  <c r="I226" i="4"/>
  <c r="H226" i="4" l="1"/>
  <c r="L227" i="4" s="1"/>
  <c r="M227" i="4" s="1"/>
  <c r="I227" i="4"/>
  <c r="J225" i="4"/>
  <c r="U144" i="4"/>
  <c r="H210" i="3"/>
  <c r="L211" i="3" s="1"/>
  <c r="M211" i="3" s="1"/>
  <c r="I211" i="3"/>
  <c r="N208" i="3"/>
  <c r="Q207" i="3"/>
  <c r="J209" i="3"/>
  <c r="Q223" i="4"/>
  <c r="N224" i="4"/>
  <c r="U137" i="3"/>
  <c r="R144" i="4" l="1"/>
  <c r="S144" i="4" s="1"/>
  <c r="T145" i="4" s="1"/>
  <c r="V144" i="4"/>
  <c r="U145" i="4"/>
  <c r="O144" i="4"/>
  <c r="H227" i="4"/>
  <c r="L228" i="4" s="1"/>
  <c r="M228" i="4" s="1"/>
  <c r="I228" i="4"/>
  <c r="J210" i="3"/>
  <c r="N225" i="4"/>
  <c r="Q224" i="4"/>
  <c r="J226" i="4"/>
  <c r="H211" i="3"/>
  <c r="L212" i="3" s="1"/>
  <c r="M212" i="3" s="1"/>
  <c r="I212" i="3"/>
  <c r="V137" i="3"/>
  <c r="O137" i="3" s="1"/>
  <c r="R137" i="3"/>
  <c r="S137" i="3" s="1"/>
  <c r="T138" i="3" s="1"/>
  <c r="N209" i="3"/>
  <c r="Q208" i="3"/>
  <c r="Q225" i="4" l="1"/>
  <c r="N226" i="4"/>
  <c r="N210" i="3"/>
  <c r="Q209" i="3"/>
  <c r="H228" i="4"/>
  <c r="L229" i="4" s="1"/>
  <c r="M229" i="4" s="1"/>
  <c r="I229" i="4"/>
  <c r="H212" i="3"/>
  <c r="L213" i="3" s="1"/>
  <c r="M213" i="3" s="1"/>
  <c r="J212" i="3"/>
  <c r="I213" i="3"/>
  <c r="J227" i="4"/>
  <c r="O145" i="4"/>
  <c r="V145" i="4"/>
  <c r="R145" i="4"/>
  <c r="S145" i="4" s="1"/>
  <c r="T146" i="4" s="1"/>
  <c r="J211" i="3"/>
  <c r="U138" i="3"/>
  <c r="U146" i="4" l="1"/>
  <c r="H229" i="4"/>
  <c r="L230" i="4" s="1"/>
  <c r="M230" i="4" s="1"/>
  <c r="I230" i="4"/>
  <c r="J228" i="4"/>
  <c r="J213" i="3"/>
  <c r="H213" i="3"/>
  <c r="L214" i="3" s="1"/>
  <c r="M214" i="3" s="1"/>
  <c r="I214" i="3"/>
  <c r="R138" i="3"/>
  <c r="S138" i="3" s="1"/>
  <c r="T139" i="3" s="1"/>
  <c r="V138" i="3"/>
  <c r="O138" i="3"/>
  <c r="N211" i="3"/>
  <c r="Q210" i="3"/>
  <c r="N227" i="4"/>
  <c r="Q226" i="4"/>
  <c r="H214" i="3" l="1"/>
  <c r="L215" i="3" s="1"/>
  <c r="M215" i="3" s="1"/>
  <c r="J214" i="3"/>
  <c r="I215" i="3"/>
  <c r="Q227" i="4"/>
  <c r="N228" i="4"/>
  <c r="J229" i="4"/>
  <c r="R146" i="4"/>
  <c r="S146" i="4" s="1"/>
  <c r="T147" i="4" s="1"/>
  <c r="U147" i="4" s="1"/>
  <c r="V146" i="4"/>
  <c r="O146" i="4"/>
  <c r="H230" i="4"/>
  <c r="L231" i="4" s="1"/>
  <c r="M231" i="4" s="1"/>
  <c r="I231" i="4"/>
  <c r="N212" i="3"/>
  <c r="Q211" i="3"/>
  <c r="U139" i="3"/>
  <c r="O147" i="4" l="1"/>
  <c r="V147" i="4"/>
  <c r="R147" i="4"/>
  <c r="S147" i="4" s="1"/>
  <c r="T148" i="4" s="1"/>
  <c r="M216" i="3"/>
  <c r="V139" i="3"/>
  <c r="O139" i="3" s="1"/>
  <c r="R139" i="3"/>
  <c r="S139" i="3" s="1"/>
  <c r="T140" i="3" s="1"/>
  <c r="U140" i="3" s="1"/>
  <c r="J215" i="3"/>
  <c r="H215" i="3"/>
  <c r="L216" i="3" s="1"/>
  <c r="I216" i="3"/>
  <c r="N229" i="4"/>
  <c r="Q228" i="4"/>
  <c r="N213" i="3"/>
  <c r="Q212" i="3"/>
  <c r="H231" i="4"/>
  <c r="L232" i="4" s="1"/>
  <c r="M232" i="4" s="1"/>
  <c r="I232" i="4"/>
  <c r="J230" i="4"/>
  <c r="V140" i="3" l="1"/>
  <c r="R140" i="3" s="1"/>
  <c r="S140" i="3" s="1"/>
  <c r="T141" i="3" s="1"/>
  <c r="O140" i="3"/>
  <c r="U148" i="4"/>
  <c r="H232" i="4"/>
  <c r="L233" i="4" s="1"/>
  <c r="M233" i="4" s="1"/>
  <c r="I233" i="4"/>
  <c r="J231" i="4"/>
  <c r="M217" i="3"/>
  <c r="Q229" i="4"/>
  <c r="N230" i="4"/>
  <c r="N214" i="3"/>
  <c r="Q213" i="3"/>
  <c r="H216" i="3"/>
  <c r="L217" i="3" s="1"/>
  <c r="J216" i="3"/>
  <c r="I217" i="3"/>
  <c r="U141" i="3" l="1"/>
  <c r="H233" i="4"/>
  <c r="L234" i="4" s="1"/>
  <c r="M234" i="4" s="1"/>
  <c r="I234" i="4"/>
  <c r="H217" i="3"/>
  <c r="L218" i="3" s="1"/>
  <c r="M218" i="3" s="1"/>
  <c r="I218" i="3"/>
  <c r="R148" i="4"/>
  <c r="S148" i="4" s="1"/>
  <c r="T149" i="4" s="1"/>
  <c r="V148" i="4"/>
  <c r="O148" i="4"/>
  <c r="N215" i="3"/>
  <c r="Q214" i="3"/>
  <c r="J232" i="4"/>
  <c r="N231" i="4"/>
  <c r="Q230" i="4"/>
  <c r="H218" i="3" l="1"/>
  <c r="L219" i="3" s="1"/>
  <c r="M219" i="3" s="1"/>
  <c r="J218" i="3"/>
  <c r="I219" i="3"/>
  <c r="J217" i="3"/>
  <c r="H234" i="4"/>
  <c r="L235" i="4" s="1"/>
  <c r="M235" i="4" s="1"/>
  <c r="I235" i="4"/>
  <c r="Q231" i="4"/>
  <c r="N232" i="4"/>
  <c r="N216" i="3"/>
  <c r="Q215" i="3"/>
  <c r="J233" i="4"/>
  <c r="V141" i="3"/>
  <c r="O141" i="3" s="1"/>
  <c r="R141" i="3"/>
  <c r="S141" i="3" s="1"/>
  <c r="T142" i="3" s="1"/>
  <c r="U149" i="4"/>
  <c r="O149" i="4" l="1"/>
  <c r="V149" i="4"/>
  <c r="R149" i="4"/>
  <c r="S149" i="4" s="1"/>
  <c r="T150" i="4" s="1"/>
  <c r="N233" i="4"/>
  <c r="Q232" i="4"/>
  <c r="H235" i="4"/>
  <c r="L236" i="4" s="1"/>
  <c r="M236" i="4" s="1"/>
  <c r="I236" i="4"/>
  <c r="J234" i="4"/>
  <c r="H219" i="3"/>
  <c r="L220" i="3" s="1"/>
  <c r="M220" i="3" s="1"/>
  <c r="I220" i="3"/>
  <c r="U142" i="3"/>
  <c r="N217" i="3"/>
  <c r="Q216" i="3"/>
  <c r="Q233" i="4" l="1"/>
  <c r="N234" i="4"/>
  <c r="V142" i="3"/>
  <c r="R142" i="3" s="1"/>
  <c r="S142" i="3" s="1"/>
  <c r="T143" i="3" s="1"/>
  <c r="O142" i="3"/>
  <c r="H220" i="3"/>
  <c r="L221" i="3" s="1"/>
  <c r="M221" i="3" s="1"/>
  <c r="I221" i="3"/>
  <c r="H236" i="4"/>
  <c r="L237" i="4" s="1"/>
  <c r="M237" i="4" s="1"/>
  <c r="I237" i="4"/>
  <c r="J235" i="4"/>
  <c r="N218" i="3"/>
  <c r="Q217" i="3"/>
  <c r="U150" i="4"/>
  <c r="J219" i="3"/>
  <c r="U143" i="3" l="1"/>
  <c r="H221" i="3"/>
  <c r="L222" i="3" s="1"/>
  <c r="M222" i="3" s="1"/>
  <c r="I222" i="3"/>
  <c r="J220" i="3"/>
  <c r="R150" i="4"/>
  <c r="S150" i="4" s="1"/>
  <c r="T151" i="4" s="1"/>
  <c r="V150" i="4"/>
  <c r="O150" i="4"/>
  <c r="N235" i="4"/>
  <c r="Q234" i="4"/>
  <c r="N219" i="3"/>
  <c r="Q218" i="3"/>
  <c r="H237" i="4"/>
  <c r="L238" i="4" s="1"/>
  <c r="M238" i="4" s="1"/>
  <c r="J237" i="4"/>
  <c r="I238" i="4"/>
  <c r="J236" i="4"/>
  <c r="H238" i="4" l="1"/>
  <c r="L239" i="4" s="1"/>
  <c r="M239" i="4" s="1"/>
  <c r="I239" i="4"/>
  <c r="V143" i="3"/>
  <c r="O143" i="3" s="1"/>
  <c r="R143" i="3"/>
  <c r="S143" i="3" s="1"/>
  <c r="T144" i="3" s="1"/>
  <c r="U144" i="3" s="1"/>
  <c r="U151" i="4"/>
  <c r="H222" i="3"/>
  <c r="L223" i="3" s="1"/>
  <c r="M223" i="3" s="1"/>
  <c r="I223" i="3"/>
  <c r="J221" i="3"/>
  <c r="N220" i="3"/>
  <c r="Q219" i="3"/>
  <c r="Q235" i="4"/>
  <c r="N236" i="4"/>
  <c r="V144" i="3" l="1"/>
  <c r="R144" i="3" s="1"/>
  <c r="S144" i="3" s="1"/>
  <c r="T145" i="3" s="1"/>
  <c r="O144" i="3"/>
  <c r="M240" i="4"/>
  <c r="O151" i="4"/>
  <c r="V151" i="4"/>
  <c r="R151" i="4"/>
  <c r="S151" i="4" s="1"/>
  <c r="T152" i="4" s="1"/>
  <c r="N237" i="4"/>
  <c r="Q236" i="4"/>
  <c r="H239" i="4"/>
  <c r="L240" i="4" s="1"/>
  <c r="I240" i="4"/>
  <c r="N221" i="3"/>
  <c r="Q220" i="3"/>
  <c r="J238" i="4"/>
  <c r="H223" i="3"/>
  <c r="L224" i="3" s="1"/>
  <c r="M224" i="3" s="1"/>
  <c r="I224" i="3"/>
  <c r="J222" i="3"/>
  <c r="U145" i="3" l="1"/>
  <c r="Q237" i="4"/>
  <c r="N238" i="4"/>
  <c r="H224" i="3"/>
  <c r="L225" i="3" s="1"/>
  <c r="M225" i="3" s="1"/>
  <c r="J224" i="3"/>
  <c r="I225" i="3"/>
  <c r="M241" i="4"/>
  <c r="J223" i="3"/>
  <c r="N222" i="3"/>
  <c r="Q221" i="3"/>
  <c r="H240" i="4"/>
  <c r="L241" i="4" s="1"/>
  <c r="I241" i="4"/>
  <c r="U152" i="4"/>
  <c r="J239" i="4"/>
  <c r="N223" i="3" l="1"/>
  <c r="Q222" i="3"/>
  <c r="R152" i="4"/>
  <c r="S152" i="4" s="1"/>
  <c r="T153" i="4" s="1"/>
  <c r="U153" i="4" s="1"/>
  <c r="V152" i="4"/>
  <c r="O152" i="4"/>
  <c r="H241" i="4"/>
  <c r="L242" i="4" s="1"/>
  <c r="M242" i="4" s="1"/>
  <c r="I242" i="4"/>
  <c r="J225" i="3"/>
  <c r="H225" i="3"/>
  <c r="L226" i="3" s="1"/>
  <c r="M226" i="3" s="1"/>
  <c r="I226" i="3"/>
  <c r="N239" i="4"/>
  <c r="Q238" i="4"/>
  <c r="V145" i="3"/>
  <c r="O145" i="3" s="1"/>
  <c r="J240" i="4"/>
  <c r="O153" i="4" l="1"/>
  <c r="V153" i="4"/>
  <c r="R153" i="4"/>
  <c r="S153" i="4" s="1"/>
  <c r="T154" i="4" s="1"/>
  <c r="H242" i="4"/>
  <c r="L243" i="4" s="1"/>
  <c r="M243" i="4" s="1"/>
  <c r="I243" i="4"/>
  <c r="R145" i="3"/>
  <c r="S145" i="3" s="1"/>
  <c r="T146" i="3" s="1"/>
  <c r="Q239" i="4"/>
  <c r="N240" i="4"/>
  <c r="J241" i="4"/>
  <c r="N224" i="3"/>
  <c r="Q223" i="3"/>
  <c r="H226" i="3"/>
  <c r="L227" i="3" s="1"/>
  <c r="M227" i="3" s="1"/>
  <c r="I227" i="3"/>
  <c r="U154" i="4" l="1"/>
  <c r="H243" i="4"/>
  <c r="L244" i="4" s="1"/>
  <c r="M244" i="4" s="1"/>
  <c r="I244" i="4"/>
  <c r="U146" i="3"/>
  <c r="H227" i="3"/>
  <c r="L228" i="3" s="1"/>
  <c r="M228" i="3" s="1"/>
  <c r="I228" i="3"/>
  <c r="J242" i="4"/>
  <c r="J226" i="3"/>
  <c r="N241" i="4"/>
  <c r="Q240" i="4"/>
  <c r="N225" i="3"/>
  <c r="Q224" i="3"/>
  <c r="V146" i="3" l="1"/>
  <c r="R146" i="3" s="1"/>
  <c r="S146" i="3" s="1"/>
  <c r="T147" i="3" s="1"/>
  <c r="O146" i="3"/>
  <c r="R154" i="4"/>
  <c r="S154" i="4" s="1"/>
  <c r="T155" i="4" s="1"/>
  <c r="V154" i="4"/>
  <c r="U155" i="4"/>
  <c r="O154" i="4"/>
  <c r="H228" i="3"/>
  <c r="L229" i="3" s="1"/>
  <c r="M229" i="3" s="1"/>
  <c r="I229" i="3"/>
  <c r="J227" i="3"/>
  <c r="H244" i="4"/>
  <c r="L245" i="4" s="1"/>
  <c r="M245" i="4" s="1"/>
  <c r="I245" i="4"/>
  <c r="N226" i="3"/>
  <c r="Q225" i="3"/>
  <c r="J243" i="4"/>
  <c r="Q241" i="4"/>
  <c r="N242" i="4"/>
  <c r="U147" i="3" l="1"/>
  <c r="N243" i="4"/>
  <c r="Q242" i="4"/>
  <c r="O155" i="4"/>
  <c r="V155" i="4"/>
  <c r="R155" i="4"/>
  <c r="S155" i="4" s="1"/>
  <c r="T156" i="4" s="1"/>
  <c r="J245" i="4"/>
  <c r="H245" i="4"/>
  <c r="L246" i="4" s="1"/>
  <c r="M246" i="4" s="1"/>
  <c r="I246" i="4"/>
  <c r="N227" i="3"/>
  <c r="Q226" i="3"/>
  <c r="J244" i="4"/>
  <c r="J228" i="3"/>
  <c r="H229" i="3"/>
  <c r="L230" i="3" s="1"/>
  <c r="M230" i="3" s="1"/>
  <c r="I230" i="3"/>
  <c r="U156" i="4" l="1"/>
  <c r="H230" i="3"/>
  <c r="L231" i="3" s="1"/>
  <c r="M231" i="3" s="1"/>
  <c r="J230" i="3"/>
  <c r="I231" i="3"/>
  <c r="J229" i="3"/>
  <c r="V147" i="3"/>
  <c r="O147" i="3" s="1"/>
  <c r="R147" i="3"/>
  <c r="S147" i="3" s="1"/>
  <c r="T148" i="3" s="1"/>
  <c r="Q243" i="4"/>
  <c r="N244" i="4"/>
  <c r="N228" i="3"/>
  <c r="Q227" i="3"/>
  <c r="H246" i="4"/>
  <c r="L247" i="4" s="1"/>
  <c r="M247" i="4" s="1"/>
  <c r="I247" i="4"/>
  <c r="H231" i="3" l="1"/>
  <c r="L232" i="3" s="1"/>
  <c r="M232" i="3" s="1"/>
  <c r="I232" i="3"/>
  <c r="J246" i="4"/>
  <c r="U148" i="3"/>
  <c r="H247" i="4"/>
  <c r="L248" i="4" s="1"/>
  <c r="M248" i="4" s="1"/>
  <c r="I248" i="4"/>
  <c r="N229" i="3"/>
  <c r="Q228" i="3"/>
  <c r="R156" i="4"/>
  <c r="S156" i="4" s="1"/>
  <c r="T157" i="4" s="1"/>
  <c r="V156" i="4"/>
  <c r="O156" i="4"/>
  <c r="U157" i="4"/>
  <c r="N245" i="4"/>
  <c r="Q244" i="4"/>
  <c r="N230" i="3" l="1"/>
  <c r="Q229" i="3"/>
  <c r="J247" i="4"/>
  <c r="H248" i="4"/>
  <c r="L249" i="4" s="1"/>
  <c r="M249" i="4" s="1"/>
  <c r="I249" i="4"/>
  <c r="H232" i="3"/>
  <c r="L233" i="3" s="1"/>
  <c r="M233" i="3" s="1"/>
  <c r="J232" i="3"/>
  <c r="I233" i="3"/>
  <c r="R148" i="3"/>
  <c r="S148" i="3" s="1"/>
  <c r="T149" i="3" s="1"/>
  <c r="V148" i="3"/>
  <c r="O148" i="3" s="1"/>
  <c r="O157" i="4"/>
  <c r="V157" i="4"/>
  <c r="R157" i="4"/>
  <c r="S157" i="4" s="1"/>
  <c r="J231" i="3"/>
  <c r="Q245" i="4"/>
  <c r="N246" i="4"/>
  <c r="T158" i="4"/>
  <c r="H233" i="3" l="1"/>
  <c r="L234" i="3" s="1"/>
  <c r="M234" i="3" s="1"/>
  <c r="I234" i="3"/>
  <c r="N247" i="4"/>
  <c r="Q246" i="4"/>
  <c r="H249" i="4"/>
  <c r="L250" i="4" s="1"/>
  <c r="M250" i="4" s="1"/>
  <c r="I250" i="4"/>
  <c r="N231" i="3"/>
  <c r="Q230" i="3"/>
  <c r="J248" i="4"/>
  <c r="U158" i="4"/>
  <c r="U149" i="3"/>
  <c r="Q247" i="4" l="1"/>
  <c r="N248" i="4"/>
  <c r="N232" i="3"/>
  <c r="Q231" i="3"/>
  <c r="V149" i="3"/>
  <c r="O149" i="3" s="1"/>
  <c r="R149" i="3"/>
  <c r="S149" i="3" s="1"/>
  <c r="T150" i="3" s="1"/>
  <c r="J250" i="4"/>
  <c r="H250" i="4"/>
  <c r="L251" i="4" s="1"/>
  <c r="M251" i="4" s="1"/>
  <c r="I251" i="4"/>
  <c r="R158" i="4"/>
  <c r="S158" i="4" s="1"/>
  <c r="T159" i="4" s="1"/>
  <c r="U159" i="4"/>
  <c r="V158" i="4"/>
  <c r="O158" i="4"/>
  <c r="J233" i="3"/>
  <c r="J249" i="4"/>
  <c r="H234" i="3"/>
  <c r="L235" i="3" s="1"/>
  <c r="M235" i="3" s="1"/>
  <c r="J234" i="3"/>
  <c r="I235" i="3"/>
  <c r="H235" i="3" l="1"/>
  <c r="L236" i="3" s="1"/>
  <c r="M236" i="3" s="1"/>
  <c r="I236" i="3"/>
  <c r="N233" i="3"/>
  <c r="Q232" i="3"/>
  <c r="N249" i="4"/>
  <c r="Q248" i="4"/>
  <c r="U150" i="3"/>
  <c r="U160" i="4"/>
  <c r="O159" i="4"/>
  <c r="V159" i="4"/>
  <c r="R159" i="4"/>
  <c r="S159" i="4" s="1"/>
  <c r="T160" i="4"/>
  <c r="H251" i="4"/>
  <c r="L252" i="4" s="1"/>
  <c r="M252" i="4" s="1"/>
  <c r="I252" i="4"/>
  <c r="Q249" i="4" l="1"/>
  <c r="N250" i="4"/>
  <c r="R160" i="4"/>
  <c r="S160" i="4" s="1"/>
  <c r="V160" i="4"/>
  <c r="O160" i="4"/>
  <c r="H252" i="4"/>
  <c r="L253" i="4" s="1"/>
  <c r="M253" i="4" s="1"/>
  <c r="I253" i="4"/>
  <c r="J251" i="4"/>
  <c r="V150" i="3"/>
  <c r="R150" i="3" s="1"/>
  <c r="S150" i="3" s="1"/>
  <c r="T151" i="3" s="1"/>
  <c r="N234" i="3"/>
  <c r="Q233" i="3"/>
  <c r="H236" i="3"/>
  <c r="L237" i="3" s="1"/>
  <c r="M237" i="3" s="1"/>
  <c r="I237" i="3"/>
  <c r="T161" i="4"/>
  <c r="J235" i="3"/>
  <c r="U151" i="3" l="1"/>
  <c r="M254" i="4"/>
  <c r="H237" i="3"/>
  <c r="L238" i="3" s="1"/>
  <c r="M238" i="3" s="1"/>
  <c r="I238" i="3"/>
  <c r="J252" i="4"/>
  <c r="Q234" i="3"/>
  <c r="N235" i="3"/>
  <c r="J253" i="4"/>
  <c r="H253" i="4"/>
  <c r="L254" i="4" s="1"/>
  <c r="I254" i="4"/>
  <c r="N251" i="4"/>
  <c r="Q250" i="4"/>
  <c r="J236" i="3"/>
  <c r="U161" i="4"/>
  <c r="O150" i="3"/>
  <c r="H238" i="3" l="1"/>
  <c r="L239" i="3" s="1"/>
  <c r="M239" i="3" s="1"/>
  <c r="I239" i="3"/>
  <c r="J237" i="3"/>
  <c r="V151" i="3"/>
  <c r="O151" i="3" s="1"/>
  <c r="J254" i="4"/>
  <c r="Y4" i="4" s="1"/>
  <c r="Y5" i="4" s="1"/>
  <c r="H254" i="4"/>
  <c r="Q235" i="3"/>
  <c r="N236" i="3"/>
  <c r="O161" i="4"/>
  <c r="V161" i="4"/>
  <c r="R161" i="4"/>
  <c r="S161" i="4" s="1"/>
  <c r="T162" i="4" s="1"/>
  <c r="Q251" i="4"/>
  <c r="N252" i="4"/>
  <c r="R151" i="3" l="1"/>
  <c r="S151" i="3" s="1"/>
  <c r="T152" i="3" s="1"/>
  <c r="N253" i="4"/>
  <c r="Q252" i="4"/>
  <c r="H239" i="3"/>
  <c r="L240" i="3" s="1"/>
  <c r="M240" i="3" s="1"/>
  <c r="I240" i="3"/>
  <c r="U162" i="4"/>
  <c r="J238" i="3"/>
  <c r="Q236" i="3"/>
  <c r="N237" i="3"/>
  <c r="H240" i="3" l="1"/>
  <c r="L241" i="3" s="1"/>
  <c r="M241" i="3" s="1"/>
  <c r="I241" i="3"/>
  <c r="R162" i="4"/>
  <c r="S162" i="4" s="1"/>
  <c r="T163" i="4" s="1"/>
  <c r="U163" i="4"/>
  <c r="O162" i="4"/>
  <c r="V162" i="4"/>
  <c r="J239" i="3"/>
  <c r="Q253" i="4"/>
  <c r="N254" i="4"/>
  <c r="Q254" i="4" s="1"/>
  <c r="Q237" i="3"/>
  <c r="N238" i="3"/>
  <c r="U152" i="3"/>
  <c r="O163" i="4" l="1"/>
  <c r="V163" i="4"/>
  <c r="R163" i="4"/>
  <c r="S163" i="4" s="1"/>
  <c r="H241" i="3"/>
  <c r="L242" i="3" s="1"/>
  <c r="M242" i="3" s="1"/>
  <c r="I242" i="3"/>
  <c r="T164" i="4"/>
  <c r="R152" i="3"/>
  <c r="S152" i="3" s="1"/>
  <c r="T153" i="3" s="1"/>
  <c r="O152" i="3"/>
  <c r="V152" i="3"/>
  <c r="J240" i="3"/>
  <c r="Q238" i="3"/>
  <c r="N239" i="3"/>
  <c r="U153" i="3" l="1"/>
  <c r="H242" i="3"/>
  <c r="L243" i="3" s="1"/>
  <c r="M243" i="3" s="1"/>
  <c r="I243" i="3"/>
  <c r="J241" i="3"/>
  <c r="Q239" i="3"/>
  <c r="N240" i="3"/>
  <c r="U164" i="4"/>
  <c r="R164" i="4" l="1"/>
  <c r="S164" i="4" s="1"/>
  <c r="T165" i="4" s="1"/>
  <c r="U165" i="4"/>
  <c r="O164" i="4"/>
  <c r="V164" i="4"/>
  <c r="H243" i="3"/>
  <c r="L244" i="3" s="1"/>
  <c r="M244" i="3" s="1"/>
  <c r="J243" i="3"/>
  <c r="I244" i="3"/>
  <c r="Q240" i="3"/>
  <c r="N241" i="3"/>
  <c r="J242" i="3"/>
  <c r="V153" i="3"/>
  <c r="O153" i="3" s="1"/>
  <c r="Q241" i="3" l="1"/>
  <c r="N242" i="3"/>
  <c r="H244" i="3"/>
  <c r="L245" i="3" s="1"/>
  <c r="M245" i="3" s="1"/>
  <c r="J244" i="3"/>
  <c r="I245" i="3"/>
  <c r="R153" i="3"/>
  <c r="S153" i="3" s="1"/>
  <c r="T154" i="3" s="1"/>
  <c r="O165" i="4"/>
  <c r="V165" i="4"/>
  <c r="R165" i="4"/>
  <c r="S165" i="4" s="1"/>
  <c r="T166" i="4" s="1"/>
  <c r="U166" i="4" l="1"/>
  <c r="U154" i="3"/>
  <c r="N243" i="3"/>
  <c r="Q242" i="3"/>
  <c r="H245" i="3"/>
  <c r="L246" i="3" s="1"/>
  <c r="M246" i="3" s="1"/>
  <c r="I246" i="3"/>
  <c r="H246" i="3" l="1"/>
  <c r="L247" i="3" s="1"/>
  <c r="M247" i="3" s="1"/>
  <c r="J246" i="3"/>
  <c r="I247" i="3"/>
  <c r="V154" i="3"/>
  <c r="O154" i="3" s="1"/>
  <c r="J245" i="3"/>
  <c r="Q243" i="3"/>
  <c r="N244" i="3"/>
  <c r="R166" i="4"/>
  <c r="S166" i="4" s="1"/>
  <c r="T167" i="4" s="1"/>
  <c r="O166" i="4"/>
  <c r="V166" i="4"/>
  <c r="R154" i="3" l="1"/>
  <c r="S154" i="3" s="1"/>
  <c r="T155" i="3" s="1"/>
  <c r="N245" i="3"/>
  <c r="Q244" i="3"/>
  <c r="H247" i="3"/>
  <c r="L248" i="3" s="1"/>
  <c r="M248" i="3" s="1"/>
  <c r="I248" i="3"/>
  <c r="U167" i="4"/>
  <c r="O167" i="4" l="1"/>
  <c r="V167" i="4"/>
  <c r="R167" i="4"/>
  <c r="S167" i="4" s="1"/>
  <c r="T168" i="4" s="1"/>
  <c r="N246" i="3"/>
  <c r="Q245" i="3"/>
  <c r="U155" i="3"/>
  <c r="H248" i="3"/>
  <c r="L249" i="3" s="1"/>
  <c r="M249" i="3" s="1"/>
  <c r="J248" i="3"/>
  <c r="I249" i="3"/>
  <c r="J247" i="3"/>
  <c r="H249" i="3" l="1"/>
  <c r="L250" i="3" s="1"/>
  <c r="M250" i="3" s="1"/>
  <c r="I250" i="3"/>
  <c r="V155" i="3"/>
  <c r="O155" i="3" s="1"/>
  <c r="U168" i="4"/>
  <c r="N247" i="3"/>
  <c r="Q246" i="3"/>
  <c r="N248" i="3" l="1"/>
  <c r="Q247" i="3"/>
  <c r="R168" i="4"/>
  <c r="S168" i="4" s="1"/>
  <c r="T169" i="4" s="1"/>
  <c r="U169" i="4" s="1"/>
  <c r="O168" i="4"/>
  <c r="V168" i="4"/>
  <c r="R155" i="3"/>
  <c r="S155" i="3" s="1"/>
  <c r="T156" i="3" s="1"/>
  <c r="H250" i="3"/>
  <c r="L251" i="3" s="1"/>
  <c r="M251" i="3" s="1"/>
  <c r="J250" i="3"/>
  <c r="I251" i="3"/>
  <c r="J249" i="3"/>
  <c r="O169" i="4" l="1"/>
  <c r="V169" i="4"/>
  <c r="R169" i="4"/>
  <c r="S169" i="4" s="1"/>
  <c r="U156" i="3"/>
  <c r="H251" i="3"/>
  <c r="L252" i="3" s="1"/>
  <c r="M252" i="3" s="1"/>
  <c r="I252" i="3"/>
  <c r="T170" i="4"/>
  <c r="U170" i="4" s="1"/>
  <c r="N249" i="3"/>
  <c r="Q248" i="3"/>
  <c r="R170" i="4" l="1"/>
  <c r="S170" i="4" s="1"/>
  <c r="O170" i="4"/>
  <c r="V170" i="4"/>
  <c r="H252" i="3"/>
  <c r="L253" i="3" s="1"/>
  <c r="M253" i="3" s="1"/>
  <c r="J252" i="3"/>
  <c r="I253" i="3"/>
  <c r="O156" i="3"/>
  <c r="V156" i="3"/>
  <c r="R156" i="3" s="1"/>
  <c r="S156" i="3" s="1"/>
  <c r="T157" i="3" s="1"/>
  <c r="N250" i="3"/>
  <c r="Q249" i="3"/>
  <c r="J251" i="3"/>
  <c r="T171" i="4"/>
  <c r="U157" i="3" l="1"/>
  <c r="H253" i="3"/>
  <c r="L254" i="3" s="1"/>
  <c r="M254" i="3" s="1"/>
  <c r="I254" i="3"/>
  <c r="U171" i="4"/>
  <c r="N251" i="3"/>
  <c r="Q250" i="3"/>
  <c r="N252" i="3" l="1"/>
  <c r="Q251" i="3"/>
  <c r="H254" i="3"/>
  <c r="J254" i="3"/>
  <c r="Y4" i="3" s="1"/>
  <c r="Y5" i="3" s="1"/>
  <c r="O171" i="4"/>
  <c r="V171" i="4"/>
  <c r="R171" i="4"/>
  <c r="S171" i="4" s="1"/>
  <c r="T172" i="4" s="1"/>
  <c r="J253" i="3"/>
  <c r="V157" i="3"/>
  <c r="R157" i="3" s="1"/>
  <c r="S157" i="3" s="1"/>
  <c r="T158" i="3" s="1"/>
  <c r="U158" i="3" l="1"/>
  <c r="O157" i="3"/>
  <c r="U172" i="4"/>
  <c r="N253" i="3"/>
  <c r="Q252" i="3"/>
  <c r="N254" i="3" l="1"/>
  <c r="Q254" i="3" s="1"/>
  <c r="Q253" i="3"/>
  <c r="V172" i="4"/>
  <c r="R172" i="4"/>
  <c r="S172" i="4" s="1"/>
  <c r="T173" i="4" s="1"/>
  <c r="U173" i="4" s="1"/>
  <c r="O172" i="4"/>
  <c r="V158" i="3"/>
  <c r="R158" i="3" s="1"/>
  <c r="S158" i="3" s="1"/>
  <c r="T159" i="3" s="1"/>
  <c r="U159" i="3" l="1"/>
  <c r="R173" i="4"/>
  <c r="S173" i="4" s="1"/>
  <c r="O173" i="4"/>
  <c r="V173" i="4"/>
  <c r="O158" i="3"/>
  <c r="T174" i="4"/>
  <c r="U174" i="4" l="1"/>
  <c r="V159" i="3"/>
  <c r="O159" i="3" s="1"/>
  <c r="R159" i="3" l="1"/>
  <c r="S159" i="3" s="1"/>
  <c r="T160" i="3" s="1"/>
  <c r="V174" i="4"/>
  <c r="R174" i="4"/>
  <c r="S174" i="4" s="1"/>
  <c r="T175" i="4" s="1"/>
  <c r="U175" i="4" s="1"/>
  <c r="O174" i="4"/>
  <c r="R175" i="4" l="1"/>
  <c r="S175" i="4" s="1"/>
  <c r="O175" i="4"/>
  <c r="V175" i="4"/>
  <c r="T176" i="4"/>
  <c r="U176" i="4" s="1"/>
  <c r="U160" i="3"/>
  <c r="V176" i="4" l="1"/>
  <c r="R176" i="4"/>
  <c r="S176" i="4" s="1"/>
  <c r="O176" i="4"/>
  <c r="V160" i="3"/>
  <c r="O160" i="3" s="1"/>
  <c r="T177" i="4"/>
  <c r="R160" i="3" l="1"/>
  <c r="S160" i="3" s="1"/>
  <c r="T161" i="3" s="1"/>
  <c r="U177" i="4"/>
  <c r="R177" i="4" l="1"/>
  <c r="S177" i="4" s="1"/>
  <c r="T178" i="4" s="1"/>
  <c r="O177" i="4"/>
  <c r="V177" i="4"/>
  <c r="U178" i="4"/>
  <c r="U161" i="3"/>
  <c r="V178" i="4" l="1"/>
  <c r="R178" i="4"/>
  <c r="S178" i="4" s="1"/>
  <c r="O178" i="4"/>
  <c r="V161" i="3"/>
  <c r="O161" i="3" s="1"/>
  <c r="T179" i="4"/>
  <c r="R161" i="3" l="1"/>
  <c r="S161" i="3" s="1"/>
  <c r="T162" i="3" s="1"/>
  <c r="U179" i="4"/>
  <c r="U162" i="3" l="1"/>
  <c r="R179" i="4"/>
  <c r="S179" i="4" s="1"/>
  <c r="T180" i="4" s="1"/>
  <c r="U180" i="4" s="1"/>
  <c r="O179" i="4"/>
  <c r="V179" i="4"/>
  <c r="V180" i="4" l="1"/>
  <c r="R180" i="4"/>
  <c r="S180" i="4" s="1"/>
  <c r="O180" i="4"/>
  <c r="T181" i="4"/>
  <c r="U181" i="4" s="1"/>
  <c r="V162" i="3"/>
  <c r="R162" i="3" s="1"/>
  <c r="S162" i="3" s="1"/>
  <c r="T163" i="3" s="1"/>
  <c r="U163" i="3" l="1"/>
  <c r="V181" i="4"/>
  <c r="R181" i="4"/>
  <c r="S181" i="4" s="1"/>
  <c r="T182" i="4" s="1"/>
  <c r="O181" i="4"/>
  <c r="O162" i="3"/>
  <c r="U182" i="4" l="1"/>
  <c r="V163" i="3"/>
  <c r="O163" i="3" s="1"/>
  <c r="R163" i="3"/>
  <c r="S163" i="3" s="1"/>
  <c r="T164" i="3" s="1"/>
  <c r="V182" i="4" l="1"/>
  <c r="R182" i="4"/>
  <c r="S182" i="4" s="1"/>
  <c r="T183" i="4" s="1"/>
  <c r="U183" i="4" s="1"/>
  <c r="O182" i="4"/>
  <c r="U164" i="3"/>
  <c r="V183" i="4" l="1"/>
  <c r="R183" i="4"/>
  <c r="S183" i="4" s="1"/>
  <c r="O183" i="4"/>
  <c r="V164" i="3"/>
  <c r="R164" i="3" s="1"/>
  <c r="S164" i="3" s="1"/>
  <c r="T165" i="3" s="1"/>
  <c r="T184" i="4"/>
  <c r="U165" i="3" l="1"/>
  <c r="O164" i="3"/>
  <c r="U184" i="4"/>
  <c r="V184" i="4" l="1"/>
  <c r="R184" i="4"/>
  <c r="S184" i="4" s="1"/>
  <c r="T185" i="4" s="1"/>
  <c r="U185" i="4" s="1"/>
  <c r="O184" i="4"/>
  <c r="O165" i="3"/>
  <c r="V165" i="3"/>
  <c r="R165" i="3"/>
  <c r="S165" i="3" s="1"/>
  <c r="T166" i="3" s="1"/>
  <c r="U166" i="3" s="1"/>
  <c r="R166" i="3" l="1"/>
  <c r="S166" i="3" s="1"/>
  <c r="T167" i="3" s="1"/>
  <c r="V166" i="3"/>
  <c r="O166" i="3" s="1"/>
  <c r="O185" i="4"/>
  <c r="R185" i="4"/>
  <c r="S185" i="4" s="1"/>
  <c r="T186" i="4" s="1"/>
  <c r="V185" i="4"/>
  <c r="U186" i="4" l="1"/>
  <c r="U167" i="3"/>
  <c r="V186" i="4" l="1"/>
  <c r="R186" i="4"/>
  <c r="S186" i="4" s="1"/>
  <c r="T187" i="4" s="1"/>
  <c r="O186" i="4"/>
  <c r="V167" i="3"/>
  <c r="O167" i="3" s="1"/>
  <c r="R167" i="3"/>
  <c r="S167" i="3" s="1"/>
  <c r="T168" i="3" s="1"/>
  <c r="U168" i="3" l="1"/>
  <c r="U187" i="4"/>
  <c r="O187" i="4" l="1"/>
  <c r="V187" i="4"/>
  <c r="R187" i="4"/>
  <c r="S187" i="4" s="1"/>
  <c r="T188" i="4" s="1"/>
  <c r="V168" i="3"/>
  <c r="O168" i="3" s="1"/>
  <c r="R168" i="3" l="1"/>
  <c r="S168" i="3" s="1"/>
  <c r="T169" i="3" s="1"/>
  <c r="U188" i="4"/>
  <c r="V188" i="4" l="1"/>
  <c r="R188" i="4"/>
  <c r="S188" i="4" s="1"/>
  <c r="T189" i="4" s="1"/>
  <c r="O188" i="4"/>
  <c r="U169" i="3"/>
  <c r="V169" i="3" l="1"/>
  <c r="O169" i="3" s="1"/>
  <c r="R169" i="3"/>
  <c r="S169" i="3" s="1"/>
  <c r="T170" i="3" s="1"/>
  <c r="U189" i="4"/>
  <c r="O189" i="4" l="1"/>
  <c r="R189" i="4"/>
  <c r="S189" i="4" s="1"/>
  <c r="T190" i="4" s="1"/>
  <c r="V189" i="4"/>
  <c r="U170" i="3"/>
  <c r="O170" i="3" l="1"/>
  <c r="V170" i="3"/>
  <c r="R170" i="3" s="1"/>
  <c r="S170" i="3" s="1"/>
  <c r="T171" i="3" s="1"/>
  <c r="U190" i="4"/>
  <c r="U171" i="3" l="1"/>
  <c r="V190" i="4"/>
  <c r="R190" i="4"/>
  <c r="S190" i="4" s="1"/>
  <c r="T191" i="4" s="1"/>
  <c r="O190" i="4"/>
  <c r="U191" i="4" l="1"/>
  <c r="V171" i="3"/>
  <c r="O171" i="3" s="1"/>
  <c r="R171" i="3"/>
  <c r="S171" i="3" s="1"/>
  <c r="T172" i="3" s="1"/>
  <c r="U172" i="3" l="1"/>
  <c r="O191" i="4"/>
  <c r="V191" i="4"/>
  <c r="R191" i="4"/>
  <c r="S191" i="4" s="1"/>
  <c r="T192" i="4" s="1"/>
  <c r="U192" i="4" l="1"/>
  <c r="V172" i="3"/>
  <c r="R172" i="3" s="1"/>
  <c r="S172" i="3" s="1"/>
  <c r="T173" i="3" s="1"/>
  <c r="U173" i="3" l="1"/>
  <c r="O172" i="3"/>
  <c r="V192" i="4"/>
  <c r="R192" i="4"/>
  <c r="S192" i="4" s="1"/>
  <c r="T193" i="4" s="1"/>
  <c r="U193" i="4" s="1"/>
  <c r="O192" i="4"/>
  <c r="O193" i="4" l="1"/>
  <c r="V193" i="4"/>
  <c r="R193" i="4"/>
  <c r="S193" i="4" s="1"/>
  <c r="T194" i="4" s="1"/>
  <c r="V173" i="3"/>
  <c r="O173" i="3" s="1"/>
  <c r="R173" i="3"/>
  <c r="S173" i="3" s="1"/>
  <c r="T174" i="3" s="1"/>
  <c r="U174" i="3" s="1"/>
  <c r="V174" i="3" l="1"/>
  <c r="R174" i="3" s="1"/>
  <c r="S174" i="3" s="1"/>
  <c r="T175" i="3" s="1"/>
  <c r="U194" i="4"/>
  <c r="U175" i="3" l="1"/>
  <c r="V194" i="4"/>
  <c r="R194" i="4"/>
  <c r="S194" i="4" s="1"/>
  <c r="T195" i="4" s="1"/>
  <c r="O194" i="4"/>
  <c r="U195" i="4"/>
  <c r="O174" i="3"/>
  <c r="O195" i="4" l="1"/>
  <c r="V195" i="4"/>
  <c r="R195" i="4"/>
  <c r="S195" i="4" s="1"/>
  <c r="T196" i="4" s="1"/>
  <c r="V175" i="3"/>
  <c r="O175" i="3" s="1"/>
  <c r="U196" i="4" l="1"/>
  <c r="R175" i="3"/>
  <c r="S175" i="3" s="1"/>
  <c r="T176" i="3" s="1"/>
  <c r="U176" i="3" l="1"/>
  <c r="V196" i="4"/>
  <c r="R196" i="4"/>
  <c r="S196" i="4" s="1"/>
  <c r="T197" i="4" s="1"/>
  <c r="O196" i="4"/>
  <c r="U197" i="4" l="1"/>
  <c r="V176" i="3"/>
  <c r="R176" i="3" s="1"/>
  <c r="S176" i="3" s="1"/>
  <c r="T177" i="3" s="1"/>
  <c r="U177" i="3" l="1"/>
  <c r="O176" i="3"/>
  <c r="O197" i="4"/>
  <c r="V197" i="4"/>
  <c r="R197" i="4"/>
  <c r="S197" i="4" s="1"/>
  <c r="T198" i="4" s="1"/>
  <c r="U198" i="4" l="1"/>
  <c r="V177" i="3"/>
  <c r="O177" i="3" s="1"/>
  <c r="V198" i="4" l="1"/>
  <c r="R198" i="4"/>
  <c r="S198" i="4" s="1"/>
  <c r="T199" i="4" s="1"/>
  <c r="O198" i="4"/>
  <c r="U199" i="4"/>
  <c r="R177" i="3"/>
  <c r="S177" i="3" s="1"/>
  <c r="T178" i="3" s="1"/>
  <c r="O199" i="4" l="1"/>
  <c r="V199" i="4"/>
  <c r="R199" i="4"/>
  <c r="S199" i="4" s="1"/>
  <c r="U178" i="3"/>
  <c r="T200" i="4"/>
  <c r="V178" i="3" l="1"/>
  <c r="R178" i="3" s="1"/>
  <c r="S178" i="3" s="1"/>
  <c r="T179" i="3" s="1"/>
  <c r="U200" i="4"/>
  <c r="U179" i="3" l="1"/>
  <c r="V200" i="4"/>
  <c r="R200" i="4"/>
  <c r="S200" i="4" s="1"/>
  <c r="T201" i="4" s="1"/>
  <c r="O200" i="4"/>
  <c r="O178" i="3"/>
  <c r="U201" i="4" l="1"/>
  <c r="V179" i="3"/>
  <c r="O179" i="3" s="1"/>
  <c r="R179" i="3"/>
  <c r="S179" i="3" s="1"/>
  <c r="T180" i="3" s="1"/>
  <c r="U180" i="3" l="1"/>
  <c r="O201" i="4"/>
  <c r="V201" i="4"/>
  <c r="R201" i="4"/>
  <c r="S201" i="4" s="1"/>
  <c r="T202" i="4" s="1"/>
  <c r="U202" i="4" l="1"/>
  <c r="V180" i="3"/>
  <c r="R180" i="3" s="1"/>
  <c r="S180" i="3" s="1"/>
  <c r="T181" i="3" s="1"/>
  <c r="U181" i="3" l="1"/>
  <c r="O180" i="3"/>
  <c r="V202" i="4"/>
  <c r="R202" i="4"/>
  <c r="S202" i="4" s="1"/>
  <c r="T203" i="4" s="1"/>
  <c r="U203" i="4" s="1"/>
  <c r="O202" i="4"/>
  <c r="O203" i="4" l="1"/>
  <c r="R203" i="4"/>
  <c r="S203" i="4" s="1"/>
  <c r="V203" i="4"/>
  <c r="T204" i="4"/>
  <c r="V181" i="3"/>
  <c r="O181" i="3"/>
  <c r="R181" i="3"/>
  <c r="S181" i="3" s="1"/>
  <c r="T182" i="3" s="1"/>
  <c r="U182" i="3" l="1"/>
  <c r="X5" i="4"/>
  <c r="Z4" i="4" s="1"/>
  <c r="U204" i="4"/>
  <c r="V204" i="4" l="1"/>
  <c r="R204" i="4"/>
  <c r="S204" i="4" s="1"/>
  <c r="T205" i="4" s="1"/>
  <c r="O204" i="4"/>
  <c r="V182" i="3"/>
  <c r="O182" i="3" s="1"/>
  <c r="R182" i="3"/>
  <c r="S182" i="3" s="1"/>
  <c r="T183" i="3" s="1"/>
  <c r="U183" i="3" l="1"/>
  <c r="U205" i="4"/>
  <c r="O205" i="4" l="1"/>
  <c r="V205" i="4"/>
  <c r="R205" i="4"/>
  <c r="S205" i="4" s="1"/>
  <c r="T206" i="4" s="1"/>
  <c r="V183" i="3"/>
  <c r="R183" i="3"/>
  <c r="S183" i="3" s="1"/>
  <c r="T184" i="3" s="1"/>
  <c r="O183" i="3"/>
  <c r="U184" i="3" l="1"/>
  <c r="U206" i="4"/>
  <c r="R206" i="4" l="1"/>
  <c r="S206" i="4" s="1"/>
  <c r="T207" i="4" s="1"/>
  <c r="O206" i="4"/>
  <c r="V206" i="4"/>
  <c r="U207" i="4"/>
  <c r="V184" i="3"/>
  <c r="O184" i="3" s="1"/>
  <c r="R184" i="3" l="1"/>
  <c r="S184" i="3" s="1"/>
  <c r="T185" i="3" s="1"/>
  <c r="O207" i="4"/>
  <c r="V207" i="4"/>
  <c r="R207" i="4"/>
  <c r="S207" i="4" s="1"/>
  <c r="T208" i="4" s="1"/>
  <c r="U208" i="4" l="1"/>
  <c r="U185" i="3"/>
  <c r="V208" i="4" l="1"/>
  <c r="R208" i="4"/>
  <c r="S208" i="4" s="1"/>
  <c r="T209" i="4" s="1"/>
  <c r="O208" i="4"/>
  <c r="V185" i="3"/>
  <c r="R185" i="3"/>
  <c r="S185" i="3" s="1"/>
  <c r="T186" i="3" s="1"/>
  <c r="O185" i="3"/>
  <c r="U186" i="3" l="1"/>
  <c r="U209" i="4"/>
  <c r="O209" i="4" l="1"/>
  <c r="V209" i="4"/>
  <c r="R209" i="4"/>
  <c r="S209" i="4" s="1"/>
  <c r="T210" i="4" s="1"/>
  <c r="V186" i="3"/>
  <c r="O186" i="3" s="1"/>
  <c r="R186" i="3"/>
  <c r="S186" i="3" s="1"/>
  <c r="T187" i="3" s="1"/>
  <c r="U187" i="3" l="1"/>
  <c r="U210" i="4"/>
  <c r="V210" i="4" l="1"/>
  <c r="R210" i="4"/>
  <c r="S210" i="4" s="1"/>
  <c r="T211" i="4" s="1"/>
  <c r="U211" i="4" s="1"/>
  <c r="O210" i="4"/>
  <c r="V187" i="3"/>
  <c r="R187" i="3" s="1"/>
  <c r="S187" i="3" s="1"/>
  <c r="T188" i="3" s="1"/>
  <c r="O187" i="3"/>
  <c r="U188" i="3" l="1"/>
  <c r="R211" i="4"/>
  <c r="S211" i="4" s="1"/>
  <c r="O211" i="4"/>
  <c r="V211" i="4"/>
  <c r="T212" i="4"/>
  <c r="U212" i="4" l="1"/>
  <c r="V188" i="3"/>
  <c r="O188" i="3" s="1"/>
  <c r="R188" i="3"/>
  <c r="S188" i="3" s="1"/>
  <c r="T189" i="3" s="1"/>
  <c r="V212" i="4" l="1"/>
  <c r="O212" i="4"/>
  <c r="R212" i="4"/>
  <c r="S212" i="4" s="1"/>
  <c r="T213" i="4" s="1"/>
  <c r="U213" i="4" s="1"/>
  <c r="U189" i="3"/>
  <c r="R213" i="4" l="1"/>
  <c r="S213" i="4" s="1"/>
  <c r="O213" i="4"/>
  <c r="V213" i="4"/>
  <c r="V189" i="3"/>
  <c r="O189" i="3"/>
  <c r="R189" i="3"/>
  <c r="S189" i="3" s="1"/>
  <c r="T190" i="3" s="1"/>
  <c r="U190" i="3" s="1"/>
  <c r="T214" i="4"/>
  <c r="V190" i="3" l="1"/>
  <c r="O190" i="3" s="1"/>
  <c r="U214" i="4"/>
  <c r="V214" i="4" l="1"/>
  <c r="O214" i="4"/>
  <c r="R214" i="4"/>
  <c r="S214" i="4" s="1"/>
  <c r="T215" i="4" s="1"/>
  <c r="U215" i="4"/>
  <c r="R190" i="3"/>
  <c r="S190" i="3" s="1"/>
  <c r="T191" i="3" s="1"/>
  <c r="U191" i="3" l="1"/>
  <c r="R215" i="4"/>
  <c r="S215" i="4" s="1"/>
  <c r="O215" i="4"/>
  <c r="V215" i="4"/>
  <c r="T216" i="4"/>
  <c r="U216" i="4" l="1"/>
  <c r="V191" i="3"/>
  <c r="R191" i="3"/>
  <c r="S191" i="3" s="1"/>
  <c r="T192" i="3" s="1"/>
  <c r="U192" i="3" s="1"/>
  <c r="O191" i="3"/>
  <c r="R192" i="3" l="1"/>
  <c r="S192" i="3" s="1"/>
  <c r="T193" i="3" s="1"/>
  <c r="V192" i="3"/>
  <c r="O192" i="3" s="1"/>
  <c r="V216" i="4"/>
  <c r="R216" i="4"/>
  <c r="S216" i="4" s="1"/>
  <c r="T217" i="4" s="1"/>
  <c r="O216" i="4"/>
  <c r="U193" i="3" l="1"/>
  <c r="U217" i="4"/>
  <c r="R217" i="4" l="1"/>
  <c r="S217" i="4" s="1"/>
  <c r="T218" i="4" s="1"/>
  <c r="U218" i="4"/>
  <c r="O217" i="4"/>
  <c r="V217" i="4"/>
  <c r="V193" i="3"/>
  <c r="O193" i="3" s="1"/>
  <c r="R193" i="3" l="1"/>
  <c r="S193" i="3" s="1"/>
  <c r="T194" i="3" s="1"/>
  <c r="V218" i="4"/>
  <c r="R218" i="4"/>
  <c r="S218" i="4" s="1"/>
  <c r="T219" i="4" s="1"/>
  <c r="O218" i="4"/>
  <c r="U219" i="4" l="1"/>
  <c r="U194" i="3"/>
  <c r="V194" i="3" l="1"/>
  <c r="O194" i="3" s="1"/>
  <c r="R194" i="3"/>
  <c r="S194" i="3" s="1"/>
  <c r="T195" i="3" s="1"/>
  <c r="R219" i="4"/>
  <c r="S219" i="4" s="1"/>
  <c r="T220" i="4" s="1"/>
  <c r="U220" i="4"/>
  <c r="O219" i="4"/>
  <c r="V219" i="4"/>
  <c r="V220" i="4" l="1"/>
  <c r="O220" i="4"/>
  <c r="R220" i="4"/>
  <c r="S220" i="4" s="1"/>
  <c r="T221" i="4" s="1"/>
  <c r="U195" i="3"/>
  <c r="U221" i="4" l="1"/>
  <c r="V195" i="3"/>
  <c r="R195" i="3" s="1"/>
  <c r="S195" i="3" s="1"/>
  <c r="T196" i="3" s="1"/>
  <c r="O195" i="3"/>
  <c r="U196" i="3" l="1"/>
  <c r="R221" i="4"/>
  <c r="S221" i="4" s="1"/>
  <c r="T222" i="4" s="1"/>
  <c r="O221" i="4"/>
  <c r="V221" i="4"/>
  <c r="U222" i="4" l="1"/>
  <c r="V196" i="3"/>
  <c r="O196" i="3" s="1"/>
  <c r="R196" i="3" l="1"/>
  <c r="S196" i="3" s="1"/>
  <c r="T197" i="3" s="1"/>
  <c r="V222" i="4"/>
  <c r="O222" i="4"/>
  <c r="R222" i="4"/>
  <c r="S222" i="4" s="1"/>
  <c r="T223" i="4" s="1"/>
  <c r="U223" i="4" s="1"/>
  <c r="R223" i="4" l="1"/>
  <c r="S223" i="4" s="1"/>
  <c r="O223" i="4"/>
  <c r="V223" i="4"/>
  <c r="T224" i="4"/>
  <c r="U197" i="3"/>
  <c r="V197" i="3" l="1"/>
  <c r="O197" i="3"/>
  <c r="R197" i="3"/>
  <c r="S197" i="3" s="1"/>
  <c r="T198" i="3" s="1"/>
  <c r="U224" i="4"/>
  <c r="V224" i="4" l="1"/>
  <c r="R224" i="4"/>
  <c r="S224" i="4" s="1"/>
  <c r="T225" i="4" s="1"/>
  <c r="U225" i="4"/>
  <c r="O224" i="4"/>
  <c r="U198" i="3"/>
  <c r="V198" i="3" l="1"/>
  <c r="O198" i="3" s="1"/>
  <c r="R225" i="4"/>
  <c r="S225" i="4" s="1"/>
  <c r="T226" i="4" s="1"/>
  <c r="O225" i="4"/>
  <c r="V225" i="4"/>
  <c r="U226" i="4" l="1"/>
  <c r="R198" i="3"/>
  <c r="S198" i="3" s="1"/>
  <c r="T199" i="3" s="1"/>
  <c r="U199" i="3" l="1"/>
  <c r="V226" i="4"/>
  <c r="R226" i="4"/>
  <c r="S226" i="4" s="1"/>
  <c r="T227" i="4" s="1"/>
  <c r="U227" i="4" s="1"/>
  <c r="O226" i="4"/>
  <c r="R227" i="4" l="1"/>
  <c r="S227" i="4" s="1"/>
  <c r="O227" i="4"/>
  <c r="V227" i="4"/>
  <c r="T228" i="4"/>
  <c r="V199" i="3"/>
  <c r="O199" i="3" s="1"/>
  <c r="R199" i="3" l="1"/>
  <c r="S199" i="3" s="1"/>
  <c r="T200" i="3" s="1"/>
  <c r="U228" i="4"/>
  <c r="V228" i="4" l="1"/>
  <c r="O228" i="4"/>
  <c r="R228" i="4"/>
  <c r="S228" i="4" s="1"/>
  <c r="T229" i="4" s="1"/>
  <c r="U229" i="4" s="1"/>
  <c r="U200" i="3"/>
  <c r="R229" i="4" l="1"/>
  <c r="S229" i="4" s="1"/>
  <c r="O229" i="4"/>
  <c r="V229" i="4"/>
  <c r="V200" i="3"/>
  <c r="O200" i="3" s="1"/>
  <c r="T230" i="4"/>
  <c r="R200" i="3" l="1"/>
  <c r="S200" i="3" s="1"/>
  <c r="T201" i="3" s="1"/>
  <c r="U230" i="4"/>
  <c r="V230" i="4" l="1"/>
  <c r="R230" i="4"/>
  <c r="S230" i="4" s="1"/>
  <c r="T231" i="4" s="1"/>
  <c r="U231" i="4" s="1"/>
  <c r="O230" i="4"/>
  <c r="U201" i="3"/>
  <c r="R231" i="4" l="1"/>
  <c r="S231" i="4" s="1"/>
  <c r="O231" i="4"/>
  <c r="V231" i="4"/>
  <c r="V201" i="3"/>
  <c r="R201" i="3"/>
  <c r="S201" i="3" s="1"/>
  <c r="T202" i="3" s="1"/>
  <c r="U202" i="3" s="1"/>
  <c r="O201" i="3"/>
  <c r="T232" i="4"/>
  <c r="V202" i="3" l="1"/>
  <c r="O202" i="3" s="1"/>
  <c r="U232" i="4"/>
  <c r="V232" i="4" l="1"/>
  <c r="O232" i="4"/>
  <c r="R232" i="4"/>
  <c r="S232" i="4" s="1"/>
  <c r="T233" i="4" s="1"/>
  <c r="R202" i="3"/>
  <c r="S202" i="3" s="1"/>
  <c r="T203" i="3" s="1"/>
  <c r="U203" i="3" l="1"/>
  <c r="U233" i="4"/>
  <c r="R233" i="4" l="1"/>
  <c r="S233" i="4" s="1"/>
  <c r="T234" i="4" s="1"/>
  <c r="U234" i="4"/>
  <c r="O233" i="4"/>
  <c r="V233" i="4"/>
  <c r="V203" i="3"/>
  <c r="R203" i="3" s="1"/>
  <c r="S203" i="3" s="1"/>
  <c r="T204" i="3" s="1"/>
  <c r="O203" i="3"/>
  <c r="X5" i="3" l="1"/>
  <c r="Z4" i="3" s="1"/>
  <c r="U204" i="3"/>
  <c r="V234" i="4"/>
  <c r="R234" i="4"/>
  <c r="S234" i="4" s="1"/>
  <c r="O234" i="4"/>
  <c r="T235" i="4"/>
  <c r="U235" i="4" l="1"/>
  <c r="V204" i="3"/>
  <c r="O204" i="3" s="1"/>
  <c r="R204" i="3" l="1"/>
  <c r="S204" i="3" s="1"/>
  <c r="T205" i="3" s="1"/>
  <c r="R235" i="4"/>
  <c r="S235" i="4" s="1"/>
  <c r="T236" i="4" s="1"/>
  <c r="U236" i="4" s="1"/>
  <c r="O235" i="4"/>
  <c r="V235" i="4"/>
  <c r="V236" i="4" l="1"/>
  <c r="R236" i="4"/>
  <c r="S236" i="4" s="1"/>
  <c r="O236" i="4"/>
  <c r="T237" i="4"/>
  <c r="U205" i="3"/>
  <c r="V205" i="3" l="1"/>
  <c r="R205" i="3" s="1"/>
  <c r="S205" i="3" s="1"/>
  <c r="T206" i="3" s="1"/>
  <c r="U237" i="4"/>
  <c r="U206" i="3" l="1"/>
  <c r="R237" i="4"/>
  <c r="S237" i="4" s="1"/>
  <c r="T238" i="4" s="1"/>
  <c r="O237" i="4"/>
  <c r="V237" i="4"/>
  <c r="O205" i="3"/>
  <c r="U238" i="4" l="1"/>
  <c r="V206" i="3"/>
  <c r="O206" i="3" s="1"/>
  <c r="R206" i="3"/>
  <c r="S206" i="3" s="1"/>
  <c r="T207" i="3" s="1"/>
  <c r="U207" i="3" s="1"/>
  <c r="V207" i="3" l="1"/>
  <c r="R207" i="3"/>
  <c r="S207" i="3" s="1"/>
  <c r="O207" i="3"/>
  <c r="T208" i="3"/>
  <c r="U208" i="3" s="1"/>
  <c r="V238" i="4"/>
  <c r="R238" i="4"/>
  <c r="S238" i="4" s="1"/>
  <c r="T239" i="4" s="1"/>
  <c r="O238" i="4"/>
  <c r="V208" i="3" l="1"/>
  <c r="O208" i="3" s="1"/>
  <c r="U239" i="4"/>
  <c r="R239" i="4" l="1"/>
  <c r="S239" i="4" s="1"/>
  <c r="T240" i="4" s="1"/>
  <c r="U240" i="4"/>
  <c r="O239" i="4"/>
  <c r="V239" i="4"/>
  <c r="R208" i="3"/>
  <c r="S208" i="3" s="1"/>
  <c r="T209" i="3" s="1"/>
  <c r="U209" i="3" l="1"/>
  <c r="V240" i="4"/>
  <c r="R240" i="4"/>
  <c r="S240" i="4" s="1"/>
  <c r="O240" i="4"/>
  <c r="T241" i="4"/>
  <c r="U241" i="4" l="1"/>
  <c r="V209" i="3"/>
  <c r="R209" i="3" s="1"/>
  <c r="S209" i="3" s="1"/>
  <c r="T210" i="3" s="1"/>
  <c r="O209" i="3"/>
  <c r="U210" i="3" l="1"/>
  <c r="R241" i="4"/>
  <c r="S241" i="4" s="1"/>
  <c r="T242" i="4" s="1"/>
  <c r="O241" i="4"/>
  <c r="V241" i="4"/>
  <c r="U242" i="4" l="1"/>
  <c r="V210" i="3"/>
  <c r="O210" i="3" s="1"/>
  <c r="R210" i="3"/>
  <c r="S210" i="3" s="1"/>
  <c r="T211" i="3" s="1"/>
  <c r="V242" i="4" l="1"/>
  <c r="R242" i="4"/>
  <c r="S242" i="4" s="1"/>
  <c r="T243" i="4" s="1"/>
  <c r="O242" i="4"/>
  <c r="U211" i="3"/>
  <c r="V211" i="3" l="1"/>
  <c r="R211" i="3"/>
  <c r="S211" i="3" s="1"/>
  <c r="T212" i="3" s="1"/>
  <c r="U212" i="3" s="1"/>
  <c r="O211" i="3"/>
  <c r="U243" i="4"/>
  <c r="V212" i="3" l="1"/>
  <c r="O212" i="3" s="1"/>
  <c r="R243" i="4"/>
  <c r="S243" i="4" s="1"/>
  <c r="T244" i="4" s="1"/>
  <c r="U244" i="4" s="1"/>
  <c r="O243" i="4"/>
  <c r="V243" i="4"/>
  <c r="V244" i="4" l="1"/>
  <c r="R244" i="4"/>
  <c r="S244" i="4" s="1"/>
  <c r="O244" i="4"/>
  <c r="T245" i="4"/>
  <c r="R212" i="3"/>
  <c r="S212" i="3" s="1"/>
  <c r="T213" i="3" s="1"/>
  <c r="U213" i="3" l="1"/>
  <c r="U245" i="4"/>
  <c r="R245" i="4" l="1"/>
  <c r="S245" i="4" s="1"/>
  <c r="T246" i="4" s="1"/>
  <c r="U246" i="4"/>
  <c r="O245" i="4"/>
  <c r="V245" i="4"/>
  <c r="V213" i="3"/>
  <c r="R213" i="3" s="1"/>
  <c r="S213" i="3" s="1"/>
  <c r="T214" i="3" s="1"/>
  <c r="O213" i="3"/>
  <c r="U214" i="3" l="1"/>
  <c r="V246" i="4"/>
  <c r="R246" i="4"/>
  <c r="S246" i="4" s="1"/>
  <c r="U247" i="4"/>
  <c r="O246" i="4"/>
  <c r="T247" i="4"/>
  <c r="R247" i="4" l="1"/>
  <c r="S247" i="4" s="1"/>
  <c r="T248" i="4" s="1"/>
  <c r="O247" i="4"/>
  <c r="V247" i="4"/>
  <c r="O214" i="3"/>
  <c r="V214" i="3"/>
  <c r="R214" i="3"/>
  <c r="S214" i="3" s="1"/>
  <c r="T215" i="3" s="1"/>
  <c r="U215" i="3" s="1"/>
  <c r="V215" i="3" l="1"/>
  <c r="R215" i="3"/>
  <c r="S215" i="3" s="1"/>
  <c r="O215" i="3"/>
  <c r="U248" i="4"/>
  <c r="T216" i="3"/>
  <c r="V248" i="4" l="1"/>
  <c r="R248" i="4"/>
  <c r="S248" i="4" s="1"/>
  <c r="T249" i="4" s="1"/>
  <c r="O248" i="4"/>
  <c r="U216" i="3"/>
  <c r="V216" i="3" l="1"/>
  <c r="O216" i="3" s="1"/>
  <c r="U249" i="4"/>
  <c r="R249" i="4" l="1"/>
  <c r="S249" i="4" s="1"/>
  <c r="T250" i="4" s="1"/>
  <c r="U250" i="4"/>
  <c r="O249" i="4"/>
  <c r="V249" i="4"/>
  <c r="R216" i="3"/>
  <c r="S216" i="3" s="1"/>
  <c r="T217" i="3" s="1"/>
  <c r="U217" i="3" l="1"/>
  <c r="V250" i="4"/>
  <c r="R250" i="4"/>
  <c r="S250" i="4" s="1"/>
  <c r="O250" i="4"/>
  <c r="T251" i="4"/>
  <c r="U251" i="4" s="1"/>
  <c r="R251" i="4" l="1"/>
  <c r="S251" i="4" s="1"/>
  <c r="O251" i="4"/>
  <c r="V251" i="4"/>
  <c r="T252" i="4"/>
  <c r="U252" i="4" s="1"/>
  <c r="V217" i="3"/>
  <c r="O217" i="3" s="1"/>
  <c r="R217" i="3"/>
  <c r="S217" i="3" s="1"/>
  <c r="T218" i="3" s="1"/>
  <c r="V252" i="4" l="1"/>
  <c r="R252" i="4"/>
  <c r="S252" i="4" s="1"/>
  <c r="O252" i="4"/>
  <c r="U218" i="3"/>
  <c r="T253" i="4"/>
  <c r="U253" i="4" s="1"/>
  <c r="R253" i="4" l="1"/>
  <c r="S253" i="4" s="1"/>
  <c r="O253" i="4"/>
  <c r="V253" i="4"/>
  <c r="V218" i="3"/>
  <c r="O218" i="3" s="1"/>
  <c r="T254" i="4"/>
  <c r="W4" i="4" s="1"/>
  <c r="R218" i="3" l="1"/>
  <c r="S218" i="3" s="1"/>
  <c r="T219" i="3" s="1"/>
  <c r="AA4" i="4"/>
  <c r="X4" i="4"/>
  <c r="W5" i="4"/>
  <c r="U254" i="4"/>
  <c r="V254" i="4" l="1"/>
  <c r="R254" i="4"/>
  <c r="S254" i="4" s="1"/>
  <c r="O254" i="4"/>
  <c r="U219" i="3"/>
  <c r="V219" i="3" l="1"/>
  <c r="R219" i="3"/>
  <c r="S219" i="3" s="1"/>
  <c r="T220" i="3" s="1"/>
  <c r="U220" i="3" s="1"/>
  <c r="O219" i="3"/>
  <c r="V220" i="3" l="1"/>
  <c r="O220" i="3" s="1"/>
  <c r="R220" i="3" l="1"/>
  <c r="S220" i="3" s="1"/>
  <c r="T221" i="3" s="1"/>
  <c r="U221" i="3" l="1"/>
  <c r="V221" i="3" l="1"/>
  <c r="R221" i="3" s="1"/>
  <c r="S221" i="3" s="1"/>
  <c r="T222" i="3" s="1"/>
  <c r="O221" i="3"/>
  <c r="U222" i="3" l="1"/>
  <c r="V222" i="3" l="1"/>
  <c r="O222" i="3" s="1"/>
  <c r="R222" i="3" l="1"/>
  <c r="S222" i="3" s="1"/>
  <c r="T223" i="3" s="1"/>
  <c r="U223" i="3" l="1"/>
  <c r="V223" i="3" l="1"/>
  <c r="R223" i="3"/>
  <c r="S223" i="3" s="1"/>
  <c r="T224" i="3" s="1"/>
  <c r="U224" i="3" s="1"/>
  <c r="O223" i="3"/>
  <c r="V224" i="3" l="1"/>
  <c r="O224" i="3" s="1"/>
  <c r="R224" i="3"/>
  <c r="S224" i="3" s="1"/>
  <c r="T225" i="3" s="1"/>
  <c r="U225" i="3" l="1"/>
  <c r="V225" i="3" l="1"/>
  <c r="R225" i="3"/>
  <c r="S225" i="3" s="1"/>
  <c r="T226" i="3" s="1"/>
  <c r="U226" i="3" s="1"/>
  <c r="O225" i="3"/>
  <c r="V226" i="3" l="1"/>
  <c r="O226" i="3" s="1"/>
  <c r="R226" i="3" l="1"/>
  <c r="S226" i="3" s="1"/>
  <c r="T227" i="3" s="1"/>
  <c r="U227" i="3" l="1"/>
  <c r="V227" i="3" l="1"/>
  <c r="R227" i="3"/>
  <c r="S227" i="3" s="1"/>
  <c r="T228" i="3" s="1"/>
  <c r="O227" i="3"/>
  <c r="U228" i="3"/>
  <c r="V228" i="3" l="1"/>
  <c r="O228" i="3" s="1"/>
  <c r="R228" i="3"/>
  <c r="S228" i="3" s="1"/>
  <c r="T229" i="3" s="1"/>
  <c r="U229" i="3" l="1"/>
  <c r="V229" i="3" l="1"/>
  <c r="R229" i="3"/>
  <c r="S229" i="3" s="1"/>
  <c r="T230" i="3" s="1"/>
  <c r="U230" i="3" s="1"/>
  <c r="O229" i="3"/>
  <c r="V230" i="3" l="1"/>
  <c r="O230" i="3" s="1"/>
  <c r="R230" i="3" l="1"/>
  <c r="S230" i="3" s="1"/>
  <c r="T231" i="3" s="1"/>
  <c r="U231" i="3" l="1"/>
  <c r="V231" i="3" l="1"/>
  <c r="R231" i="3"/>
  <c r="S231" i="3" s="1"/>
  <c r="T232" i="3" s="1"/>
  <c r="U232" i="3" s="1"/>
  <c r="O231" i="3"/>
  <c r="V232" i="3" l="1"/>
  <c r="O232" i="3" s="1"/>
  <c r="R232" i="3" l="1"/>
  <c r="S232" i="3" s="1"/>
  <c r="T233" i="3" s="1"/>
  <c r="U233" i="3" l="1"/>
  <c r="V233" i="3" l="1"/>
  <c r="R233" i="3"/>
  <c r="S233" i="3" s="1"/>
  <c r="T234" i="3" s="1"/>
  <c r="O233" i="3"/>
  <c r="U234" i="3"/>
  <c r="V234" i="3" l="1"/>
  <c r="R234" i="3"/>
  <c r="S234" i="3" s="1"/>
  <c r="T235" i="3" s="1"/>
  <c r="O234" i="3"/>
  <c r="U235" i="3" l="1"/>
  <c r="V235" i="3" l="1"/>
  <c r="O235" i="3" s="1"/>
  <c r="R235" i="3" l="1"/>
  <c r="S235" i="3" s="1"/>
  <c r="T236" i="3" s="1"/>
  <c r="U236" i="3" l="1"/>
  <c r="V236" i="3" l="1"/>
  <c r="R236" i="3" s="1"/>
  <c r="S236" i="3" s="1"/>
  <c r="T237" i="3" s="1"/>
  <c r="O236" i="3"/>
  <c r="U237" i="3" l="1"/>
  <c r="V237" i="3" l="1"/>
  <c r="O237" i="3" s="1"/>
  <c r="R237" i="3" l="1"/>
  <c r="S237" i="3" s="1"/>
  <c r="T238" i="3" s="1"/>
  <c r="U238" i="3" l="1"/>
  <c r="R238" i="3" l="1"/>
  <c r="S238" i="3" s="1"/>
  <c r="T239" i="3" s="1"/>
  <c r="U239" i="3" s="1"/>
  <c r="V238" i="3"/>
  <c r="O238" i="3"/>
  <c r="V239" i="3" l="1"/>
  <c r="O239" i="3" s="1"/>
  <c r="R239" i="3" l="1"/>
  <c r="S239" i="3" s="1"/>
  <c r="T240" i="3" s="1"/>
  <c r="U240" i="3" l="1"/>
  <c r="R240" i="3" l="1"/>
  <c r="S240" i="3" s="1"/>
  <c r="T241" i="3" s="1"/>
  <c r="V240" i="3"/>
  <c r="O240" i="3"/>
  <c r="U241" i="3" l="1"/>
  <c r="V241" i="3" l="1"/>
  <c r="O241" i="3" s="1"/>
  <c r="R241" i="3" l="1"/>
  <c r="S241" i="3" s="1"/>
  <c r="T242" i="3" s="1"/>
  <c r="U242" i="3" l="1"/>
  <c r="V242" i="3" l="1"/>
  <c r="R242" i="3" s="1"/>
  <c r="S242" i="3" s="1"/>
  <c r="T243" i="3" s="1"/>
  <c r="O242" i="3"/>
  <c r="U243" i="3" l="1"/>
  <c r="V243" i="3" l="1"/>
  <c r="O243" i="3" s="1"/>
  <c r="R243" i="3" l="1"/>
  <c r="S243" i="3" s="1"/>
  <c r="T244" i="3" s="1"/>
  <c r="U244" i="3" l="1"/>
  <c r="R244" i="3" l="1"/>
  <c r="S244" i="3" s="1"/>
  <c r="T245" i="3" s="1"/>
  <c r="U245" i="3" s="1"/>
  <c r="V244" i="3"/>
  <c r="O244" i="3" s="1"/>
  <c r="V245" i="3" l="1"/>
  <c r="O245" i="3" s="1"/>
  <c r="R245" i="3"/>
  <c r="S245" i="3" s="1"/>
  <c r="T246" i="3" s="1"/>
  <c r="U246" i="3" l="1"/>
  <c r="R246" i="3" l="1"/>
  <c r="S246" i="3" s="1"/>
  <c r="T247" i="3" s="1"/>
  <c r="V246" i="3"/>
  <c r="O246" i="3" s="1"/>
  <c r="U247" i="3" l="1"/>
  <c r="V247" i="3" l="1"/>
  <c r="O247" i="3" s="1"/>
  <c r="R247" i="3"/>
  <c r="S247" i="3" s="1"/>
  <c r="T248" i="3" s="1"/>
  <c r="U248" i="3" l="1"/>
  <c r="V248" i="3" l="1"/>
  <c r="R248" i="3" s="1"/>
  <c r="S248" i="3" s="1"/>
  <c r="T249" i="3" s="1"/>
  <c r="U249" i="3" l="1"/>
  <c r="O248" i="3"/>
  <c r="V249" i="3" l="1"/>
  <c r="O249" i="3" s="1"/>
  <c r="R249" i="3"/>
  <c r="S249" i="3" s="1"/>
  <c r="T250" i="3" s="1"/>
  <c r="U250" i="3" l="1"/>
  <c r="V250" i="3" l="1"/>
  <c r="R250" i="3" s="1"/>
  <c r="S250" i="3" s="1"/>
  <c r="T251" i="3" s="1"/>
  <c r="U251" i="3" l="1"/>
  <c r="O250" i="3"/>
  <c r="V251" i="3" l="1"/>
  <c r="O251" i="3" s="1"/>
  <c r="R251" i="3" l="1"/>
  <c r="S251" i="3" s="1"/>
  <c r="T252" i="3" s="1"/>
  <c r="U252" i="3" l="1"/>
  <c r="V252" i="3" l="1"/>
  <c r="R252" i="3" s="1"/>
  <c r="S252" i="3" s="1"/>
  <c r="T253" i="3" s="1"/>
  <c r="U253" i="3" l="1"/>
  <c r="O252" i="3"/>
  <c r="V253" i="3" l="1"/>
  <c r="O253" i="3" s="1"/>
  <c r="R253" i="3"/>
  <c r="S253" i="3" s="1"/>
  <c r="T254" i="3" s="1"/>
  <c r="W4" i="3" s="1"/>
  <c r="X4" i="3" l="1"/>
  <c r="W5" i="3"/>
  <c r="AA4" i="3"/>
  <c r="U254" i="3"/>
  <c r="O254" i="3" l="1"/>
  <c r="V254" i="3"/>
  <c r="R254" i="3" s="1"/>
  <c r="S254" i="3" s="1"/>
</calcChain>
</file>

<file path=xl/sharedStrings.xml><?xml version="1.0" encoding="utf-8"?>
<sst xmlns="http://schemas.openxmlformats.org/spreadsheetml/2006/main" count="302" uniqueCount="187">
  <si>
    <t>Pre-Defined Parameters:</t>
  </si>
  <si>
    <t>Color Key:</t>
  </si>
  <si>
    <t>Puple Cell:</t>
  </si>
  <si>
    <t>Informational</t>
  </si>
  <si>
    <t>Coil Calculator instructions:</t>
  </si>
  <si>
    <t>Voltage:</t>
  </si>
  <si>
    <t>Grey Cell:</t>
  </si>
  <si>
    <t>User-defined value</t>
  </si>
  <si>
    <t xml:space="preserve">Go to </t>
  </si>
  <si>
    <t>https://www.accelinstruments.com/Magnetic/Magnetic-field-calculator.html</t>
  </si>
  <si>
    <t>Max Current:</t>
  </si>
  <si>
    <t>Blue Cell:</t>
  </si>
  <si>
    <t>Input from coil calculator</t>
  </si>
  <si>
    <t>Set inner radius to half your specified coil ID</t>
  </si>
  <si>
    <t>Coil ID (mm):</t>
  </si>
  <si>
    <t>Red Text:</t>
  </si>
  <si>
    <t>Maximum value exceeded</t>
  </si>
  <si>
    <t>Set the coil length to specified value</t>
  </si>
  <si>
    <t>*Snubber Rating (Watts):</t>
  </si>
  <si>
    <t>Green Cell,</t>
  </si>
  <si>
    <t>Yellow Cell,</t>
  </si>
  <si>
    <t>or Red Cell</t>
  </si>
  <si>
    <t>Calculated value</t>
  </si>
  <si>
    <t>Set wire diameter with and without insulation*</t>
  </si>
  <si>
    <t>*The pulse-power rating of the device that will dissipate the coil's energy</t>
  </si>
  <si>
    <t>Positive</t>
  </si>
  <si>
    <t>Neutral</t>
  </si>
  <si>
    <t>Negative</t>
  </si>
  <si>
    <t>Input the number of turns calculated by this sheet</t>
  </si>
  <si>
    <t>Set current to 1A</t>
  </si>
  <si>
    <t>Notes:</t>
  </si>
  <si>
    <t>Set distance from center to 0mm</t>
  </si>
  <si>
    <t>1: Power the coil will consume when fully charged by the specified voltage source, it is also how much heat the coil will generate when fully charged.</t>
  </si>
  <si>
    <t>Set permeability and Compac factor to 1</t>
  </si>
  <si>
    <t>2: Energy stored within the coil when it is fully charged. It will need to dissipate this when discharging.</t>
  </si>
  <si>
    <t>Input resulting resistance, inductance, and field values into their respective blue boxes</t>
  </si>
  <si>
    <t>3: Amount of power that a device will dissipate when removing energy from the coil. Many devices can handle dozens of times their rated power for a short period of time.</t>
  </si>
  <si>
    <t>*Not accounting for enamel thickness only has a marginal impact on accuracy</t>
  </si>
  <si>
    <t>4: Strength of field the coil generates per amp of current flowing through it. Some coils generate generate weaker overall fields, but do it more efficiently.</t>
  </si>
  <si>
    <t>5: How strong the field will be after it is fully charged by the voltage source specified.</t>
  </si>
  <si>
    <t>To clear this sheet, highlight the blue and grey columns and press 'del' on your keyboard.</t>
  </si>
  <si>
    <t>6: How long the coil will take to build OR collapse %98.1 field strength.</t>
  </si>
  <si>
    <t>7: This value indicates the average linear rate that a coil will build/collapse its field. In reality the coil's initial rate will be much higher, and will slow down asymptotically.</t>
  </si>
  <si>
    <t>8: This is an arbitrary value that multiplies the field constant by the field rate. It is only intended for comparing coils.</t>
  </si>
  <si>
    <t>Note 1:</t>
  </si>
  <si>
    <t>Note 2:</t>
  </si>
  <si>
    <t>Note 3:</t>
  </si>
  <si>
    <t>Note 4:</t>
  </si>
  <si>
    <t>Note 5:</t>
  </si>
  <si>
    <t>Note 6:</t>
  </si>
  <si>
    <t>Note 7:</t>
  </si>
  <si>
    <t>Note 8:</t>
  </si>
  <si>
    <t>Wire diameter:</t>
  </si>
  <si>
    <t>Coil Length:</t>
  </si>
  <si>
    <t>Coil OD:</t>
  </si>
  <si>
    <t>Coil Volume:</t>
  </si>
  <si>
    <t>Layers:</t>
  </si>
  <si>
    <t>Turns/Layer:</t>
  </si>
  <si>
    <t xml:space="preserve"> Total Turns:</t>
  </si>
  <si>
    <t>Resistance:</t>
  </si>
  <si>
    <t>Inductance:</t>
  </si>
  <si>
    <t>Max Power:</t>
  </si>
  <si>
    <t>Energy Stored:</t>
  </si>
  <si>
    <t>Snub Power:</t>
  </si>
  <si>
    <t>Field Constant:</t>
  </si>
  <si>
    <t>Max Field:</t>
  </si>
  <si>
    <t>Charge Time:</t>
  </si>
  <si>
    <t>Field Rate:</t>
  </si>
  <si>
    <t>Rating:</t>
  </si>
  <si>
    <t>(Millimeter)</t>
  </si>
  <si>
    <t>(Cubic Cent.)</t>
  </si>
  <si>
    <t>#</t>
  </si>
  <si>
    <t>(Ohms)</t>
  </si>
  <si>
    <t>(Microhenry)</t>
  </si>
  <si>
    <t>(Amperes)</t>
  </si>
  <si>
    <t>(Kilowatts)</t>
  </si>
  <si>
    <t>(Joules)</t>
  </si>
  <si>
    <t>(Millitesla)</t>
  </si>
  <si>
    <t>(Tesla)</t>
  </si>
  <si>
    <t>(Milliseconds)</t>
  </si>
  <si>
    <t>(Tesla/Second)</t>
  </si>
  <si>
    <t>(Arbitrary)</t>
  </si>
  <si>
    <t>&lt; Option 1</t>
  </si>
  <si>
    <t>&lt; Option 2</t>
  </si>
  <si>
    <t>&lt; Option 3</t>
  </si>
  <si>
    <t>&lt; Original plan</t>
  </si>
  <si>
    <t>Coil Field vs Distance</t>
  </si>
  <si>
    <t>Coil 1</t>
  </si>
  <si>
    <t>Coil 2</t>
  </si>
  <si>
    <t>0.68mm</t>
  </si>
  <si>
    <t>Turns:</t>
  </si>
  <si>
    <t>Dimensions:</t>
  </si>
  <si>
    <t>10L X 50W</t>
  </si>
  <si>
    <t>30L X 30W</t>
  </si>
  <si>
    <t>Volume:</t>
  </si>
  <si>
    <t>Current:</t>
  </si>
  <si>
    <t>Time constant:</t>
  </si>
  <si>
    <t>Field:</t>
  </si>
  <si>
    <t>Coil Field vs Time</t>
  </si>
  <si>
    <t>Time: (ms)</t>
  </si>
  <si>
    <t>Coil 1 (%)</t>
  </si>
  <si>
    <t>Coil 1 (Field)</t>
  </si>
  <si>
    <t>Coil 2 (%)</t>
  </si>
  <si>
    <t>Coil 2 (Field)</t>
  </si>
  <si>
    <t>Distance</t>
  </si>
  <si>
    <t>Coil 1 Field</t>
  </si>
  <si>
    <t>Coil 1 %</t>
  </si>
  <si>
    <t>Coil 2 Field</t>
  </si>
  <si>
    <t>Coil 2 %</t>
  </si>
  <si>
    <t>1.02mm</t>
  </si>
  <si>
    <t>10L X 30W</t>
  </si>
  <si>
    <t>50L X 30W</t>
  </si>
  <si>
    <t>643.6A</t>
  </si>
  <si>
    <t>661A</t>
  </si>
  <si>
    <t>0.97ms</t>
  </si>
  <si>
    <t>2.03ms</t>
  </si>
  <si>
    <t>PARAMETERS</t>
  </si>
  <si>
    <t>TIME INFO</t>
  </si>
  <si>
    <t>CAP INFO</t>
  </si>
  <si>
    <t>COIL INFO</t>
  </si>
  <si>
    <t>BULLET INFO</t>
  </si>
  <si>
    <t>RESULTS</t>
  </si>
  <si>
    <t>CAPACITOR PROPERTIES</t>
  </si>
  <si>
    <t>Index:</t>
  </si>
  <si>
    <t>Time:</t>
  </si>
  <si>
    <t>Next TC:</t>
  </si>
  <si>
    <t>Cap Voltage:</t>
  </si>
  <si>
    <t>Cap Charge:</t>
  </si>
  <si>
    <t>Cap Energy:</t>
  </si>
  <si>
    <t>IGBT ON:</t>
  </si>
  <si>
    <t>Ideal Current:</t>
  </si>
  <si>
    <t>Current @ NTC:</t>
  </si>
  <si>
    <t>Time Constant:</t>
  </si>
  <si>
    <t>Field Strength:</t>
  </si>
  <si>
    <t>Force:</t>
  </si>
  <si>
    <t>Acceleration:</t>
  </si>
  <si>
    <t>Speed:</t>
  </si>
  <si>
    <t>Bullet Position:</t>
  </si>
  <si>
    <t>Nearest</t>
  </si>
  <si>
    <t>Final Velocity:</t>
  </si>
  <si>
    <t>Kinetic Energy:</t>
  </si>
  <si>
    <t>Energy Spent:</t>
  </si>
  <si>
    <t>Efficiency:</t>
  </si>
  <si>
    <t>Sensor Pulse:</t>
  </si>
  <si>
    <t>Coil Energy:</t>
  </si>
  <si>
    <t>Capacitance:</t>
  </si>
  <si>
    <t>Charge:</t>
  </si>
  <si>
    <t>Energy:</t>
  </si>
  <si>
    <t>(Number)</t>
  </si>
  <si>
    <t>(Millisecond)</t>
  </si>
  <si>
    <t>(Volts)</t>
  </si>
  <si>
    <t>(Coulombs)</t>
  </si>
  <si>
    <t>(Percentage)</t>
  </si>
  <si>
    <t>(True/False)</t>
  </si>
  <si>
    <t>(Amps)</t>
  </si>
  <si>
    <t>(Newtons)</t>
  </si>
  <si>
    <t>(M/S^2)</t>
  </si>
  <si>
    <t>(Meter/Second)</t>
  </si>
  <si>
    <t>COIL PROPERTIES</t>
  </si>
  <si>
    <t>PROJECTILE PROPERTIES</t>
  </si>
  <si>
    <t>Mass:</t>
  </si>
  <si>
    <t>Starting Speed:</t>
  </si>
  <si>
    <t>Starting Position:</t>
  </si>
  <si>
    <t>SEMICONDUCTOR PROPERTIES</t>
  </si>
  <si>
    <t>On Time:</t>
  </si>
  <si>
    <t>Off Time:</t>
  </si>
  <si>
    <t>SIMULATION PROPERTIES</t>
  </si>
  <si>
    <t>Time Increment:</t>
  </si>
  <si>
    <t>Coil force mapping</t>
  </si>
  <si>
    <t>coil: 328T 30 x 20</t>
  </si>
  <si>
    <t>536uH 0.86 ohm</t>
  </si>
  <si>
    <t>7.5 x 50mm steel rod</t>
  </si>
  <si>
    <t>Impulse:</t>
  </si>
  <si>
    <t>7.5 x 100mm steel rod</t>
  </si>
  <si>
    <t>distance (mm)</t>
  </si>
  <si>
    <t>force</t>
  </si>
  <si>
    <t>coil inductance</t>
  </si>
  <si>
    <t>multiplier</t>
  </si>
  <si>
    <t>time constant</t>
  </si>
  <si>
    <t>inductance</t>
  </si>
  <si>
    <t>length</t>
  </si>
  <si>
    <t>impulse</t>
  </si>
  <si>
    <t>40L</t>
  </si>
  <si>
    <t>30L</t>
  </si>
  <si>
    <t>20L</t>
  </si>
  <si>
    <t>10L</t>
  </si>
  <si>
    <t>this one first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</si>
</sst>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164" formatCode="0.0"/>
    <numFmt numFmtId="165" formatCode="0.0000"/>
    <numFmt numFmtId="166" formatCode="0\ &quot;V&quot;"/>
    <numFmt numFmtId="167" formatCode="0\ &quot;μF&quot;"/>
    <numFmt numFmtId="168" formatCode="0.00\ &quot;C&quot;"/>
    <numFmt numFmtId="169" formatCode="0.0\ &quot;J&quot;"/>
    <numFmt numFmtId="170" formatCode="&quot;#&quot;\ 0"/>
    <numFmt numFmtId="171" formatCode="0.00\ &quot;ms&quot;"/>
    <numFmt numFmtId="172" formatCode="0.0\ &quot;V&quot;"/>
    <numFmt numFmtId="173" formatCode="0.0\ &quot;%&quot;"/>
    <numFmt numFmtId="174" formatCode="0.0\ &quot;A&quot;"/>
    <numFmt numFmtId="175" formatCode="0.0\ &quot;μH&quot;"/>
    <numFmt numFmtId="176" formatCode="0.0\ &quot;N&quot;"/>
    <numFmt numFmtId="177" formatCode="0.0\ &quot;M/S²&quot;"/>
    <numFmt numFmtId="178" formatCode="0.00\ &quot;m/s&quot;"/>
    <numFmt numFmtId="179" formatCode="0.00\ &quot;mm&quot;"/>
    <numFmt numFmtId="180" formatCode="0.00\ &quot;J&quot;"/>
    <numFmt numFmtId="181" formatCode="0.0\ \J"/>
    <numFmt numFmtId="182" formatCode="0\ &quot;J&quot;"/>
    <numFmt numFmtId="183" formatCode="&quot;(+&quot;0.00\ &quot;m/s)&quot;"/>
    <numFmt numFmtId="184" formatCode="&quot;(+&quot;0.00\ &quot;J)&quot;"/>
    <numFmt numFmtId="185" formatCode="\(0.00%\)"/>
    <numFmt numFmtId="186" formatCode="0.00\ &quot;Ω&quot;"/>
    <numFmt numFmtId="187" formatCode="0\ &quot;μH&quot;"/>
    <numFmt numFmtId="188" formatCode="0.0\ &quot;g&quot;"/>
    <numFmt numFmtId="189" formatCode="0.00\ &quot;M/S&quot;"/>
    <numFmt numFmtId="190" formatCode="0.0\ &quot;ms&quot;"/>
    <numFmt numFmtId="191" formatCode="0.0\ &quot;mm&quot;"/>
    <numFmt numFmtId="192" formatCode="0.000\ &quot;N&quot;"/>
    <numFmt numFmtId="193" formatCode="&quot;x&quot;\ 0.000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u/>
      <sz val="10"/>
      <color rgb="FF1155CC"/>
      <name val="Arial"/>
    </font>
    <font>
      <sz val="10"/>
      <color rgb="FF000000"/>
      <name val="Arial"/>
    </font>
    <font>
      <sz val="10"/>
      <color rgb="FFFF0000"/>
      <name val="Arial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</font>
  </fonts>
  <fills count="17">
    <fill>
      <patternFill patternType="none"/>
    </fill>
    <fill>
      <patternFill patternType="gray125"/>
    </fill>
    <fill>
      <patternFill patternType="solid">
        <fgColor rgb="FFD9D2E9"/>
        <bgColor rgb="FFD9D2E9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CE5CD"/>
        <bgColor rgb="FFFCE5CD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C9DAF8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2">
    <xf numFmtId="0" fontId="0" fillId="0" borderId="0" xfId="0" applyFont="1" applyAlignment="1"/>
    <xf numFmtId="0" fontId="1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 applyAlignment="1"/>
    <xf numFmtId="0" fontId="2" fillId="0" borderId="0" xfId="0" applyFont="1" applyAlignment="1">
      <alignment horizontal="center"/>
    </xf>
    <xf numFmtId="0" fontId="2" fillId="2" borderId="5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/>
    <xf numFmtId="0" fontId="2" fillId="3" borderId="2" xfId="0" applyFont="1" applyFill="1" applyBorder="1" applyAlignment="1">
      <alignment horizontal="left"/>
    </xf>
    <xf numFmtId="0" fontId="2" fillId="3" borderId="6" xfId="0" applyFont="1" applyFill="1" applyBorder="1" applyAlignment="1"/>
    <xf numFmtId="0" fontId="2" fillId="2" borderId="7" xfId="0" applyFont="1" applyFill="1" applyBorder="1" applyAlignment="1"/>
    <xf numFmtId="0" fontId="2" fillId="2" borderId="3" xfId="0" applyFont="1" applyFill="1" applyBorder="1" applyAlignment="1"/>
    <xf numFmtId="0" fontId="2" fillId="2" borderId="4" xfId="0" applyFont="1" applyFill="1" applyBorder="1" applyAlignment="1"/>
    <xf numFmtId="0" fontId="2" fillId="4" borderId="0" xfId="0" applyFont="1" applyFill="1" applyAlignment="1"/>
    <xf numFmtId="0" fontId="1" fillId="2" borderId="8" xfId="0" applyFont="1" applyFill="1" applyBorder="1" applyAlignment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/>
    <xf numFmtId="0" fontId="1" fillId="5" borderId="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9" xfId="0" applyFont="1" applyFill="1" applyBorder="1" applyAlignment="1"/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 applyAlignment="1"/>
    <xf numFmtId="0" fontId="2" fillId="3" borderId="12" xfId="0" applyFont="1" applyFill="1" applyBorder="1" applyAlignment="1">
      <alignment horizontal="left"/>
    </xf>
    <xf numFmtId="0" fontId="2" fillId="3" borderId="13" xfId="0" applyFont="1" applyFill="1" applyBorder="1" applyAlignment="1"/>
    <xf numFmtId="0" fontId="2" fillId="3" borderId="14" xfId="0" applyFont="1" applyFill="1" applyBorder="1" applyAlignment="1"/>
    <xf numFmtId="0" fontId="3" fillId="3" borderId="12" xfId="0" applyFont="1" applyFill="1" applyBorder="1" applyAlignment="1"/>
    <xf numFmtId="0" fontId="2" fillId="3" borderId="12" xfId="0" applyFont="1" applyFill="1" applyBorder="1" applyAlignment="1"/>
    <xf numFmtId="0" fontId="2" fillId="3" borderId="12" xfId="0" applyFont="1" applyFill="1" applyBorder="1" applyAlignment="1"/>
    <xf numFmtId="0" fontId="1" fillId="2" borderId="10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2" fillId="6" borderId="9" xfId="0" applyFont="1" applyFill="1" applyBorder="1" applyAlignment="1"/>
    <xf numFmtId="0" fontId="4" fillId="6" borderId="10" xfId="0" applyFont="1" applyFill="1" applyBorder="1" applyAlignment="1">
      <alignment horizontal="center"/>
    </xf>
    <xf numFmtId="0" fontId="2" fillId="6" borderId="11" xfId="0" applyFont="1" applyFill="1" applyBorder="1" applyAlignment="1"/>
    <xf numFmtId="0" fontId="2" fillId="3" borderId="14" xfId="0" applyFont="1" applyFill="1" applyBorder="1" applyAlignment="1"/>
    <xf numFmtId="0" fontId="2" fillId="3" borderId="0" xfId="0" applyFont="1" applyFill="1" applyAlignment="1"/>
    <xf numFmtId="0" fontId="1" fillId="2" borderId="3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2" fillId="3" borderId="9" xfId="0" applyFont="1" applyFill="1" applyBorder="1" applyAlignment="1"/>
    <xf numFmtId="0" fontId="5" fillId="3" borderId="10" xfId="0" applyFont="1" applyFill="1" applyBorder="1" applyAlignment="1">
      <alignment horizontal="center"/>
    </xf>
    <xf numFmtId="0" fontId="2" fillId="3" borderId="11" xfId="0" applyFont="1" applyFill="1" applyBorder="1" applyAlignment="1"/>
    <xf numFmtId="0" fontId="2" fillId="7" borderId="15" xfId="0" applyFont="1" applyFill="1" applyBorder="1" applyAlignment="1">
      <alignment horizontal="center"/>
    </xf>
    <xf numFmtId="0" fontId="2" fillId="8" borderId="11" xfId="0" applyFont="1" applyFill="1" applyBorder="1" applyAlignment="1">
      <alignment horizontal="center"/>
    </xf>
    <xf numFmtId="0" fontId="2" fillId="9" borderId="11" xfId="0" applyFont="1" applyFill="1" applyBorder="1" applyAlignment="1">
      <alignment horizontal="center"/>
    </xf>
    <xf numFmtId="0" fontId="2" fillId="3" borderId="14" xfId="0" applyFont="1" applyFill="1" applyBorder="1" applyAlignment="1"/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3" borderId="15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2" fillId="3" borderId="10" xfId="0" applyFont="1" applyFill="1" applyBorder="1" applyAlignment="1"/>
    <xf numFmtId="0" fontId="2" fillId="3" borderId="11" xfId="0" applyFont="1" applyFill="1" applyBorder="1" applyAlignment="1"/>
    <xf numFmtId="0" fontId="1" fillId="2" borderId="2" xfId="0" applyFont="1" applyFill="1" applyBorder="1" applyAlignment="1"/>
    <xf numFmtId="0" fontId="1" fillId="2" borderId="6" xfId="0" applyFont="1" applyFill="1" applyBorder="1" applyAlignment="1"/>
    <xf numFmtId="0" fontId="2" fillId="3" borderId="14" xfId="0" applyFont="1" applyFill="1" applyBorder="1" applyAlignment="1"/>
    <xf numFmtId="0" fontId="2" fillId="3" borderId="0" xfId="0" applyFont="1" applyFill="1" applyAlignment="1"/>
    <xf numFmtId="0" fontId="2" fillId="3" borderId="13" xfId="0" applyFont="1" applyFill="1" applyBorder="1" applyAlignment="1"/>
    <xf numFmtId="0" fontId="2" fillId="4" borderId="0" xfId="0" applyFont="1" applyFill="1" applyAlignment="1"/>
    <xf numFmtId="0" fontId="1" fillId="3" borderId="1" xfId="0" applyFont="1" applyFill="1" applyBorder="1" applyAlignment="1"/>
    <xf numFmtId="0" fontId="1" fillId="3" borderId="2" xfId="0" applyFont="1" applyFill="1" applyBorder="1" applyAlignment="1"/>
    <xf numFmtId="0" fontId="1" fillId="3" borderId="6" xfId="0" applyFont="1" applyFill="1" applyBorder="1" applyAlignment="1"/>
    <xf numFmtId="0" fontId="2" fillId="3" borderId="16" xfId="0" applyFont="1" applyFill="1" applyBorder="1" applyAlignment="1"/>
    <xf numFmtId="0" fontId="2" fillId="3" borderId="17" xfId="0" applyFont="1" applyFill="1" applyBorder="1" applyAlignment="1"/>
    <xf numFmtId="0" fontId="2" fillId="3" borderId="18" xfId="0" applyFont="1" applyFill="1" applyBorder="1" applyAlignment="1"/>
    <xf numFmtId="0" fontId="2" fillId="0" borderId="12" xfId="0" applyFont="1" applyBorder="1" applyAlignment="1"/>
    <xf numFmtId="0" fontId="2" fillId="0" borderId="12" xfId="0" applyFont="1" applyBorder="1" applyAlignment="1"/>
    <xf numFmtId="0" fontId="2" fillId="0" borderId="0" xfId="0" applyFont="1" applyAlignment="1"/>
    <xf numFmtId="0" fontId="7" fillId="2" borderId="8" xfId="0" applyFont="1" applyFill="1" applyBorder="1" applyAlignment="1"/>
    <xf numFmtId="0" fontId="1" fillId="2" borderId="3" xfId="0" applyFont="1" applyFill="1" applyBorder="1" applyAlignment="1"/>
    <xf numFmtId="0" fontId="2" fillId="3" borderId="9" xfId="0" applyFont="1" applyFill="1" applyBorder="1" applyAlignment="1"/>
    <xf numFmtId="0" fontId="1" fillId="3" borderId="10" xfId="0" applyFont="1" applyFill="1" applyBorder="1" applyAlignment="1"/>
    <xf numFmtId="0" fontId="1" fillId="3" borderId="11" xfId="0" applyFont="1" applyFill="1" applyBorder="1" applyAlignment="1"/>
    <xf numFmtId="0" fontId="1" fillId="2" borderId="5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2" fontId="1" fillId="8" borderId="5" xfId="0" applyNumberFormat="1" applyFont="1" applyFill="1" applyBorder="1" applyAlignment="1">
      <alignment horizontal="center"/>
    </xf>
    <xf numFmtId="1" fontId="1" fillId="8" borderId="5" xfId="0" applyNumberFormat="1" applyFont="1" applyFill="1" applyBorder="1" applyAlignment="1">
      <alignment horizontal="center"/>
    </xf>
    <xf numFmtId="2" fontId="1" fillId="6" borderId="5" xfId="0" applyNumberFormat="1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164" fontId="6" fillId="8" borderId="5" xfId="0" applyNumberFormat="1" applyFont="1" applyFill="1" applyBorder="1" applyAlignment="1">
      <alignment horizontal="center"/>
    </xf>
    <xf numFmtId="164" fontId="1" fillId="8" borderId="5" xfId="0" applyNumberFormat="1" applyFont="1" applyFill="1" applyBorder="1" applyAlignment="1">
      <alignment horizontal="center"/>
    </xf>
    <xf numFmtId="165" fontId="1" fillId="6" borderId="5" xfId="0" applyNumberFormat="1" applyFont="1" applyFill="1" applyBorder="1" applyAlignment="1">
      <alignment horizontal="center"/>
    </xf>
    <xf numFmtId="2" fontId="1" fillId="7" borderId="5" xfId="0" applyNumberFormat="1" applyFont="1" applyFill="1" applyBorder="1" applyAlignment="1">
      <alignment horizontal="center"/>
    </xf>
    <xf numFmtId="2" fontId="1" fillId="7" borderId="5" xfId="0" applyNumberFormat="1" applyFont="1" applyFill="1" applyBorder="1" applyAlignment="1">
      <alignment horizontal="center"/>
    </xf>
    <xf numFmtId="1" fontId="1" fillId="7" borderId="5" xfId="0" applyNumberFormat="1" applyFont="1" applyFill="1" applyBorder="1" applyAlignment="1">
      <alignment horizontal="center"/>
    </xf>
    <xf numFmtId="0" fontId="1" fillId="10" borderId="5" xfId="0" applyFont="1" applyFill="1" applyBorder="1" applyAlignment="1"/>
    <xf numFmtId="2" fontId="1" fillId="0" borderId="0" xfId="0" applyNumberFormat="1" applyFont="1"/>
    <xf numFmtId="1" fontId="1" fillId="0" borderId="0" xfId="0" applyNumberFormat="1" applyFont="1"/>
    <xf numFmtId="164" fontId="6" fillId="0" borderId="0" xfId="0" applyNumberFormat="1" applyFont="1" applyAlignment="1"/>
    <xf numFmtId="164" fontId="1" fillId="0" borderId="0" xfId="0" applyNumberFormat="1" applyFont="1"/>
    <xf numFmtId="164" fontId="1" fillId="4" borderId="0" xfId="0" applyNumberFormat="1" applyFont="1" applyFill="1" applyAlignment="1">
      <alignment horizontal="center"/>
    </xf>
    <xf numFmtId="165" fontId="1" fillId="6" borderId="5" xfId="0" applyNumberFormat="1" applyFont="1" applyFill="1" applyBorder="1" applyAlignment="1">
      <alignment horizontal="center"/>
    </xf>
    <xf numFmtId="0" fontId="1" fillId="11" borderId="5" xfId="0" applyFont="1" applyFill="1" applyBorder="1" applyAlignment="1"/>
    <xf numFmtId="0" fontId="2" fillId="0" borderId="0" xfId="0" applyFont="1" applyAlignment="1"/>
    <xf numFmtId="0" fontId="2" fillId="0" borderId="12" xfId="0" applyFont="1" applyBorder="1" applyAlignment="1"/>
    <xf numFmtId="0" fontId="2" fillId="0" borderId="0" xfId="0" applyFont="1" applyAlignment="1">
      <alignment horizontal="center"/>
    </xf>
    <xf numFmtId="0" fontId="2" fillId="0" borderId="0" xfId="0" applyFont="1" applyAlignment="1"/>
    <xf numFmtId="1" fontId="1" fillId="0" borderId="0" xfId="0" applyNumberFormat="1" applyFont="1" applyAlignment="1"/>
    <xf numFmtId="0" fontId="1" fillId="0" borderId="0" xfId="0" applyFont="1" applyAlignment="1">
      <alignment horizontal="center"/>
    </xf>
    <xf numFmtId="2" fontId="1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2" fontId="1" fillId="9" borderId="3" xfId="0" applyNumberFormat="1" applyFont="1" applyFill="1" applyBorder="1" applyAlignment="1">
      <alignment horizontal="center"/>
    </xf>
    <xf numFmtId="164" fontId="1" fillId="9" borderId="4" xfId="0" applyNumberFormat="1" applyFont="1" applyFill="1" applyBorder="1" applyAlignment="1">
      <alignment horizontal="center"/>
    </xf>
    <xf numFmtId="2" fontId="1" fillId="12" borderId="8" xfId="0" applyNumberFormat="1" applyFont="1" applyFill="1" applyBorder="1" applyAlignment="1">
      <alignment horizontal="center"/>
    </xf>
    <xf numFmtId="0" fontId="1" fillId="12" borderId="3" xfId="0" applyFont="1" applyFill="1" applyBorder="1" applyAlignment="1">
      <alignment horizontal="center"/>
    </xf>
    <xf numFmtId="164" fontId="1" fillId="12" borderId="3" xfId="0" applyNumberFormat="1" applyFont="1" applyFill="1" applyBorder="1" applyAlignment="1">
      <alignment horizontal="center"/>
    </xf>
    <xf numFmtId="2" fontId="1" fillId="12" borderId="4" xfId="0" applyNumberFormat="1" applyFont="1" applyFill="1" applyBorder="1" applyAlignment="1">
      <alignment horizontal="center"/>
    </xf>
    <xf numFmtId="2" fontId="1" fillId="8" borderId="8" xfId="0" applyNumberFormat="1" applyFont="1" applyFill="1" applyBorder="1" applyAlignment="1">
      <alignment horizontal="center"/>
    </xf>
    <xf numFmtId="164" fontId="1" fillId="8" borderId="3" xfId="0" applyNumberFormat="1" applyFont="1" applyFill="1" applyBorder="1" applyAlignment="1">
      <alignment horizontal="center"/>
    </xf>
    <xf numFmtId="2" fontId="1" fillId="8" borderId="3" xfId="0" applyNumberFormat="1" applyFont="1" applyFill="1" applyBorder="1" applyAlignment="1">
      <alignment horizontal="center"/>
    </xf>
    <xf numFmtId="2" fontId="1" fillId="8" borderId="4" xfId="0" applyNumberFormat="1" applyFont="1" applyFill="1" applyBorder="1" applyAlignment="1">
      <alignment horizontal="center"/>
    </xf>
    <xf numFmtId="164" fontId="1" fillId="7" borderId="8" xfId="0" applyNumberFormat="1" applyFont="1" applyFill="1" applyBorder="1" applyAlignment="1">
      <alignment horizontal="center"/>
    </xf>
    <xf numFmtId="164" fontId="1" fillId="7" borderId="3" xfId="0" applyNumberFormat="1" applyFont="1" applyFill="1" applyBorder="1" applyAlignment="1">
      <alignment horizontal="center"/>
    </xf>
    <xf numFmtId="2" fontId="1" fillId="7" borderId="3" xfId="0" applyNumberFormat="1" applyFont="1" applyFill="1" applyBorder="1" applyAlignment="1">
      <alignment horizontal="center"/>
    </xf>
    <xf numFmtId="2" fontId="1" fillId="7" borderId="4" xfId="0" applyNumberFormat="1" applyFont="1" applyFill="1" applyBorder="1" applyAlignment="1">
      <alignment horizontal="center"/>
    </xf>
    <xf numFmtId="0" fontId="1" fillId="13" borderId="8" xfId="0" applyFont="1" applyFill="1" applyBorder="1" applyAlignment="1">
      <alignment horizontal="center"/>
    </xf>
    <xf numFmtId="0" fontId="1" fillId="13" borderId="3" xfId="0" applyFont="1" applyFill="1" applyBorder="1" applyAlignment="1">
      <alignment horizontal="center"/>
    </xf>
    <xf numFmtId="164" fontId="1" fillId="13" borderId="3" xfId="0" applyNumberFormat="1" applyFont="1" applyFill="1" applyBorder="1" applyAlignment="1">
      <alignment horizontal="center"/>
    </xf>
    <xf numFmtId="2" fontId="1" fillId="13" borderId="3" xfId="0" applyNumberFormat="1" applyFont="1" applyFill="1" applyBorder="1" applyAlignment="1">
      <alignment horizontal="center"/>
    </xf>
    <xf numFmtId="0" fontId="1" fillId="13" borderId="3" xfId="0" applyFont="1" applyFill="1" applyBorder="1"/>
    <xf numFmtId="0" fontId="1" fillId="13" borderId="4" xfId="0" applyFont="1" applyFill="1" applyBorder="1"/>
    <xf numFmtId="0" fontId="1" fillId="0" borderId="0" xfId="0" applyFont="1" applyAlignment="1"/>
    <xf numFmtId="0" fontId="1" fillId="2" borderId="9" xfId="0" applyFont="1" applyFill="1" applyBorder="1" applyAlignment="1">
      <alignment horizontal="left"/>
    </xf>
    <xf numFmtId="0" fontId="1" fillId="2" borderId="10" xfId="0" applyFont="1" applyFill="1" applyBorder="1" applyAlignment="1">
      <alignment horizontal="center"/>
    </xf>
    <xf numFmtId="0" fontId="1" fillId="9" borderId="13" xfId="0" applyFont="1" applyFill="1" applyBorder="1" applyAlignment="1">
      <alignment horizontal="center"/>
    </xf>
    <xf numFmtId="2" fontId="1" fillId="9" borderId="19" xfId="0" applyNumberFormat="1" applyFont="1" applyFill="1" applyBorder="1" applyAlignment="1">
      <alignment horizontal="center"/>
    </xf>
    <xf numFmtId="164" fontId="1" fillId="12" borderId="19" xfId="0" applyNumberFormat="1" applyFont="1" applyFill="1" applyBorder="1" applyAlignment="1">
      <alignment horizontal="center"/>
    </xf>
    <xf numFmtId="2" fontId="1" fillId="12" borderId="19" xfId="0" applyNumberFormat="1" applyFont="1" applyFill="1" applyBorder="1" applyAlignment="1">
      <alignment horizontal="center"/>
    </xf>
    <xf numFmtId="0" fontId="1" fillId="12" borderId="19" xfId="0" applyFont="1" applyFill="1" applyBorder="1" applyAlignment="1">
      <alignment horizontal="center"/>
    </xf>
    <xf numFmtId="164" fontId="1" fillId="8" borderId="19" xfId="0" applyNumberFormat="1" applyFont="1" applyFill="1" applyBorder="1" applyAlignment="1">
      <alignment horizontal="center"/>
    </xf>
    <xf numFmtId="2" fontId="1" fillId="8" borderId="19" xfId="0" applyNumberFormat="1" applyFont="1" applyFill="1" applyBorder="1" applyAlignment="1">
      <alignment horizontal="center"/>
    </xf>
    <xf numFmtId="164" fontId="1" fillId="7" borderId="19" xfId="0" applyNumberFormat="1" applyFont="1" applyFill="1" applyBorder="1" applyAlignment="1">
      <alignment horizontal="center"/>
    </xf>
    <xf numFmtId="2" fontId="1" fillId="7" borderId="19" xfId="0" applyNumberFormat="1" applyFont="1" applyFill="1" applyBorder="1" applyAlignment="1">
      <alignment horizontal="center"/>
    </xf>
    <xf numFmtId="0" fontId="1" fillId="13" borderId="19" xfId="0" applyFont="1" applyFill="1" applyBorder="1" applyAlignment="1">
      <alignment horizontal="center"/>
    </xf>
    <xf numFmtId="2" fontId="1" fillId="13" borderId="19" xfId="0" applyNumberFormat="1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9" borderId="15" xfId="0" applyFont="1" applyFill="1" applyBorder="1" applyAlignment="1">
      <alignment horizontal="center"/>
    </xf>
    <xf numFmtId="2" fontId="1" fillId="9" borderId="15" xfId="0" applyNumberFormat="1" applyFont="1" applyFill="1" applyBorder="1" applyAlignment="1">
      <alignment horizontal="center"/>
    </xf>
    <xf numFmtId="164" fontId="1" fillId="12" borderId="15" xfId="0" applyNumberFormat="1" applyFont="1" applyFill="1" applyBorder="1" applyAlignment="1">
      <alignment horizontal="center"/>
    </xf>
    <xf numFmtId="2" fontId="1" fillId="12" borderId="15" xfId="0" applyNumberFormat="1" applyFont="1" applyFill="1" applyBorder="1" applyAlignment="1">
      <alignment horizontal="center"/>
    </xf>
    <xf numFmtId="0" fontId="1" fillId="12" borderId="15" xfId="0" applyFont="1" applyFill="1" applyBorder="1" applyAlignment="1">
      <alignment horizontal="center"/>
    </xf>
    <xf numFmtId="164" fontId="1" fillId="8" borderId="15" xfId="0" applyNumberFormat="1" applyFont="1" applyFill="1" applyBorder="1" applyAlignment="1">
      <alignment horizontal="center"/>
    </xf>
    <xf numFmtId="2" fontId="8" fillId="8" borderId="15" xfId="0" applyNumberFormat="1" applyFont="1" applyFill="1" applyBorder="1" applyAlignment="1">
      <alignment horizontal="center"/>
    </xf>
    <xf numFmtId="164" fontId="8" fillId="8" borderId="15" xfId="0" applyNumberFormat="1" applyFont="1" applyFill="1" applyBorder="1" applyAlignment="1">
      <alignment horizontal="center"/>
    </xf>
    <xf numFmtId="2" fontId="1" fillId="8" borderId="15" xfId="0" applyNumberFormat="1" applyFont="1" applyFill="1" applyBorder="1" applyAlignment="1">
      <alignment horizontal="center"/>
    </xf>
    <xf numFmtId="164" fontId="1" fillId="7" borderId="15" xfId="0" applyNumberFormat="1" applyFont="1" applyFill="1" applyBorder="1" applyAlignment="1">
      <alignment horizontal="center"/>
    </xf>
    <xf numFmtId="2" fontId="1" fillId="7" borderId="15" xfId="0" applyNumberFormat="1" applyFont="1" applyFill="1" applyBorder="1" applyAlignment="1">
      <alignment horizontal="center"/>
    </xf>
    <xf numFmtId="0" fontId="1" fillId="13" borderId="15" xfId="0" applyFont="1" applyFill="1" applyBorder="1" applyAlignment="1">
      <alignment horizontal="center"/>
    </xf>
    <xf numFmtId="164" fontId="1" fillId="13" borderId="15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166" fontId="1" fillId="0" borderId="5" xfId="0" applyNumberFormat="1" applyFont="1" applyBorder="1" applyAlignment="1">
      <alignment horizontal="center"/>
    </xf>
    <xf numFmtId="167" fontId="1" fillId="0" borderId="5" xfId="0" applyNumberFormat="1" applyFont="1" applyBorder="1" applyAlignment="1">
      <alignment horizontal="center"/>
    </xf>
    <xf numFmtId="168" fontId="1" fillId="14" borderId="5" xfId="0" applyNumberFormat="1" applyFont="1" applyFill="1" applyBorder="1" applyAlignment="1">
      <alignment horizontal="center"/>
    </xf>
    <xf numFmtId="169" fontId="1" fillId="14" borderId="5" xfId="0" applyNumberFormat="1" applyFont="1" applyFill="1" applyBorder="1" applyAlignment="1">
      <alignment horizontal="center"/>
    </xf>
    <xf numFmtId="170" fontId="1" fillId="0" borderId="20" xfId="0" applyNumberFormat="1" applyFont="1" applyBorder="1" applyAlignment="1">
      <alignment horizontal="center"/>
    </xf>
    <xf numFmtId="171" fontId="1" fillId="0" borderId="20" xfId="0" applyNumberFormat="1" applyFont="1" applyBorder="1" applyAlignment="1">
      <alignment horizontal="center"/>
    </xf>
    <xf numFmtId="171" fontId="1" fillId="0" borderId="20" xfId="0" applyNumberFormat="1" applyFont="1" applyBorder="1" applyAlignment="1">
      <alignment horizontal="center"/>
    </xf>
    <xf numFmtId="172" fontId="1" fillId="0" borderId="20" xfId="0" applyNumberFormat="1" applyFont="1" applyBorder="1" applyAlignment="1">
      <alignment horizontal="center"/>
    </xf>
    <xf numFmtId="168" fontId="1" fillId="0" borderId="20" xfId="0" applyNumberFormat="1" applyFont="1" applyBorder="1" applyAlignment="1">
      <alignment horizontal="center"/>
    </xf>
    <xf numFmtId="173" fontId="1" fillId="0" borderId="20" xfId="0" applyNumberFormat="1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174" fontId="1" fillId="0" borderId="20" xfId="0" applyNumberFormat="1" applyFont="1" applyBorder="1" applyAlignment="1">
      <alignment horizontal="center"/>
    </xf>
    <xf numFmtId="174" fontId="1" fillId="0" borderId="20" xfId="0" applyNumberFormat="1" applyFont="1" applyBorder="1" applyAlignment="1">
      <alignment horizontal="center"/>
    </xf>
    <xf numFmtId="174" fontId="1" fillId="0" borderId="20" xfId="0" applyNumberFormat="1" applyFont="1" applyBorder="1" applyAlignment="1">
      <alignment horizontal="center"/>
    </xf>
    <xf numFmtId="175" fontId="1" fillId="0" borderId="20" xfId="0" applyNumberFormat="1" applyFont="1" applyBorder="1" applyAlignment="1">
      <alignment horizontal="center"/>
    </xf>
    <xf numFmtId="171" fontId="1" fillId="0" borderId="20" xfId="0" applyNumberFormat="1" applyFont="1" applyBorder="1" applyAlignment="1">
      <alignment horizontal="center"/>
    </xf>
    <xf numFmtId="176" fontId="1" fillId="0" borderId="20" xfId="0" applyNumberFormat="1" applyFont="1" applyBorder="1" applyAlignment="1">
      <alignment horizontal="center"/>
    </xf>
    <xf numFmtId="177" fontId="1" fillId="0" borderId="20" xfId="0" applyNumberFormat="1" applyFont="1" applyBorder="1" applyAlignment="1">
      <alignment horizontal="center"/>
    </xf>
    <xf numFmtId="178" fontId="1" fillId="0" borderId="20" xfId="0" applyNumberFormat="1" applyFont="1" applyBorder="1" applyAlignment="1">
      <alignment horizontal="center"/>
    </xf>
    <xf numFmtId="179" fontId="1" fillId="0" borderId="20" xfId="0" applyNumberFormat="1" applyFont="1" applyBorder="1" applyAlignment="1">
      <alignment horizontal="center"/>
    </xf>
    <xf numFmtId="179" fontId="1" fillId="0" borderId="13" xfId="0" applyNumberFormat="1" applyFont="1" applyBorder="1" applyAlignment="1">
      <alignment horizontal="center"/>
    </xf>
    <xf numFmtId="180" fontId="1" fillId="0" borderId="1" xfId="0" applyNumberFormat="1" applyFont="1" applyBorder="1" applyAlignment="1">
      <alignment horizontal="center"/>
    </xf>
    <xf numFmtId="181" fontId="1" fillId="0" borderId="20" xfId="0" applyNumberFormat="1" applyFont="1" applyBorder="1" applyAlignment="1">
      <alignment horizontal="center"/>
    </xf>
    <xf numFmtId="10" fontId="1" fillId="0" borderId="4" xfId="0" applyNumberFormat="1" applyFont="1" applyBorder="1" applyAlignment="1">
      <alignment horizontal="center"/>
    </xf>
    <xf numFmtId="171" fontId="1" fillId="0" borderId="5" xfId="0" applyNumberFormat="1" applyFont="1" applyBorder="1" applyAlignment="1">
      <alignment horizontal="center"/>
    </xf>
    <xf numFmtId="182" fontId="1" fillId="0" borderId="5" xfId="0" applyNumberFormat="1" applyFont="1" applyBorder="1" applyAlignment="1">
      <alignment horizontal="center"/>
    </xf>
    <xf numFmtId="172" fontId="1" fillId="0" borderId="0" xfId="0" applyNumberFormat="1" applyFont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70" fontId="1" fillId="0" borderId="19" xfId="0" applyNumberFormat="1" applyFont="1" applyBorder="1" applyAlignment="1">
      <alignment horizontal="center"/>
    </xf>
    <xf numFmtId="171" fontId="1" fillId="0" borderId="19" xfId="0" applyNumberFormat="1" applyFont="1" applyBorder="1" applyAlignment="1">
      <alignment horizontal="center"/>
    </xf>
    <xf numFmtId="171" fontId="1" fillId="0" borderId="19" xfId="0" applyNumberFormat="1" applyFont="1" applyBorder="1" applyAlignment="1">
      <alignment horizontal="center"/>
    </xf>
    <xf numFmtId="172" fontId="1" fillId="0" borderId="19" xfId="0" applyNumberFormat="1" applyFont="1" applyBorder="1" applyAlignment="1">
      <alignment horizontal="center"/>
    </xf>
    <xf numFmtId="168" fontId="1" fillId="0" borderId="19" xfId="0" applyNumberFormat="1" applyFont="1" applyBorder="1" applyAlignment="1">
      <alignment horizontal="center"/>
    </xf>
    <xf numFmtId="173" fontId="1" fillId="0" borderId="19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174" fontId="1" fillId="0" borderId="19" xfId="0" applyNumberFormat="1" applyFont="1" applyBorder="1" applyAlignment="1">
      <alignment horizontal="center"/>
    </xf>
    <xf numFmtId="174" fontId="1" fillId="0" borderId="19" xfId="0" applyNumberFormat="1" applyFont="1" applyBorder="1" applyAlignment="1">
      <alignment horizontal="center"/>
    </xf>
    <xf numFmtId="175" fontId="1" fillId="0" borderId="19" xfId="0" applyNumberFormat="1" applyFont="1" applyBorder="1" applyAlignment="1">
      <alignment horizontal="center"/>
    </xf>
    <xf numFmtId="171" fontId="1" fillId="0" borderId="19" xfId="0" applyNumberFormat="1" applyFont="1" applyBorder="1" applyAlignment="1">
      <alignment horizontal="center"/>
    </xf>
    <xf numFmtId="176" fontId="1" fillId="0" borderId="19" xfId="0" applyNumberFormat="1" applyFont="1" applyBorder="1" applyAlignment="1">
      <alignment horizontal="center"/>
    </xf>
    <xf numFmtId="177" fontId="1" fillId="0" borderId="19" xfId="0" applyNumberFormat="1" applyFont="1" applyBorder="1" applyAlignment="1">
      <alignment horizontal="center"/>
    </xf>
    <xf numFmtId="178" fontId="1" fillId="0" borderId="19" xfId="0" applyNumberFormat="1" applyFont="1" applyBorder="1" applyAlignment="1">
      <alignment horizontal="center"/>
    </xf>
    <xf numFmtId="179" fontId="1" fillId="0" borderId="19" xfId="0" applyNumberFormat="1" applyFont="1" applyBorder="1" applyAlignment="1">
      <alignment horizontal="center"/>
    </xf>
    <xf numFmtId="183" fontId="1" fillId="0" borderId="15" xfId="0" applyNumberFormat="1" applyFont="1" applyBorder="1" applyAlignment="1">
      <alignment horizontal="center"/>
    </xf>
    <xf numFmtId="184" fontId="1" fillId="0" borderId="9" xfId="0" applyNumberFormat="1" applyFont="1" applyBorder="1" applyAlignment="1">
      <alignment horizontal="center"/>
    </xf>
    <xf numFmtId="185" fontId="1" fillId="0" borderId="1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186" fontId="1" fillId="0" borderId="5" xfId="0" applyNumberFormat="1" applyFont="1" applyBorder="1" applyAlignment="1">
      <alignment horizontal="center"/>
    </xf>
    <xf numFmtId="187" fontId="1" fillId="0" borderId="5" xfId="0" applyNumberFormat="1" applyFont="1" applyBorder="1" applyAlignment="1">
      <alignment horizontal="center"/>
    </xf>
    <xf numFmtId="171" fontId="1" fillId="0" borderId="5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188" fontId="1" fillId="0" borderId="5" xfId="0" applyNumberFormat="1" applyFont="1" applyBorder="1" applyAlignment="1">
      <alignment horizontal="center"/>
    </xf>
    <xf numFmtId="189" fontId="1" fillId="0" borderId="5" xfId="0" applyNumberFormat="1" applyFont="1" applyBorder="1" applyAlignment="1">
      <alignment horizontal="center"/>
    </xf>
    <xf numFmtId="179" fontId="1" fillId="0" borderId="5" xfId="0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90" fontId="1" fillId="0" borderId="5" xfId="0" applyNumberFormat="1" applyFont="1" applyBorder="1" applyAlignment="1">
      <alignment horizontal="center"/>
    </xf>
    <xf numFmtId="190" fontId="1" fillId="0" borderId="5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70" fontId="1" fillId="0" borderId="0" xfId="0" applyNumberFormat="1" applyFont="1" applyAlignment="1">
      <alignment horizontal="center"/>
    </xf>
    <xf numFmtId="171" fontId="1" fillId="0" borderId="0" xfId="0" applyNumberFormat="1" applyFont="1" applyAlignment="1">
      <alignment horizontal="center"/>
    </xf>
    <xf numFmtId="171" fontId="1" fillId="0" borderId="0" xfId="0" applyNumberFormat="1" applyFont="1" applyAlignment="1">
      <alignment horizontal="center"/>
    </xf>
    <xf numFmtId="172" fontId="1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173" fontId="1" fillId="0" borderId="0" xfId="0" applyNumberFormat="1" applyFont="1" applyAlignment="1">
      <alignment horizontal="center"/>
    </xf>
    <xf numFmtId="174" fontId="1" fillId="0" borderId="0" xfId="0" applyNumberFormat="1" applyFont="1" applyAlignment="1">
      <alignment horizontal="center"/>
    </xf>
    <xf numFmtId="174" fontId="1" fillId="0" borderId="0" xfId="0" applyNumberFormat="1" applyFont="1" applyAlignment="1">
      <alignment horizontal="center"/>
    </xf>
    <xf numFmtId="175" fontId="1" fillId="0" borderId="0" xfId="0" applyNumberFormat="1" applyFont="1" applyAlignment="1">
      <alignment horizontal="center"/>
    </xf>
    <xf numFmtId="171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/>
    </xf>
    <xf numFmtId="178" fontId="1" fillId="0" borderId="0" xfId="0" applyNumberFormat="1" applyFont="1" applyAlignment="1">
      <alignment horizontal="center"/>
    </xf>
    <xf numFmtId="179" fontId="1" fillId="0" borderId="0" xfId="0" applyNumberFormat="1" applyFont="1" applyAlignment="1">
      <alignment horizontal="center"/>
    </xf>
    <xf numFmtId="191" fontId="1" fillId="0" borderId="0" xfId="0" applyNumberFormat="1" applyFont="1"/>
    <xf numFmtId="188" fontId="1" fillId="0" borderId="0" xfId="0" applyNumberFormat="1" applyFont="1"/>
    <xf numFmtId="192" fontId="1" fillId="0" borderId="0" xfId="0" applyNumberFormat="1" applyFont="1"/>
    <xf numFmtId="187" fontId="1" fillId="0" borderId="0" xfId="0" applyNumberFormat="1" applyFont="1"/>
    <xf numFmtId="193" fontId="1" fillId="0" borderId="0" xfId="0" applyNumberFormat="1" applyFont="1"/>
    <xf numFmtId="171" fontId="1" fillId="0" borderId="0" xfId="0" applyNumberFormat="1" applyFont="1"/>
    <xf numFmtId="188" fontId="1" fillId="0" borderId="0" xfId="0" applyNumberFormat="1" applyFont="1"/>
    <xf numFmtId="187" fontId="1" fillId="0" borderId="0" xfId="0" applyNumberFormat="1" applyFont="1"/>
    <xf numFmtId="193" fontId="1" fillId="0" borderId="0" xfId="0" applyNumberFormat="1" applyFont="1"/>
    <xf numFmtId="171" fontId="1" fillId="0" borderId="0" xfId="0" applyNumberFormat="1" applyFont="1"/>
    <xf numFmtId="191" fontId="1" fillId="13" borderId="0" xfId="0" applyNumberFormat="1" applyFont="1" applyFill="1" applyAlignment="1"/>
    <xf numFmtId="188" fontId="1" fillId="13" borderId="0" xfId="0" applyNumberFormat="1" applyFont="1" applyFill="1"/>
    <xf numFmtId="192" fontId="1" fillId="13" borderId="0" xfId="0" applyNumberFormat="1" applyFont="1" applyFill="1"/>
    <xf numFmtId="192" fontId="1" fillId="13" borderId="0" xfId="0" applyNumberFormat="1" applyFont="1" applyFill="1" applyAlignment="1"/>
    <xf numFmtId="191" fontId="1" fillId="0" borderId="0" xfId="0" applyNumberFormat="1" applyFont="1" applyAlignment="1"/>
    <xf numFmtId="188" fontId="1" fillId="7" borderId="0" xfId="0" applyNumberFormat="1" applyFont="1" applyFill="1" applyAlignment="1"/>
    <xf numFmtId="192" fontId="1" fillId="7" borderId="0" xfId="0" applyNumberFormat="1" applyFont="1" applyFill="1"/>
    <xf numFmtId="187" fontId="1" fillId="0" borderId="0" xfId="0" applyNumberFormat="1" applyFont="1" applyAlignment="1"/>
    <xf numFmtId="4" fontId="1" fillId="0" borderId="0" xfId="0" applyNumberFormat="1" applyFont="1"/>
    <xf numFmtId="188" fontId="1" fillId="8" borderId="0" xfId="0" applyNumberFormat="1" applyFont="1" applyFill="1" applyAlignment="1"/>
    <xf numFmtId="192" fontId="1" fillId="8" borderId="0" xfId="0" applyNumberFormat="1" applyFont="1" applyFill="1"/>
    <xf numFmtId="187" fontId="1" fillId="0" borderId="0" xfId="0" applyNumberFormat="1" applyFont="1" applyAlignment="1"/>
    <xf numFmtId="191" fontId="1" fillId="13" borderId="0" xfId="0" applyNumberFormat="1" applyFont="1" applyFill="1" applyAlignment="1">
      <alignment horizontal="center"/>
    </xf>
    <xf numFmtId="188" fontId="1" fillId="7" borderId="0" xfId="0" applyNumberFormat="1" applyFont="1" applyFill="1" applyAlignment="1">
      <alignment horizontal="center"/>
    </xf>
    <xf numFmtId="192" fontId="1" fillId="7" borderId="0" xfId="0" applyNumberFormat="1" applyFont="1" applyFill="1" applyAlignment="1">
      <alignment horizontal="center"/>
    </xf>
    <xf numFmtId="187" fontId="1" fillId="7" borderId="0" xfId="0" applyNumberFormat="1" applyFont="1" applyFill="1" applyAlignment="1">
      <alignment horizontal="center"/>
    </xf>
    <xf numFmtId="193" fontId="1" fillId="7" borderId="0" xfId="0" applyNumberFormat="1" applyFont="1" applyFill="1" applyAlignment="1">
      <alignment horizontal="center"/>
    </xf>
    <xf numFmtId="171" fontId="1" fillId="7" borderId="0" xfId="0" applyNumberFormat="1" applyFont="1" applyFill="1" applyAlignment="1">
      <alignment horizontal="center"/>
    </xf>
    <xf numFmtId="188" fontId="1" fillId="8" borderId="0" xfId="0" applyNumberFormat="1" applyFont="1" applyFill="1" applyAlignment="1">
      <alignment horizontal="center"/>
    </xf>
    <xf numFmtId="192" fontId="1" fillId="8" borderId="0" xfId="0" applyNumberFormat="1" applyFont="1" applyFill="1" applyAlignment="1">
      <alignment horizontal="center"/>
    </xf>
    <xf numFmtId="187" fontId="1" fillId="8" borderId="0" xfId="0" applyNumberFormat="1" applyFont="1" applyFill="1" applyAlignment="1">
      <alignment horizontal="center"/>
    </xf>
    <xf numFmtId="193" fontId="1" fillId="8" borderId="0" xfId="0" applyNumberFormat="1" applyFont="1" applyFill="1" applyAlignment="1">
      <alignment horizontal="center"/>
    </xf>
    <xf numFmtId="171" fontId="1" fillId="8" borderId="0" xfId="0" applyNumberFormat="1" applyFont="1" applyFill="1" applyAlignment="1">
      <alignment horizontal="center"/>
    </xf>
    <xf numFmtId="191" fontId="1" fillId="0" borderId="0" xfId="0" applyNumberFormat="1" applyFont="1" applyAlignment="1">
      <alignment horizontal="center"/>
    </xf>
    <xf numFmtId="188" fontId="1" fillId="0" borderId="0" xfId="0" applyNumberFormat="1" applyFont="1" applyAlignment="1">
      <alignment horizontal="center"/>
    </xf>
    <xf numFmtId="192" fontId="1" fillId="0" borderId="0" xfId="0" applyNumberFormat="1" applyFont="1" applyAlignment="1">
      <alignment horizontal="center"/>
    </xf>
    <xf numFmtId="187" fontId="1" fillId="0" borderId="0" xfId="0" applyNumberFormat="1" applyFont="1" applyAlignment="1">
      <alignment horizontal="center"/>
    </xf>
    <xf numFmtId="193" fontId="1" fillId="0" borderId="0" xfId="0" applyNumberFormat="1" applyFont="1" applyAlignment="1">
      <alignment horizontal="center"/>
    </xf>
    <xf numFmtId="188" fontId="1" fillId="0" borderId="0" xfId="0" applyNumberFormat="1" applyFont="1" applyAlignment="1">
      <alignment horizontal="center"/>
    </xf>
    <xf numFmtId="187" fontId="1" fillId="0" borderId="0" xfId="0" applyNumberFormat="1" applyFont="1" applyAlignment="1">
      <alignment horizontal="center"/>
    </xf>
    <xf numFmtId="193" fontId="1" fillId="0" borderId="0" xfId="0" applyNumberFormat="1" applyFont="1" applyAlignment="1">
      <alignment horizontal="center"/>
    </xf>
    <xf numFmtId="188" fontId="1" fillId="0" borderId="0" xfId="0" applyNumberFormat="1" applyFont="1" applyAlignment="1">
      <alignment horizontal="center"/>
    </xf>
    <xf numFmtId="191" fontId="1" fillId="0" borderId="0" xfId="0" applyNumberFormat="1" applyFont="1" applyAlignment="1">
      <alignment horizontal="center"/>
    </xf>
    <xf numFmtId="0" fontId="1" fillId="0" borderId="0" xfId="0" applyFont="1"/>
    <xf numFmtId="191" fontId="2" fillId="14" borderId="5" xfId="0" applyNumberFormat="1" applyFont="1" applyFill="1" applyBorder="1" applyAlignment="1">
      <alignment horizontal="center"/>
    </xf>
    <xf numFmtId="187" fontId="2" fillId="14" borderId="5" xfId="0" applyNumberFormat="1" applyFont="1" applyFill="1" applyBorder="1" applyAlignment="1">
      <alignment horizontal="center"/>
    </xf>
    <xf numFmtId="192" fontId="2" fillId="14" borderId="5" xfId="0" applyNumberFormat="1" applyFont="1" applyFill="1" applyBorder="1" applyAlignment="1">
      <alignment horizontal="center"/>
    </xf>
    <xf numFmtId="2" fontId="1" fillId="15" borderId="5" xfId="0" applyNumberFormat="1" applyFont="1" applyFill="1" applyBorder="1" applyAlignment="1">
      <alignment horizontal="center"/>
    </xf>
    <xf numFmtId="0" fontId="1" fillId="15" borderId="5" xfId="0" applyFont="1" applyFill="1" applyBorder="1" applyAlignment="1">
      <alignment horizontal="center"/>
    </xf>
    <xf numFmtId="0" fontId="0" fillId="16" borderId="0" xfId="0" applyFont="1" applyFill="1" applyAlignment="1"/>
  </cellXfs>
  <cellStyles count="1">
    <cellStyle name="Standard" xfId="0" builtinId="0"/>
  </cellStyles>
  <dxfs count="4">
    <dxf>
      <fill>
        <patternFill patternType="solid">
          <fgColor rgb="FFCFE2F3"/>
          <bgColor rgb="FFCFE2F3"/>
        </patternFill>
      </fill>
    </dxf>
    <dxf>
      <fill>
        <patternFill patternType="solid">
          <fgColor rgb="FFCFE2F3"/>
          <bgColor rgb="FFCFE2F3"/>
        </patternFill>
      </fill>
    </dxf>
    <dxf>
      <font>
        <color rgb="FFFF0000"/>
      </font>
      <fill>
        <patternFill patternType="none"/>
      </fill>
    </dxf>
    <dxf>
      <font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de-DE" b="0">
                <a:solidFill>
                  <a:srgbClr val="757575"/>
                </a:solidFill>
                <a:latin typeface="+mn-lt"/>
              </a:rPr>
              <a:t>Field vs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Coil 1: 10L x 30W 0.68mm (643A)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8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0B8D-448B-B457-1B622B339C37}"/>
              </c:ext>
            </c:extLst>
          </c:dPt>
          <c:dLbls>
            <c:numFmt formatCode="#,##0.00;\(#,##0.00\)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'Coil Comparison'!$E$16:$E$31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'Coil Comparison'!$F$16:$F$31</c:f>
            </c:numRef>
          </c:val>
          <c:smooth val="1"/>
          <c:extLst>
            <c:ext xmlns:c16="http://schemas.microsoft.com/office/drawing/2014/chart" uri="{C3380CC4-5D6E-409C-BE32-E72D297353CC}">
              <c16:uniqueId val="{00000001-0B8D-448B-B457-1B622B339C37}"/>
            </c:ext>
          </c:extLst>
        </c:ser>
        <c:ser>
          <c:idx val="1"/>
          <c:order val="1"/>
          <c:tx>
            <c:v>Coil 2 50L x 30W 1.02mm (661A)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numFmt formatCode="#,##0.00;\(#,##0.00\)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'Coil Comparison'!$E$16:$E$31</c:f>
              <c:numCache>
                <c:formatCode>General</c:formatCode>
                <c:ptCount val="1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</c:numCache>
            </c:numRef>
          </c:cat>
          <c:val>
            <c:numRef>
              <c:f>'Coil Comparison'!$G$16:$G$31</c:f>
              <c:numCache>
                <c:formatCode>0.00</c:formatCode>
                <c:ptCount val="16"/>
                <c:pt idx="0" formatCode="General">
                  <c:v>0</c:v>
                </c:pt>
                <c:pt idx="1">
                  <c:v>5.3045999999999998</c:v>
                </c:pt>
                <c:pt idx="2">
                  <c:v>7.2673019999999999</c:v>
                </c:pt>
                <c:pt idx="3">
                  <c:v>7.9935017400000001</c:v>
                </c:pt>
                <c:pt idx="4">
                  <c:v>8.2621956438000002</c:v>
                </c:pt>
                <c:pt idx="5">
                  <c:v>8.3616123882059998</c:v>
                </c:pt>
                <c:pt idx="6">
                  <c:v>8.3983965836362202</c:v>
                </c:pt>
                <c:pt idx="7">
                  <c:v>8.4120067359454005</c:v>
                </c:pt>
                <c:pt idx="8">
                  <c:v>8.4170424922997977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B8D-448B-B457-1B622B339C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1273869"/>
        <c:axId val="1403863440"/>
      </c:lineChart>
      <c:catAx>
        <c:axId val="16612738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de-DE" b="0">
                    <a:solidFill>
                      <a:srgbClr val="000000"/>
                    </a:solidFill>
                    <a:latin typeface="+mn-lt"/>
                  </a:rPr>
                  <a:t>Time: (ms)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1403863440"/>
        <c:crosses val="autoZero"/>
        <c:auto val="1"/>
        <c:lblAlgn val="ctr"/>
        <c:lblOffset val="100"/>
        <c:noMultiLvlLbl val="1"/>
      </c:catAx>
      <c:valAx>
        <c:axId val="140386344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de-DE"/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166127386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de-DE" b="0">
                <a:solidFill>
                  <a:srgbClr val="757575"/>
                </a:solidFill>
                <a:latin typeface="+mn-lt"/>
              </a:rPr>
              <a:t>Distance vs Field Strength (%)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10L x 50W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10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'Coil Comparison'!$K$16:$K$23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16</c:v>
                </c:pt>
                <c:pt idx="6">
                  <c:v>32</c:v>
                </c:pt>
                <c:pt idx="7">
                  <c:v>64</c:v>
                </c:pt>
              </c:numCache>
            </c:numRef>
          </c:cat>
          <c:val>
            <c:numRef>
              <c:f>'Coil Comparison'!$L$16:$L$23</c:f>
            </c:numRef>
          </c:val>
          <c:smooth val="1"/>
          <c:extLst>
            <c:ext xmlns:c16="http://schemas.microsoft.com/office/drawing/2014/chart" uri="{C3380CC4-5D6E-409C-BE32-E72D297353CC}">
              <c16:uniqueId val="{00000000-0195-4E19-A85D-22E7551660E5}"/>
            </c:ext>
          </c:extLst>
        </c:ser>
        <c:ser>
          <c:idx val="1"/>
          <c:order val="1"/>
          <c:tx>
            <c:v>30L x 30W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10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/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'Coil Comparison'!$K$16:$K$23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8</c:v>
                </c:pt>
                <c:pt idx="5">
                  <c:v>16</c:v>
                </c:pt>
                <c:pt idx="6">
                  <c:v>32</c:v>
                </c:pt>
                <c:pt idx="7">
                  <c:v>64</c:v>
                </c:pt>
              </c:numCache>
            </c:numRef>
          </c:cat>
          <c:val>
            <c:numRef>
              <c:f>'Coil Comparison'!$M$16:$M$23</c:f>
              <c:numCache>
                <c:formatCode>0</c:formatCode>
                <c:ptCount val="8"/>
                <c:pt idx="0">
                  <c:v>100</c:v>
                </c:pt>
                <c:pt idx="1">
                  <c:v>99.157570071258903</c:v>
                </c:pt>
                <c:pt idx="2">
                  <c:v>96.640622327790979</c:v>
                </c:pt>
                <c:pt idx="3">
                  <c:v>87.142722090261287</c:v>
                </c:pt>
                <c:pt idx="4">
                  <c:v>60.395076009501189</c:v>
                </c:pt>
                <c:pt idx="5">
                  <c:v>26.491334916864606</c:v>
                </c:pt>
                <c:pt idx="6">
                  <c:v>6.8872327790973866</c:v>
                </c:pt>
                <c:pt idx="7">
                  <c:v>1.1525534441805227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195-4E19-A85D-22E755166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5139491"/>
        <c:axId val="1887583756"/>
      </c:lineChart>
      <c:catAx>
        <c:axId val="1515139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de-DE" b="0">
                    <a:solidFill>
                      <a:srgbClr val="000000"/>
                    </a:solidFill>
                    <a:latin typeface="+mn-lt"/>
                  </a:rPr>
                  <a:t>Distance From Center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1887583756"/>
        <c:crosses val="autoZero"/>
        <c:auto val="1"/>
        <c:lblAlgn val="ctr"/>
        <c:lblOffset val="100"/>
        <c:noMultiLvlLbl val="1"/>
      </c:catAx>
      <c:valAx>
        <c:axId val="188758375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de-DE"/>
              </a:p>
            </c:rich>
          </c:tx>
          <c:overlay val="0"/>
        </c:title>
        <c:numFmt formatCode="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15151394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de-DE" b="0">
                <a:solidFill>
                  <a:srgbClr val="757575"/>
                </a:solidFill>
                <a:latin typeface="+mn-lt"/>
              </a:rPr>
              <a:t>Voltage &amp; Current vs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Capacitor Voltage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'Sim 2.0 100mm'!$F$4:$F$204</c:f>
              <c:numCache>
                <c:formatCode>0.00\ "ms"</c:formatCode>
                <c:ptCount val="2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</c:numCache>
            </c:numRef>
          </c:cat>
          <c:val>
            <c:numRef>
              <c:f>'Sim 2.0 100mm'!$H$4:$H$204</c:f>
              <c:numCache>
                <c:formatCode>0.0\ "V"</c:formatCode>
                <c:ptCount val="201"/>
                <c:pt idx="0">
                  <c:v>385</c:v>
                </c:pt>
                <c:pt idx="1">
                  <c:v>385</c:v>
                </c:pt>
                <c:pt idx="2">
                  <c:v>384.76586029809249</c:v>
                </c:pt>
                <c:pt idx="3">
                  <c:v>384.22883198819881</c:v>
                </c:pt>
                <c:pt idx="4">
                  <c:v>383.37999493330432</c:v>
                </c:pt>
                <c:pt idx="5">
                  <c:v>382.2314465258396</c:v>
                </c:pt>
                <c:pt idx="6">
                  <c:v>380.80206881317281</c:v>
                </c:pt>
                <c:pt idx="7">
                  <c:v>379.11234351149926</c:v>
                </c:pt>
                <c:pt idx="8">
                  <c:v>377.18249575646632</c:v>
                </c:pt>
                <c:pt idx="9">
                  <c:v>375.03186060999155</c:v>
                </c:pt>
                <c:pt idx="10">
                  <c:v>372.67869694169673</c:v>
                </c:pt>
                <c:pt idx="11">
                  <c:v>370.14016330799643</c:v>
                </c:pt>
                <c:pt idx="12">
                  <c:v>367.43235089430794</c:v>
                </c:pt>
                <c:pt idx="13">
                  <c:v>364.57033502745537</c:v>
                </c:pt>
                <c:pt idx="14">
                  <c:v>361.56823122479051</c:v>
                </c:pt>
                <c:pt idx="15">
                  <c:v>358.43925074589413</c:v>
                </c:pt>
                <c:pt idx="16">
                  <c:v>355.19575391909325</c:v>
                </c:pt>
                <c:pt idx="17">
                  <c:v>351.84930072533217</c:v>
                </c:pt>
                <c:pt idx="18">
                  <c:v>348.4106985607425</c:v>
                </c:pt>
                <c:pt idx="19">
                  <c:v>344.89004725435558</c:v>
                </c:pt>
                <c:pt idx="20">
                  <c:v>341.29678146839319</c:v>
                </c:pt>
                <c:pt idx="21">
                  <c:v>337.63971062158259</c:v>
                </c:pt>
                <c:pt idx="22">
                  <c:v>333.92705647529937</c:v>
                </c:pt>
                <c:pt idx="23">
                  <c:v>330.16648851698699</c:v>
                </c:pt>
                <c:pt idx="24">
                  <c:v>326.36515726850928</c:v>
                </c:pt>
                <c:pt idx="25">
                  <c:v>322.52972564004909</c:v>
                </c:pt>
                <c:pt idx="26">
                  <c:v>318.66664400287596</c:v>
                </c:pt>
                <c:pt idx="27">
                  <c:v>314.78161742814603</c:v>
                </c:pt>
                <c:pt idx="28">
                  <c:v>310.87995562865575</c:v>
                </c:pt>
                <c:pt idx="29">
                  <c:v>306.96659653664125</c:v>
                </c:pt>
                <c:pt idx="30">
                  <c:v>303.04612865968642</c:v>
                </c:pt>
                <c:pt idx="31">
                  <c:v>299.12281219084559</c:v>
                </c:pt>
                <c:pt idx="32">
                  <c:v>295.20059891001125</c:v>
                </c:pt>
                <c:pt idx="33">
                  <c:v>291.28315093336471</c:v>
                </c:pt>
                <c:pt idx="34">
                  <c:v>287.37385837256261</c:v>
                </c:pt>
                <c:pt idx="35">
                  <c:v>283.47585596474437</c:v>
                </c:pt>
                <c:pt idx="36">
                  <c:v>279.59203873203586</c:v>
                </c:pt>
                <c:pt idx="37">
                  <c:v>275.72507672625596</c:v>
                </c:pt>
                <c:pt idx="38">
                  <c:v>271.87742891148417</c:v>
                </c:pt>
                <c:pt idx="39">
                  <c:v>268.05135623417499</c:v>
                </c:pt>
                <c:pt idx="40">
                  <c:v>264.24893392767336</c:v>
                </c:pt>
                <c:pt idx="41">
                  <c:v>260.47184013304741</c:v>
                </c:pt>
                <c:pt idx="42">
                  <c:v>256.72181429406197</c:v>
                </c:pt>
                <c:pt idx="43">
                  <c:v>253.00044410764062</c:v>
                </c:pt>
                <c:pt idx="44">
                  <c:v>249.30917514064143</c:v>
                </c:pt>
                <c:pt idx="45">
                  <c:v>245.64931980120602</c:v>
                </c:pt>
                <c:pt idx="46">
                  <c:v>242.02206575575306</c:v>
                </c:pt>
                <c:pt idx="47">
                  <c:v>238.42848384324779</c:v>
                </c:pt>
                <c:pt idx="48">
                  <c:v>234.86953552282262</c:v>
                </c:pt>
                <c:pt idx="49">
                  <c:v>231.34607988412898</c:v>
                </c:pt>
                <c:pt idx="50">
                  <c:v>227.8588802464179</c:v>
                </c:pt>
                <c:pt idx="51">
                  <c:v>224.40822767841155</c:v>
                </c:pt>
                <c:pt idx="52">
                  <c:v>220.99473453507505</c:v>
                </c:pt>
                <c:pt idx="53">
                  <c:v>217.61893411563958</c:v>
                </c:pt>
                <c:pt idx="54">
                  <c:v>214.28128607718057</c:v>
                </c:pt>
                <c:pt idx="55">
                  <c:v>210.98218137230646</c:v>
                </c:pt>
                <c:pt idx="56">
                  <c:v>207.72194683957213</c:v>
                </c:pt>
                <c:pt idx="57">
                  <c:v>204.50084950371735</c:v>
                </c:pt>
                <c:pt idx="58">
                  <c:v>201.31910061594414</c:v>
                </c:pt>
                <c:pt idx="59">
                  <c:v>198.17685945403147</c:v>
                </c:pt>
                <c:pt idx="60">
                  <c:v>195.07383055308816</c:v>
                </c:pt>
                <c:pt idx="61">
                  <c:v>192.01010895178808</c:v>
                </c:pt>
                <c:pt idx="62">
                  <c:v>188.98574610373532</c:v>
                </c:pt>
                <c:pt idx="63">
                  <c:v>186.00075318840524</c:v>
                </c:pt>
                <c:pt idx="64">
                  <c:v>183.05510405552388</c:v>
                </c:pt>
                <c:pt idx="65">
                  <c:v>180.14873793295095</c:v>
                </c:pt>
                <c:pt idx="66">
                  <c:v>177.28156195166676</c:v>
                </c:pt>
                <c:pt idx="67">
                  <c:v>174.45292646350552</c:v>
                </c:pt>
                <c:pt idx="68">
                  <c:v>171.66272160665514</c:v>
                </c:pt>
                <c:pt idx="69">
                  <c:v>168.91080952857439</c:v>
                </c:pt>
                <c:pt idx="70">
                  <c:v>166.19702681581521</c:v>
                </c:pt>
                <c:pt idx="71">
                  <c:v>163.52118655899665</c:v>
                </c:pt>
                <c:pt idx="72">
                  <c:v>163.52118655899665</c:v>
                </c:pt>
                <c:pt idx="73">
                  <c:v>163.52118655899665</c:v>
                </c:pt>
                <c:pt idx="74">
                  <c:v>163.52118655899665</c:v>
                </c:pt>
                <c:pt idx="75">
                  <c:v>163.52118655899665</c:v>
                </c:pt>
                <c:pt idx="76">
                  <c:v>163.52118655899665</c:v>
                </c:pt>
                <c:pt idx="77">
                  <c:v>163.52118655899665</c:v>
                </c:pt>
                <c:pt idx="78">
                  <c:v>163.52118655899665</c:v>
                </c:pt>
                <c:pt idx="79">
                  <c:v>163.52118655899665</c:v>
                </c:pt>
                <c:pt idx="80">
                  <c:v>163.52118655899665</c:v>
                </c:pt>
                <c:pt idx="81">
                  <c:v>163.52118655899665</c:v>
                </c:pt>
                <c:pt idx="82">
                  <c:v>163.52118655899665</c:v>
                </c:pt>
                <c:pt idx="83">
                  <c:v>163.52118655899665</c:v>
                </c:pt>
                <c:pt idx="84">
                  <c:v>163.52118655899665</c:v>
                </c:pt>
                <c:pt idx="85">
                  <c:v>163.52118655899665</c:v>
                </c:pt>
                <c:pt idx="86">
                  <c:v>163.52118655899665</c:v>
                </c:pt>
                <c:pt idx="87">
                  <c:v>163.52118655899665</c:v>
                </c:pt>
                <c:pt idx="88">
                  <c:v>163.52118655899665</c:v>
                </c:pt>
                <c:pt idx="89">
                  <c:v>163.52118655899665</c:v>
                </c:pt>
                <c:pt idx="90">
                  <c:v>163.52118655899665</c:v>
                </c:pt>
                <c:pt idx="91">
                  <c:v>163.52118655899665</c:v>
                </c:pt>
                <c:pt idx="92">
                  <c:v>163.52118655899665</c:v>
                </c:pt>
                <c:pt idx="93">
                  <c:v>163.52118655899665</c:v>
                </c:pt>
                <c:pt idx="94">
                  <c:v>163.52118655899665</c:v>
                </c:pt>
                <c:pt idx="95">
                  <c:v>163.52118655899665</c:v>
                </c:pt>
                <c:pt idx="96">
                  <c:v>163.52118655899665</c:v>
                </c:pt>
                <c:pt idx="97">
                  <c:v>163.52118655899665</c:v>
                </c:pt>
                <c:pt idx="98">
                  <c:v>163.52118655899665</c:v>
                </c:pt>
                <c:pt idx="99">
                  <c:v>163.52118655899665</c:v>
                </c:pt>
                <c:pt idx="100">
                  <c:v>163.52118655899665</c:v>
                </c:pt>
                <c:pt idx="101">
                  <c:v>163.52118655899665</c:v>
                </c:pt>
                <c:pt idx="102">
                  <c:v>163.52118655899665</c:v>
                </c:pt>
                <c:pt idx="103">
                  <c:v>163.52118655899665</c:v>
                </c:pt>
                <c:pt idx="104">
                  <c:v>163.52118655899665</c:v>
                </c:pt>
                <c:pt idx="105">
                  <c:v>163.52118655899665</c:v>
                </c:pt>
                <c:pt idx="106">
                  <c:v>163.52118655899665</c:v>
                </c:pt>
                <c:pt idx="107">
                  <c:v>163.52118655899665</c:v>
                </c:pt>
                <c:pt idx="108">
                  <c:v>163.52118655899665</c:v>
                </c:pt>
                <c:pt idx="109">
                  <c:v>163.52118655899665</c:v>
                </c:pt>
                <c:pt idx="110">
                  <c:v>163.52118655899665</c:v>
                </c:pt>
                <c:pt idx="111">
                  <c:v>163.52118655899665</c:v>
                </c:pt>
                <c:pt idx="112">
                  <c:v>163.52118655899665</c:v>
                </c:pt>
                <c:pt idx="113">
                  <c:v>163.52118655899665</c:v>
                </c:pt>
                <c:pt idx="114">
                  <c:v>163.52118655899665</c:v>
                </c:pt>
                <c:pt idx="115">
                  <c:v>163.52118655899665</c:v>
                </c:pt>
                <c:pt idx="116">
                  <c:v>163.52118655899665</c:v>
                </c:pt>
                <c:pt idx="117">
                  <c:v>163.52118655899665</c:v>
                </c:pt>
                <c:pt idx="118">
                  <c:v>163.52118655899665</c:v>
                </c:pt>
                <c:pt idx="119">
                  <c:v>163.52118655899665</c:v>
                </c:pt>
                <c:pt idx="120">
                  <c:v>163.52118655899665</c:v>
                </c:pt>
                <c:pt idx="121">
                  <c:v>163.52118655899665</c:v>
                </c:pt>
                <c:pt idx="122">
                  <c:v>163.52118655899665</c:v>
                </c:pt>
                <c:pt idx="123">
                  <c:v>163.52118655899665</c:v>
                </c:pt>
                <c:pt idx="124">
                  <c:v>163.52118655899665</c:v>
                </c:pt>
                <c:pt idx="125">
                  <c:v>163.52118655899665</c:v>
                </c:pt>
                <c:pt idx="126">
                  <c:v>163.52118655899665</c:v>
                </c:pt>
                <c:pt idx="127">
                  <c:v>163.52118655899665</c:v>
                </c:pt>
                <c:pt idx="128">
                  <c:v>163.52118655899665</c:v>
                </c:pt>
                <c:pt idx="129">
                  <c:v>163.52118655899665</c:v>
                </c:pt>
                <c:pt idx="130">
                  <c:v>163.52118655899665</c:v>
                </c:pt>
                <c:pt idx="131">
                  <c:v>163.52118655899665</c:v>
                </c:pt>
                <c:pt idx="132">
                  <c:v>163.52118655899665</c:v>
                </c:pt>
                <c:pt idx="133">
                  <c:v>163.52118655899665</c:v>
                </c:pt>
                <c:pt idx="134">
                  <c:v>163.52118655899665</c:v>
                </c:pt>
                <c:pt idx="135">
                  <c:v>163.52118655899665</c:v>
                </c:pt>
                <c:pt idx="136">
                  <c:v>163.52118655899665</c:v>
                </c:pt>
                <c:pt idx="137">
                  <c:v>163.52118655899665</c:v>
                </c:pt>
                <c:pt idx="138">
                  <c:v>163.52118655899665</c:v>
                </c:pt>
                <c:pt idx="139">
                  <c:v>163.52118655899665</c:v>
                </c:pt>
                <c:pt idx="140">
                  <c:v>163.52118655899665</c:v>
                </c:pt>
                <c:pt idx="141">
                  <c:v>163.52118655899665</c:v>
                </c:pt>
                <c:pt idx="142">
                  <c:v>163.52118655899665</c:v>
                </c:pt>
                <c:pt idx="143">
                  <c:v>163.52118655899665</c:v>
                </c:pt>
                <c:pt idx="144">
                  <c:v>163.52118655899665</c:v>
                </c:pt>
                <c:pt idx="145">
                  <c:v>163.52118655899665</c:v>
                </c:pt>
                <c:pt idx="146">
                  <c:v>163.52118655899665</c:v>
                </c:pt>
                <c:pt idx="147">
                  <c:v>163.52118655899665</c:v>
                </c:pt>
                <c:pt idx="148">
                  <c:v>163.52118655899665</c:v>
                </c:pt>
                <c:pt idx="149">
                  <c:v>163.52118655899665</c:v>
                </c:pt>
                <c:pt idx="150">
                  <c:v>163.52118655899665</c:v>
                </c:pt>
                <c:pt idx="151">
                  <c:v>163.52118655899665</c:v>
                </c:pt>
                <c:pt idx="152">
                  <c:v>163.52118655899665</c:v>
                </c:pt>
                <c:pt idx="153">
                  <c:v>163.52118655899665</c:v>
                </c:pt>
                <c:pt idx="154">
                  <c:v>163.52118655899665</c:v>
                </c:pt>
                <c:pt idx="155">
                  <c:v>163.52118655899665</c:v>
                </c:pt>
                <c:pt idx="156">
                  <c:v>163.52118655899665</c:v>
                </c:pt>
                <c:pt idx="157">
                  <c:v>163.52118655899665</c:v>
                </c:pt>
                <c:pt idx="158">
                  <c:v>163.52118655899665</c:v>
                </c:pt>
                <c:pt idx="159">
                  <c:v>163.52118655899665</c:v>
                </c:pt>
                <c:pt idx="160">
                  <c:v>163.52118655899665</c:v>
                </c:pt>
                <c:pt idx="161">
                  <c:v>163.52118655899665</c:v>
                </c:pt>
                <c:pt idx="162">
                  <c:v>163.52118655899665</c:v>
                </c:pt>
                <c:pt idx="163">
                  <c:v>163.52118655899665</c:v>
                </c:pt>
                <c:pt idx="164">
                  <c:v>163.52118655899665</c:v>
                </c:pt>
                <c:pt idx="165">
                  <c:v>163.52118655899665</c:v>
                </c:pt>
                <c:pt idx="166">
                  <c:v>163.52118655899665</c:v>
                </c:pt>
                <c:pt idx="167">
                  <c:v>163.52118655899665</c:v>
                </c:pt>
                <c:pt idx="168">
                  <c:v>163.52118655899665</c:v>
                </c:pt>
                <c:pt idx="169">
                  <c:v>163.52118655899665</c:v>
                </c:pt>
                <c:pt idx="170">
                  <c:v>163.52118655899665</c:v>
                </c:pt>
                <c:pt idx="171">
                  <c:v>163.52118655899665</c:v>
                </c:pt>
                <c:pt idx="172">
                  <c:v>163.52118655899665</c:v>
                </c:pt>
                <c:pt idx="173">
                  <c:v>163.52118655899665</c:v>
                </c:pt>
                <c:pt idx="174">
                  <c:v>163.52118655899665</c:v>
                </c:pt>
                <c:pt idx="175">
                  <c:v>163.52118655899665</c:v>
                </c:pt>
                <c:pt idx="176">
                  <c:v>163.52118655899665</c:v>
                </c:pt>
                <c:pt idx="177">
                  <c:v>163.52118655899665</c:v>
                </c:pt>
                <c:pt idx="178">
                  <c:v>163.52118655899665</c:v>
                </c:pt>
                <c:pt idx="179">
                  <c:v>163.52118655899665</c:v>
                </c:pt>
                <c:pt idx="180">
                  <c:v>163.52118655899665</c:v>
                </c:pt>
                <c:pt idx="181">
                  <c:v>163.52118655899665</c:v>
                </c:pt>
                <c:pt idx="182">
                  <c:v>163.52118655899665</c:v>
                </c:pt>
                <c:pt idx="183">
                  <c:v>163.52118655899665</c:v>
                </c:pt>
                <c:pt idx="184">
                  <c:v>163.52118655899665</c:v>
                </c:pt>
                <c:pt idx="185">
                  <c:v>163.52118655899665</c:v>
                </c:pt>
                <c:pt idx="186">
                  <c:v>163.52118655899665</c:v>
                </c:pt>
                <c:pt idx="187">
                  <c:v>163.52118655899665</c:v>
                </c:pt>
                <c:pt idx="188">
                  <c:v>163.52118655899665</c:v>
                </c:pt>
                <c:pt idx="189">
                  <c:v>163.52118655899665</c:v>
                </c:pt>
                <c:pt idx="190">
                  <c:v>163.52118655899665</c:v>
                </c:pt>
                <c:pt idx="191">
                  <c:v>163.52118655899665</c:v>
                </c:pt>
                <c:pt idx="192">
                  <c:v>163.52118655899665</c:v>
                </c:pt>
                <c:pt idx="193">
                  <c:v>163.52118655899665</c:v>
                </c:pt>
                <c:pt idx="194">
                  <c:v>163.52118655899665</c:v>
                </c:pt>
                <c:pt idx="195">
                  <c:v>163.52118655899665</c:v>
                </c:pt>
                <c:pt idx="196">
                  <c:v>163.52118655899665</c:v>
                </c:pt>
                <c:pt idx="197">
                  <c:v>163.52118655899665</c:v>
                </c:pt>
                <c:pt idx="198">
                  <c:v>163.52118655899665</c:v>
                </c:pt>
                <c:pt idx="199">
                  <c:v>163.52118655899665</c:v>
                </c:pt>
                <c:pt idx="200">
                  <c:v>163.52118655899665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C16-448F-801B-8498A9963C90}"/>
            </c:ext>
          </c:extLst>
        </c:ser>
        <c:ser>
          <c:idx val="1"/>
          <c:order val="1"/>
          <c:tx>
            <c:v>Coil Current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'Sim 2.0 100mm'!$F$4:$F$204</c:f>
              <c:numCache>
                <c:formatCode>0.00\ "ms"</c:formatCode>
                <c:ptCount val="2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</c:numCache>
            </c:numRef>
          </c:cat>
          <c:val>
            <c:numRef>
              <c:f>'Sim 2.0 100mm'!$N$4:$N$204</c:f>
              <c:numCache>
                <c:formatCode>0.0\ "A"</c:formatCode>
                <c:ptCount val="201"/>
                <c:pt idx="0">
                  <c:v>0</c:v>
                </c:pt>
                <c:pt idx="1">
                  <c:v>21.540852575488454</c:v>
                </c:pt>
                <c:pt idx="2">
                  <c:v>49.406604510220241</c:v>
                </c:pt>
                <c:pt idx="3">
                  <c:v>78.093009050292238</c:v>
                </c:pt>
                <c:pt idx="4">
                  <c:v>105.66645348675289</c:v>
                </c:pt>
                <c:pt idx="5">
                  <c:v>131.50274956534463</c:v>
                </c:pt>
                <c:pt idx="6">
                  <c:v>155.454727753968</c:v>
                </c:pt>
                <c:pt idx="7">
                  <c:v>177.54599346302678</c:v>
                </c:pt>
                <c:pt idx="8">
                  <c:v>197.85843347568124</c:v>
                </c:pt>
                <c:pt idx="9">
                  <c:v>216.49105748312482</c:v>
                </c:pt>
                <c:pt idx="10">
                  <c:v>233.54509430043029</c:v>
                </c:pt>
                <c:pt idx="11">
                  <c:v>249.1187420593391</c:v>
                </c:pt>
                <c:pt idx="12">
                  <c:v>263.30545975044038</c:v>
                </c:pt>
                <c:pt idx="13">
                  <c:v>276.19354984516565</c:v>
                </c:pt>
                <c:pt idx="14">
                  <c:v>287.86620405846992</c:v>
                </c:pt>
                <c:pt idx="15">
                  <c:v>298.40170806568244</c:v>
                </c:pt>
                <c:pt idx="16">
                  <c:v>307.87369382601861</c:v>
                </c:pt>
                <c:pt idx="17">
                  <c:v>316.35139914224862</c:v>
                </c:pt>
                <c:pt idx="18">
                  <c:v>323.89992018759602</c:v>
                </c:pt>
                <c:pt idx="19">
                  <c:v>330.5804523085389</c:v>
                </c:pt>
                <c:pt idx="20">
                  <c:v>336.45051790657527</c:v>
                </c:pt>
                <c:pt idx="21">
                  <c:v>341.5641814580589</c:v>
                </c:pt>
                <c:pt idx="22">
                  <c:v>345.97225216473919</c:v>
                </c:pt>
                <c:pt idx="23">
                  <c:v>349.72247485994762</c:v>
                </c:pt>
                <c:pt idx="24">
                  <c:v>352.8597098183385</c:v>
                </c:pt>
                <c:pt idx="25">
                  <c:v>355.40351061992425</c:v>
                </c:pt>
                <c:pt idx="26">
                  <c:v>357.42244487515723</c:v>
                </c:pt>
                <c:pt idx="27">
                  <c:v>358.95288555310185</c:v>
                </c:pt>
                <c:pt idx="28">
                  <c:v>360.02903646533389</c:v>
                </c:pt>
                <c:pt idx="29">
                  <c:v>360.68304467984404</c:v>
                </c:pt>
                <c:pt idx="30">
                  <c:v>360.9451151333551</c:v>
                </c:pt>
                <c:pt idx="31">
                  <c:v>360.84362183676382</c:v>
                </c:pt>
                <c:pt idx="32">
                  <c:v>360.40521385148094</c:v>
                </c:pt>
                <c:pt idx="33">
                  <c:v>359.65491559379399</c:v>
                </c:pt>
                <c:pt idx="34">
                  <c:v>358.616221519276</c:v>
                </c:pt>
                <c:pt idx="35">
                  <c:v>357.31118540918567</c:v>
                </c:pt>
                <c:pt idx="36">
                  <c:v>355.76050453174878</c:v>
                </c:pt>
                <c:pt idx="37">
                  <c:v>353.98359895900626</c:v>
                </c:pt>
                <c:pt idx="38">
                  <c:v>351.99868631244715</c:v>
                </c:pt>
                <c:pt idx="39">
                  <c:v>349.82285219814918</c:v>
                </c:pt>
                <c:pt idx="40">
                  <c:v>347.49262910558639</c:v>
                </c:pt>
                <c:pt idx="41">
                  <c:v>345.00237718665903</c:v>
                </c:pt>
                <c:pt idx="42">
                  <c:v>342.36605715076627</c:v>
                </c:pt>
                <c:pt idx="43">
                  <c:v>339.59674496392188</c:v>
                </c:pt>
                <c:pt idx="44">
                  <c:v>336.70669122805822</c:v>
                </c:pt>
                <c:pt idx="45">
                  <c:v>333.70737218167028</c:v>
                </c:pt>
                <c:pt idx="46">
                  <c:v>330.60953595048721</c:v>
                </c:pt>
                <c:pt idx="47">
                  <c:v>327.42324547911596</c:v>
                </c:pt>
                <c:pt idx="48">
                  <c:v>324.15791875981591</c:v>
                </c:pt>
                <c:pt idx="49">
                  <c:v>320.82236666942174</c:v>
                </c:pt>
                <c:pt idx="50">
                  <c:v>317.46003625658579</c:v>
                </c:pt>
                <c:pt idx="51">
                  <c:v>314.04136918695804</c:v>
                </c:pt>
                <c:pt idx="52">
                  <c:v>310.5736385880615</c:v>
                </c:pt>
                <c:pt idx="53">
                  <c:v>307.06361953822767</c:v>
                </c:pt>
                <c:pt idx="54">
                  <c:v>303.51763284841979</c:v>
                </c:pt>
                <c:pt idx="55">
                  <c:v>299.94157701155666</c:v>
                </c:pt>
                <c:pt idx="56">
                  <c:v>296.34095489864029</c:v>
                </c:pt>
                <c:pt idx="57">
                  <c:v>292.7208976751341</c:v>
                </c:pt>
                <c:pt idx="58">
                  <c:v>289.08618689596551</c:v>
                </c:pt>
                <c:pt idx="59">
                  <c:v>285.47865888678717</c:v>
                </c:pt>
                <c:pt idx="60">
                  <c:v>281.8623873196052</c:v>
                </c:pt>
                <c:pt idx="61">
                  <c:v>278.24138202085516</c:v>
                </c:pt>
                <c:pt idx="62">
                  <c:v>274.61934821036965</c:v>
                </c:pt>
                <c:pt idx="63">
                  <c:v>270.99972022508359</c:v>
                </c:pt>
                <c:pt idx="64">
                  <c:v>267.38568327670902</c:v>
                </c:pt>
                <c:pt idx="65">
                  <c:v>263.78019027814781</c:v>
                </c:pt>
                <c:pt idx="66">
                  <c:v>260.23446491083331</c:v>
                </c:pt>
                <c:pt idx="67">
                  <c:v>256.69884683023463</c:v>
                </c:pt>
                <c:pt idx="68">
                  <c:v>253.1759111834296</c:v>
                </c:pt>
                <c:pt idx="69">
                  <c:v>249.66800957384527</c:v>
                </c:pt>
                <c:pt idx="70">
                  <c:v>246.17730362730859</c:v>
                </c:pt>
                <c:pt idx="71">
                  <c:v>242.70578370279947</c:v>
                </c:pt>
                <c:pt idx="72">
                  <c:v>229.11558999428769</c:v>
                </c:pt>
                <c:pt idx="73">
                  <c:v>212.90628332821763</c:v>
                </c:pt>
                <c:pt idx="74">
                  <c:v>196.62525117554929</c:v>
                </c:pt>
                <c:pt idx="75">
                  <c:v>181.1430087378013</c:v>
                </c:pt>
                <c:pt idx="76">
                  <c:v>166.71540842565412</c:v>
                </c:pt>
                <c:pt idx="77">
                  <c:v>153.376193485708</c:v>
                </c:pt>
                <c:pt idx="78">
                  <c:v>141.08181619161846</c:v>
                </c:pt>
                <c:pt idx="79">
                  <c:v>129.76462816568602</c:v>
                </c:pt>
                <c:pt idx="80">
                  <c:v>119.35219988222367</c:v>
                </c:pt>
                <c:pt idx="81">
                  <c:v>109.77413693412271</c:v>
                </c:pt>
                <c:pt idx="82">
                  <c:v>100.96429674302841</c:v>
                </c:pt>
                <c:pt idx="83">
                  <c:v>92.86132793673741</c:v>
                </c:pt>
                <c:pt idx="84">
                  <c:v>85.408611650013526</c:v>
                </c:pt>
                <c:pt idx="85">
                  <c:v>78.554002264903161</c:v>
                </c:pt>
                <c:pt idx="86">
                  <c:v>72.249513007950199</c:v>
                </c:pt>
                <c:pt idx="87">
                  <c:v>66.450998678709382</c:v>
                </c:pt>
                <c:pt idx="88">
                  <c:v>61.117853443843103</c:v>
                </c:pt>
                <c:pt idx="89">
                  <c:v>56.212729038184904</c:v>
                </c:pt>
                <c:pt idx="90">
                  <c:v>51.70127415865614</c:v>
                </c:pt>
                <c:pt idx="91">
                  <c:v>47.551894246928114</c:v>
                </c:pt>
                <c:pt idx="92">
                  <c:v>43.735530356296181</c:v>
                </c:pt>
                <c:pt idx="93">
                  <c:v>40.225455693894567</c:v>
                </c:pt>
                <c:pt idx="94">
                  <c:v>36.997088465108945</c:v>
                </c:pt>
                <c:pt idx="95">
                  <c:v>34.02781972863098</c:v>
                </c:pt>
                <c:pt idx="96">
                  <c:v>31.296855063666985</c:v>
                </c:pt>
                <c:pt idx="97">
                  <c:v>28.785068943081871</c:v>
                </c:pt>
                <c:pt idx="98">
                  <c:v>26.474870793591776</c:v>
                </c:pt>
                <c:pt idx="99">
                  <c:v>24.350081805354961</c:v>
                </c:pt>
                <c:pt idx="100">
                  <c:v>22.395821628364963</c:v>
                </c:pt>
                <c:pt idx="101">
                  <c:v>20.598404162205821</c:v>
                </c:pt>
                <c:pt idx="102">
                  <c:v>18.945241709380969</c:v>
                </c:pt>
                <c:pt idx="103">
                  <c:v>17.424756820987877</c:v>
                </c:pt>
                <c:pt idx="104">
                  <c:v>16.026301217377384</c:v>
                </c:pt>
                <c:pt idx="105">
                  <c:v>14.740081215982764</c:v>
                </c:pt>
                <c:pt idx="106">
                  <c:v>13.557089144074048</c:v>
                </c:pt>
                <c:pt idx="107">
                  <c:v>12.469040256106634</c:v>
                </c:pt>
                <c:pt idx="108">
                  <c:v>11.46831471388299</c:v>
                </c:pt>
                <c:pt idx="109">
                  <c:v>10.547904223202172</c:v>
                </c:pt>
                <c:pt idx="110">
                  <c:v>9.7013629532822545</c:v>
                </c:pt>
                <c:pt idx="111">
                  <c:v>8.9227623952339208</c:v>
                </c:pt>
                <c:pt idx="112">
                  <c:v>8.2066498434494974</c:v>
                </c:pt>
                <c:pt idx="113">
                  <c:v>7.5480102091437598</c:v>
                </c:pt>
                <c:pt idx="114">
                  <c:v>6.942230898618579</c:v>
                </c:pt>
                <c:pt idx="115">
                  <c:v>6.3850695102864297</c:v>
                </c:pt>
                <c:pt idx="116">
                  <c:v>5.8726241242281292</c:v>
                </c:pt>
                <c:pt idx="117">
                  <c:v>5.401305976216241</c:v>
                </c:pt>
                <c:pt idx="118">
                  <c:v>4.9678143248345208</c:v>
                </c:pt>
                <c:pt idx="119">
                  <c:v>4.5691133356824727</c:v>
                </c:pt>
                <c:pt idx="120">
                  <c:v>4.2024108207801874</c:v>
                </c:pt>
                <c:pt idx="121">
                  <c:v>3.865138684280975</c:v>
                </c:pt>
                <c:pt idx="122">
                  <c:v>3.5549349375489547</c:v>
                </c:pt>
                <c:pt idx="123">
                  <c:v>3.2696271576493596</c:v>
                </c:pt>
                <c:pt idx="124">
                  <c:v>3.007217273407838</c:v>
                </c:pt>
                <c:pt idx="125">
                  <c:v>2.7658675724922812</c:v>
                </c:pt>
                <c:pt idx="126">
                  <c:v>2.5438878315217934</c:v>
                </c:pt>
                <c:pt idx="127">
                  <c:v>2.3397234790722115</c:v>
                </c:pt>
                <c:pt idx="128">
                  <c:v>2.1519447086811834</c:v>
                </c:pt>
                <c:pt idx="129">
                  <c:v>1.9792364656088572</c:v>
                </c:pt>
                <c:pt idx="130">
                  <c:v>1.8203892372293342</c:v>
                </c:pt>
                <c:pt idx="131">
                  <c:v>1.674290582556033</c:v>
                </c:pt>
                <c:pt idx="132">
                  <c:v>1.5399173415804286</c:v>
                </c:pt>
                <c:pt idx="133">
                  <c:v>1.4163284698645033</c:v>
                </c:pt>
                <c:pt idx="134">
                  <c:v>1.3026584482060359</c:v>
                </c:pt>
                <c:pt idx="135">
                  <c:v>1.1981112212232081</c:v>
                </c:pt>
                <c:pt idx="136">
                  <c:v>1.1019546224091465</c:v>
                </c:pt>
                <c:pt idx="137">
                  <c:v>1.0135152466138699</c:v>
                </c:pt>
                <c:pt idx="138">
                  <c:v>0.93217373404453852</c:v>
                </c:pt>
                <c:pt idx="139">
                  <c:v>0.85736043275685492</c:v>
                </c:pt>
                <c:pt idx="140">
                  <c:v>0.78855140926112022</c:v>
                </c:pt>
                <c:pt idx="141">
                  <c:v>0.72526477930436906</c:v>
                </c:pt>
                <c:pt idx="142">
                  <c:v>0.66705733313226878</c:v>
                </c:pt>
                <c:pt idx="143">
                  <c:v>0.61352143159677375</c:v>
                </c:pt>
                <c:pt idx="144">
                  <c:v>0.56428215137231363</c:v>
                </c:pt>
                <c:pt idx="145">
                  <c:v>0.51899465928785826</c:v>
                </c:pt>
                <c:pt idx="146">
                  <c:v>0.47734179738674604</c:v>
                </c:pt>
                <c:pt idx="147">
                  <c:v>0.43903186180193499</c:v>
                </c:pt>
                <c:pt idx="148">
                  <c:v>0.40379655989166735</c:v>
                </c:pt>
                <c:pt idx="149">
                  <c:v>0.3713891313289332</c:v>
                </c:pt>
                <c:pt idx="150">
                  <c:v>0.34158261998632222</c:v>
                </c:pt>
                <c:pt idx="151">
                  <c:v>0.31416828451390466</c:v>
                </c:pt>
                <c:pt idx="152">
                  <c:v>0.2889541364790808</c:v>
                </c:pt>
                <c:pt idx="153">
                  <c:v>0.26576359583067949</c:v>
                </c:pt>
                <c:pt idx="154">
                  <c:v>0.24443425427123489</c:v>
                </c:pt>
                <c:pt idx="155">
                  <c:v>0.22481673787707479</c:v>
                </c:pt>
                <c:pt idx="156">
                  <c:v>0.20677366100090505</c:v>
                </c:pt>
                <c:pt idx="157">
                  <c:v>0.19017866413084844</c:v>
                </c:pt>
                <c:pt idx="158">
                  <c:v>0.174915528967859</c:v>
                </c:pt>
                <c:pt idx="159">
                  <c:v>0.16087736452421059</c:v>
                </c:pt>
                <c:pt idx="160">
                  <c:v>0.14796585854313429</c:v>
                </c:pt>
                <c:pt idx="161">
                  <c:v>0.13609058899713633</c:v>
                </c:pt>
                <c:pt idx="162">
                  <c:v>0.12516839084327305</c:v>
                </c:pt>
                <c:pt idx="163">
                  <c:v>0.11512277360063475</c:v>
                </c:pt>
                <c:pt idx="164">
                  <c:v>0.10588338567120979</c:v>
                </c:pt>
                <c:pt idx="165">
                  <c:v>9.7385521652653614E-2</c:v>
                </c:pt>
                <c:pt idx="166">
                  <c:v>8.9569669192569049E-2</c:v>
                </c:pt>
                <c:pt idx="167">
                  <c:v>8.2381092210821932E-2</c:v>
                </c:pt>
                <c:pt idx="168">
                  <c:v>7.5769447571109094E-2</c:v>
                </c:pt>
                <c:pt idx="169">
                  <c:v>6.9688432517248003E-2</c:v>
                </c:pt>
                <c:pt idx="170">
                  <c:v>6.4095460405109314E-2</c:v>
                </c:pt>
                <c:pt idx="171">
                  <c:v>5.895136245927389E-2</c:v>
                </c:pt>
                <c:pt idx="172">
                  <c:v>5.4220113465752708E-2</c:v>
                </c:pt>
                <c:pt idx="173">
                  <c:v>4.9868579479737239E-2</c:v>
                </c:pt>
                <c:pt idx="174">
                  <c:v>4.5866285781523977E-2</c:v>
                </c:pt>
                <c:pt idx="175">
                  <c:v>4.218520345555897E-2</c:v>
                </c:pt>
                <c:pt idx="176">
                  <c:v>3.8799553097969966E-2</c:v>
                </c:pt>
                <c:pt idx="177">
                  <c:v>3.5685624277908168E-2</c:v>
                </c:pt>
                <c:pt idx="178">
                  <c:v>3.2821609488348918E-2</c:v>
                </c:pt>
                <c:pt idx="179">
                  <c:v>3.0187451423473399E-2</c:v>
                </c:pt>
                <c:pt idx="180">
                  <c:v>2.7764702513082273E-2</c:v>
                </c:pt>
                <c:pt idx="181">
                  <c:v>2.5536395730330886E-2</c:v>
                </c:pt>
                <c:pt idx="182">
                  <c:v>2.3486925768025035E-2</c:v>
                </c:pt>
                <c:pt idx="183">
                  <c:v>2.1601939751329603E-2</c:v>
                </c:pt>
                <c:pt idx="184">
                  <c:v>1.9868236721527866E-2</c:v>
                </c:pt>
                <c:pt idx="185">
                  <c:v>1.8273675186894808E-2</c:v>
                </c:pt>
                <c:pt idx="186">
                  <c:v>1.6807088093243539E-2</c:v>
                </c:pt>
                <c:pt idx="187">
                  <c:v>1.5458204618665405E-2</c:v>
                </c:pt>
                <c:pt idx="188">
                  <c:v>1.4217578244775724E-2</c:v>
                </c:pt>
                <c:pt idx="189">
                  <c:v>1.3076520600732727E-2</c:v>
                </c:pt>
                <c:pt idx="190">
                  <c:v>1.2027040616725285E-2</c:v>
                </c:pt>
                <c:pt idx="191">
                  <c:v>1.1061788560808326E-2</c:v>
                </c:pt>
                <c:pt idx="192">
                  <c:v>1.0174004567163997E-2</c:v>
                </c:pt>
                <c:pt idx="193">
                  <c:v>9.3574712953209786E-3</c:v>
                </c:pt>
                <c:pt idx="194">
                  <c:v>8.6064703887944148E-3</c:v>
                </c:pt>
                <c:pt idx="195">
                  <c:v>7.9157424282170138E-3</c:v>
                </c:pt>
                <c:pt idx="196">
                  <c:v>7.2804500985045725E-3</c:v>
                </c:pt>
                <c:pt idx="197">
                  <c:v>6.6961443121077366E-3</c:v>
                </c:pt>
                <c:pt idx="198">
                  <c:v>6.1587330511039045E-3</c:v>
                </c:pt>
                <c:pt idx="199">
                  <c:v>5.6644527099238154E-3</c:v>
                </c:pt>
                <c:pt idx="200">
                  <c:v>5.2098417380198169E-3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C16-448F-801B-8498A9963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454908"/>
        <c:axId val="384960258"/>
      </c:lineChart>
      <c:catAx>
        <c:axId val="17704549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de-DE"/>
              </a:p>
            </c:rich>
          </c:tx>
          <c:overlay val="0"/>
        </c:title>
        <c:numFmt formatCode="0.00\ &quot;ms&quot;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384960258"/>
        <c:crosses val="autoZero"/>
        <c:auto val="1"/>
        <c:lblAlgn val="ctr"/>
        <c:lblOffset val="100"/>
        <c:noMultiLvlLbl val="1"/>
      </c:catAx>
      <c:valAx>
        <c:axId val="384960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de-DE"/>
              </a:p>
            </c:rich>
          </c:tx>
          <c:overlay val="0"/>
        </c:title>
        <c:numFmt formatCode="0.0\ &quot;V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177045490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de-DE" b="0">
                <a:solidFill>
                  <a:srgbClr val="757575"/>
                </a:solidFill>
                <a:latin typeface="+mn-lt"/>
              </a:rPr>
              <a:t>Projectile Force &amp; Speed vs Distance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Force (N)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'Sim 2.0 100mm'!$U$4:$U$204</c:f>
              <c:numCache>
                <c:formatCode>0.00\ "mm"</c:formatCode>
                <c:ptCount val="201"/>
                <c:pt idx="0">
                  <c:v>65</c:v>
                </c:pt>
                <c:pt idx="1">
                  <c:v>65</c:v>
                </c:pt>
                <c:pt idx="2">
                  <c:v>64.999423156006031</c:v>
                </c:pt>
                <c:pt idx="3">
                  <c:v>64.998042408697486</c:v>
                </c:pt>
                <c:pt idx="4">
                  <c:v>64.995761159869474</c:v>
                </c:pt>
                <c:pt idx="5">
                  <c:v>64.992532394035393</c:v>
                </c:pt>
                <c:pt idx="6">
                  <c:v>64.988328791293085</c:v>
                </c:pt>
                <c:pt idx="7">
                  <c:v>64.983131624725274</c:v>
                </c:pt>
                <c:pt idx="8">
                  <c:v>64.976926581311773</c:v>
                </c:pt>
                <c:pt idx="9">
                  <c:v>64.969702137995441</c:v>
                </c:pt>
                <c:pt idx="10">
                  <c:v>64.961448883861451</c:v>
                </c:pt>
                <c:pt idx="11">
                  <c:v>64.952159195572477</c:v>
                </c:pt>
                <c:pt idx="12">
                  <c:v>64.941827047446225</c:v>
                </c:pt>
                <c:pt idx="13">
                  <c:v>64.93044787539975</c:v>
                </c:pt>
                <c:pt idx="14">
                  <c:v>64.918018464761772</c:v>
                </c:pt>
                <c:pt idx="15">
                  <c:v>64.904536850668194</c:v>
                </c:pt>
                <c:pt idx="16">
                  <c:v>64.890002226661551</c:v>
                </c:pt>
                <c:pt idx="17">
                  <c:v>64.874414859671489</c:v>
                </c:pt>
                <c:pt idx="18">
                  <c:v>64.85777601050664</c:v>
                </c:pt>
                <c:pt idx="19">
                  <c:v>64.840087859351215</c:v>
                </c:pt>
                <c:pt idx="20">
                  <c:v>64.821353435904001</c:v>
                </c:pt>
                <c:pt idx="21">
                  <c:v>64.801576553860983</c:v>
                </c:pt>
                <c:pt idx="22">
                  <c:v>64.78076174947573</c:v>
                </c:pt>
                <c:pt idx="23">
                  <c:v>64.758914223952942</c:v>
                </c:pt>
                <c:pt idx="24">
                  <c:v>64.736039789447133</c:v>
                </c:pt>
                <c:pt idx="25">
                  <c:v>64.710511303661775</c:v>
                </c:pt>
                <c:pt idx="26">
                  <c:v>64.683794644128639</c:v>
                </c:pt>
                <c:pt idx="27">
                  <c:v>64.655898306403031</c:v>
                </c:pt>
                <c:pt idx="28">
                  <c:v>64.626831292145823</c:v>
                </c:pt>
                <c:pt idx="29">
                  <c:v>64.596603063011514</c:v>
                </c:pt>
                <c:pt idx="30">
                  <c:v>64.565223497818465</c:v>
                </c:pt>
                <c:pt idx="31">
                  <c:v>64.532702852579376</c:v>
                </c:pt>
                <c:pt idx="32">
                  <c:v>64.499051723138763</c:v>
                </c:pt>
                <c:pt idx="33">
                  <c:v>64.464281010232639</c:v>
                </c:pt>
                <c:pt idx="34">
                  <c:v>64.428401886815521</c:v>
                </c:pt>
                <c:pt idx="35">
                  <c:v>64.391425767516367</c:v>
                </c:pt>
                <c:pt idx="36">
                  <c:v>64.353364280095434</c:v>
                </c:pt>
                <c:pt idx="37">
                  <c:v>64.314229238782829</c:v>
                </c:pt>
                <c:pt idx="38">
                  <c:v>64.274032619386332</c:v>
                </c:pt>
                <c:pt idx="39">
                  <c:v>64.232786536063074</c:v>
                </c:pt>
                <c:pt idx="40">
                  <c:v>64.188883763573926</c:v>
                </c:pt>
                <c:pt idx="41">
                  <c:v>64.143804282903986</c:v>
                </c:pt>
                <c:pt idx="42">
                  <c:v>64.097562258747828</c:v>
                </c:pt>
                <c:pt idx="43">
                  <c:v>64.050171929395404</c:v>
                </c:pt>
                <c:pt idx="44">
                  <c:v>64.001647588304991</c:v>
                </c:pt>
                <c:pt idx="45">
                  <c:v>63.952003566724549</c:v>
                </c:pt>
                <c:pt idx="46">
                  <c:v>63.90125421744964</c:v>
                </c:pt>
                <c:pt idx="47">
                  <c:v>63.849413899705148</c:v>
                </c:pt>
                <c:pt idx="48">
                  <c:v>63.796496965103842</c:v>
                </c:pt>
                <c:pt idx="49">
                  <c:v>63.742517744624394</c:v>
                </c:pt>
                <c:pt idx="50">
                  <c:v>63.6857539922282</c:v>
                </c:pt>
                <c:pt idx="51">
                  <c:v>63.627799783020151</c:v>
                </c:pt>
                <c:pt idx="52">
                  <c:v>63.568671389242475</c:v>
                </c:pt>
                <c:pt idx="53">
                  <c:v>63.50838501518075</c:v>
                </c:pt>
                <c:pt idx="54">
                  <c:v>63.446956787660795</c:v>
                </c:pt>
                <c:pt idx="55">
                  <c:v>63.384402746795232</c:v>
                </c:pt>
                <c:pt idx="56">
                  <c:v>63.320738837288673</c:v>
                </c:pt>
                <c:pt idx="57">
                  <c:v>63.255980900386902</c:v>
                </c:pt>
                <c:pt idx="58">
                  <c:v>63.190144666474552</c:v>
                </c:pt>
                <c:pt idx="59">
                  <c:v>63.121680985274423</c:v>
                </c:pt>
                <c:pt idx="60">
                  <c:v>63.052031609647379</c:v>
                </c:pt>
                <c:pt idx="61">
                  <c:v>62.981213855438774</c:v>
                </c:pt>
                <c:pt idx="62">
                  <c:v>62.90924489155524</c:v>
                </c:pt>
                <c:pt idx="63">
                  <c:v>62.836141735448166</c:v>
                </c:pt>
                <c:pt idx="64">
                  <c:v>62.761921248444295</c:v>
                </c:pt>
                <c:pt idx="65">
                  <c:v>62.686600131326088</c:v>
                </c:pt>
                <c:pt idx="66">
                  <c:v>62.608598053296156</c:v>
                </c:pt>
                <c:pt idx="67">
                  <c:v>62.529387755331193</c:v>
                </c:pt>
                <c:pt idx="68">
                  <c:v>62.448987465550914</c:v>
                </c:pt>
                <c:pt idx="69">
                  <c:v>62.367415222320687</c:v>
                </c:pt>
                <c:pt idx="70">
                  <c:v>62.284688872453913</c:v>
                </c:pt>
                <c:pt idx="71">
                  <c:v>62.200826068821065</c:v>
                </c:pt>
                <c:pt idx="72">
                  <c:v>62.114374980780447</c:v>
                </c:pt>
                <c:pt idx="73">
                  <c:v>62.027294060521079</c:v>
                </c:pt>
                <c:pt idx="74">
                  <c:v>61.939817902206961</c:v>
                </c:pt>
                <c:pt idx="75">
                  <c:v>61.852046323346009</c:v>
                </c:pt>
                <c:pt idx="76">
                  <c:v>61.764028229326797</c:v>
                </c:pt>
                <c:pt idx="77">
                  <c:v>61.675792727145975</c:v>
                </c:pt>
                <c:pt idx="78">
                  <c:v>61.586301125874805</c:v>
                </c:pt>
                <c:pt idx="79">
                  <c:v>61.496609037763349</c:v>
                </c:pt>
                <c:pt idx="80">
                  <c:v>61.406733080778906</c:v>
                </c:pt>
                <c:pt idx="81">
                  <c:v>61.31668820683921</c:v>
                </c:pt>
                <c:pt idx="82">
                  <c:v>61.226488044901195</c:v>
                </c:pt>
                <c:pt idx="83">
                  <c:v>61.135447579807057</c:v>
                </c:pt>
                <c:pt idx="84">
                  <c:v>61.044262015100493</c:v>
                </c:pt>
                <c:pt idx="85">
                  <c:v>60.952943000056962</c:v>
                </c:pt>
                <c:pt idx="86">
                  <c:v>60.861501246471811</c:v>
                </c:pt>
                <c:pt idx="87">
                  <c:v>60.76994660550362</c:v>
                </c:pt>
                <c:pt idx="88">
                  <c:v>60.678288137339699</c:v>
                </c:pt>
                <c:pt idx="89">
                  <c:v>60.586051006284805</c:v>
                </c:pt>
                <c:pt idx="90">
                  <c:v>60.493716505759942</c:v>
                </c:pt>
                <c:pt idx="91">
                  <c:v>60.401292450340819</c:v>
                </c:pt>
                <c:pt idx="92">
                  <c:v>60.308786027422876</c:v>
                </c:pt>
                <c:pt idx="93">
                  <c:v>60.216203847561367</c:v>
                </c:pt>
                <c:pt idx="94">
                  <c:v>60.123233987492931</c:v>
                </c:pt>
                <c:pt idx="95">
                  <c:v>60.030193764146979</c:v>
                </c:pt>
                <c:pt idx="96">
                  <c:v>59.937088824656627</c:v>
                </c:pt>
                <c:pt idx="97">
                  <c:v>59.843924362933976</c:v>
                </c:pt>
                <c:pt idx="98">
                  <c:v>59.750705156044233</c:v>
                </c:pt>
                <c:pt idx="99">
                  <c:v>59.657435597660523</c:v>
                </c:pt>
                <c:pt idx="100">
                  <c:v>59.563896012457143</c:v>
                </c:pt>
                <c:pt idx="101">
                  <c:v>59.470309416667376</c:v>
                </c:pt>
                <c:pt idx="102">
                  <c:v>59.376679583211477</c:v>
                </c:pt>
                <c:pt idx="103">
                  <c:v>59.283009982207112</c:v>
                </c:pt>
                <c:pt idx="104">
                  <c:v>59.189303805271337</c:v>
                </c:pt>
                <c:pt idx="105">
                  <c:v>59.095416746229724</c:v>
                </c:pt>
                <c:pt idx="106">
                  <c:v>59.001495839583406</c:v>
                </c:pt>
                <c:pt idx="107">
                  <c:v>58.907543801833562</c:v>
                </c:pt>
                <c:pt idx="108">
                  <c:v>58.813563131463624</c:v>
                </c:pt>
                <c:pt idx="109">
                  <c:v>58.719556126436679</c:v>
                </c:pt>
                <c:pt idx="110">
                  <c:v>58.625449777133525</c:v>
                </c:pt>
                <c:pt idx="111">
                  <c:v>58.531319667449608</c:v>
                </c:pt>
                <c:pt idx="112">
                  <c:v>58.437167704317574</c:v>
                </c:pt>
                <c:pt idx="113">
                  <c:v>58.342995641625713</c:v>
                </c:pt>
                <c:pt idx="114">
                  <c:v>58.248805092500817</c:v>
                </c:pt>
                <c:pt idx="115">
                  <c:v>58.154548097391</c:v>
                </c:pt>
                <c:pt idx="116">
                  <c:v>58.060274487932659</c:v>
                </c:pt>
                <c:pt idx="117">
                  <c:v>57.965985597540609</c:v>
                </c:pt>
                <c:pt idx="118">
                  <c:v>57.87168265261402</c:v>
                </c:pt>
                <c:pt idx="119">
                  <c:v>57.77736678112516</c:v>
                </c:pt>
                <c:pt idx="120">
                  <c:v>57.683039020518841</c:v>
                </c:pt>
                <c:pt idx="121">
                  <c:v>57.588664409024901</c:v>
                </c:pt>
                <c:pt idx="122">
                  <c:v>57.494279031104327</c:v>
                </c:pt>
                <c:pt idx="123">
                  <c:v>57.399883750836302</c:v>
                </c:pt>
                <c:pt idx="124">
                  <c:v>57.305479362951765</c:v>
                </c:pt>
                <c:pt idx="125">
                  <c:v>57.211066598399071</c:v>
                </c:pt>
                <c:pt idx="126">
                  <c:v>57.116622490943612</c:v>
                </c:pt>
                <c:pt idx="127">
                  <c:v>57.022170830734588</c:v>
                </c:pt>
                <c:pt idx="128">
                  <c:v>56.927712223931991</c:v>
                </c:pt>
                <c:pt idx="129">
                  <c:v>56.833247228047341</c:v>
                </c:pt>
                <c:pt idx="130">
                  <c:v>56.738776355848067</c:v>
                </c:pt>
                <c:pt idx="131">
                  <c:v>56.644282446573676</c:v>
                </c:pt>
                <c:pt idx="132">
                  <c:v>56.549783218243945</c:v>
                </c:pt>
                <c:pt idx="133">
                  <c:v>56.455279097749347</c:v>
                </c:pt>
                <c:pt idx="134">
                  <c:v>56.360770477719491</c:v>
                </c:pt>
                <c:pt idx="135">
                  <c:v>56.266257719272772</c:v>
                </c:pt>
                <c:pt idx="136">
                  <c:v>56.17174115454538</c:v>
                </c:pt>
                <c:pt idx="137">
                  <c:v>56.077210415433569</c:v>
                </c:pt>
                <c:pt idx="138">
                  <c:v>55.982676245753744</c:v>
                </c:pt>
                <c:pt idx="139">
                  <c:v>55.88813892083239</c:v>
                </c:pt>
                <c:pt idx="140">
                  <c:v>55.793598693899163</c:v>
                </c:pt>
                <c:pt idx="141">
                  <c:v>55.699055797860318</c:v>
                </c:pt>
                <c:pt idx="142">
                  <c:v>55.604503680251561</c:v>
                </c:pt>
                <c:pt idx="143">
                  <c:v>55.50994917117719</c:v>
                </c:pt>
                <c:pt idx="144">
                  <c:v>55.415392462568633</c:v>
                </c:pt>
                <c:pt idx="145">
                  <c:v>55.32083373095351</c:v>
                </c:pt>
                <c:pt idx="146">
                  <c:v>55.226273138691901</c:v>
                </c:pt>
                <c:pt idx="147">
                  <c:v>55.131706381542159</c:v>
                </c:pt>
                <c:pt idx="148">
                  <c:v>55.037137962492714</c:v>
                </c:pt>
                <c:pt idx="149">
                  <c:v>54.942568014922351</c:v>
                </c:pt>
                <c:pt idx="150">
                  <c:v>54.847996661505299</c:v>
                </c:pt>
                <c:pt idx="151">
                  <c:v>54.753424015070351</c:v>
                </c:pt>
                <c:pt idx="152">
                  <c:v>54.65885017939101</c:v>
                </c:pt>
                <c:pt idx="153">
                  <c:v>54.56427230703197</c:v>
                </c:pt>
                <c:pt idx="154">
                  <c:v>54.46969337055657</c:v>
                </c:pt>
                <c:pt idx="155">
                  <c:v>54.375113455367405</c:v>
                </c:pt>
                <c:pt idx="156">
                  <c:v>54.280532640012929</c:v>
                </c:pt>
                <c:pt idx="157">
                  <c:v>54.185950996737553</c:v>
                </c:pt>
                <c:pt idx="158">
                  <c:v>54.091366655095278</c:v>
                </c:pt>
                <c:pt idx="159">
                  <c:v>53.996781574851525</c:v>
                </c:pt>
                <c:pt idx="160">
                  <c:v>53.902195815284102</c:v>
                </c:pt>
                <c:pt idx="161">
                  <c:v>53.807609430913367</c:v>
                </c:pt>
                <c:pt idx="162">
                  <c:v>53.713022471884045</c:v>
                </c:pt>
                <c:pt idx="163">
                  <c:v>53.618433620381197</c:v>
                </c:pt>
                <c:pt idx="164">
                  <c:v>53.523844255830426</c:v>
                </c:pt>
                <c:pt idx="165">
                  <c:v>53.429254419407322</c:v>
                </c:pt>
                <c:pt idx="166">
                  <c:v>53.334664148982867</c:v>
                </c:pt>
                <c:pt idx="167">
                  <c:v>53.240073479388627</c:v>
                </c:pt>
                <c:pt idx="168">
                  <c:v>53.145481544970224</c:v>
                </c:pt>
                <c:pt idx="169">
                  <c:v>53.050889255159852</c:v>
                </c:pt>
                <c:pt idx="170">
                  <c:v>52.95629663848014</c:v>
                </c:pt>
                <c:pt idx="171">
                  <c:v>52.861703721164588</c:v>
                </c:pt>
                <c:pt idx="172">
                  <c:v>52.767110527341266</c:v>
                </c:pt>
                <c:pt idx="173">
                  <c:v>52.672517079201818</c:v>
                </c:pt>
                <c:pt idx="174">
                  <c:v>52.577922899920715</c:v>
                </c:pt>
                <c:pt idx="175">
                  <c:v>52.483328495689577</c:v>
                </c:pt>
                <c:pt idx="176">
                  <c:v>52.388733884562178</c:v>
                </c:pt>
                <c:pt idx="177">
                  <c:v>52.294139083143357</c:v>
                </c:pt>
                <c:pt idx="178">
                  <c:v>52.199544106705297</c:v>
                </c:pt>
                <c:pt idx="179">
                  <c:v>52.104948642032511</c:v>
                </c:pt>
                <c:pt idx="180">
                  <c:v>52.010353022844939</c:v>
                </c:pt>
                <c:pt idx="181">
                  <c:v>51.915757261543455</c:v>
                </c:pt>
                <c:pt idx="182">
                  <c:v>51.821161369533662</c:v>
                </c:pt>
                <c:pt idx="183">
                  <c:v>51.726565357305802</c:v>
                </c:pt>
                <c:pt idx="184">
                  <c:v>51.631968966807406</c:v>
                </c:pt>
                <c:pt idx="185">
                  <c:v>51.537372469327977</c:v>
                </c:pt>
                <c:pt idx="186">
                  <c:v>51.442775873453463</c:v>
                </c:pt>
                <c:pt idx="187">
                  <c:v>51.348179187080746</c:v>
                </c:pt>
                <c:pt idx="188">
                  <c:v>51.253582417472927</c:v>
                </c:pt>
                <c:pt idx="189">
                  <c:v>51.158985571310183</c:v>
                </c:pt>
                <c:pt idx="190">
                  <c:v>51.064388492686554</c:v>
                </c:pt>
                <c:pt idx="191">
                  <c:v>50.969791346103626</c:v>
                </c:pt>
                <c:pt idx="192">
                  <c:v>50.875194137015605</c:v>
                </c:pt>
                <c:pt idx="193">
                  <c:v>50.780596870438941</c:v>
                </c:pt>
                <c:pt idx="194">
                  <c:v>50.685999550987496</c:v>
                </c:pt>
                <c:pt idx="195">
                  <c:v>50.591402114253214</c:v>
                </c:pt>
                <c:pt idx="196">
                  <c:v>50.496804631435296</c:v>
                </c:pt>
                <c:pt idx="197">
                  <c:v>50.402207106232275</c:v>
                </c:pt>
                <c:pt idx="198">
                  <c:v>50.307609542045839</c:v>
                </c:pt>
                <c:pt idx="199">
                  <c:v>50.21301194200467</c:v>
                </c:pt>
                <c:pt idx="200">
                  <c:v>50.118414263802471</c:v>
                </c:pt>
              </c:numCache>
            </c:numRef>
          </c:cat>
          <c:val>
            <c:numRef>
              <c:f>'Sim 2.0 100mm'!$R$4:$R$204</c:f>
              <c:numCache>
                <c:formatCode>0.0\ "N"</c:formatCode>
                <c:ptCount val="201"/>
                <c:pt idx="0">
                  <c:v>0</c:v>
                </c:pt>
                <c:pt idx="1">
                  <c:v>0.79373733570159866</c:v>
                </c:pt>
                <c:pt idx="2">
                  <c:v>1.8205345629925958</c:v>
                </c:pt>
                <c:pt idx="3">
                  <c:v>2.8775711974851683</c:v>
                </c:pt>
                <c:pt idx="4">
                  <c:v>3.893597478079871</c:v>
                </c:pt>
                <c:pt idx="5">
                  <c:v>4.8456133159838197</c:v>
                </c:pt>
                <c:pt idx="6">
                  <c:v>5.7281958082782127</c:v>
                </c:pt>
                <c:pt idx="7">
                  <c:v>6.5422147671256106</c:v>
                </c:pt>
                <c:pt idx="8">
                  <c:v>7.2906875567119034</c:v>
                </c:pt>
                <c:pt idx="9">
                  <c:v>7.9772624861381844</c:v>
                </c:pt>
                <c:pt idx="10">
                  <c:v>8.6056696347822559</c:v>
                </c:pt>
                <c:pt idx="11">
                  <c:v>9.1795274074025279</c:v>
                </c:pt>
                <c:pt idx="12">
                  <c:v>9.7022795808842286</c:v>
                </c:pt>
                <c:pt idx="13">
                  <c:v>10.177179924694665</c:v>
                </c:pt>
                <c:pt idx="14">
                  <c:v>10.607293887146501</c:v>
                </c:pt>
                <c:pt idx="15">
                  <c:v>10.995506138804268</c:v>
                </c:pt>
                <c:pt idx="16">
                  <c:v>11.344529870101134</c:v>
                </c:pt>
                <c:pt idx="17">
                  <c:v>11.656916355593578</c:v>
                </c:pt>
                <c:pt idx="18">
                  <c:v>11.935064259072538</c:v>
                </c:pt>
                <c:pt idx="19">
                  <c:v>12.181228506665043</c:v>
                </c:pt>
                <c:pt idx="20">
                  <c:v>12.397528683821486</c:v>
                </c:pt>
                <c:pt idx="21">
                  <c:v>12.585956958366554</c:v>
                </c:pt>
                <c:pt idx="22">
                  <c:v>12.74838554776631</c:v>
                </c:pt>
                <c:pt idx="23">
                  <c:v>12.886573753639352</c:v>
                </c:pt>
                <c:pt idx="24">
                  <c:v>15.249890938928953</c:v>
                </c:pt>
                <c:pt idx="25">
                  <c:v>15.359828921971886</c:v>
                </c:pt>
                <c:pt idx="26">
                  <c:v>15.447083222614545</c:v>
                </c:pt>
                <c:pt idx="27">
                  <c:v>15.513225807833956</c:v>
                </c:pt>
                <c:pt idx="28">
                  <c:v>15.559734897958801</c:v>
                </c:pt>
                <c:pt idx="29">
                  <c:v>15.587999824973501</c:v>
                </c:pt>
                <c:pt idx="30">
                  <c:v>15.599325985833342</c:v>
                </c:pt>
                <c:pt idx="31">
                  <c:v>15.59493964854126</c:v>
                </c:pt>
                <c:pt idx="32">
                  <c:v>15.575992532233304</c:v>
                </c:pt>
                <c:pt idx="33">
                  <c:v>15.54356614213259</c:v>
                </c:pt>
                <c:pt idx="34">
                  <c:v>15.49867586162007</c:v>
                </c:pt>
                <c:pt idx="35">
                  <c:v>15.442274811014187</c:v>
                </c:pt>
                <c:pt idx="36">
                  <c:v>15.375257484853119</c:v>
                </c:pt>
                <c:pt idx="37">
                  <c:v>15.298463179810334</c:v>
                </c:pt>
                <c:pt idx="38">
                  <c:v>15.212679225051341</c:v>
                </c:pt>
                <c:pt idx="39">
                  <c:v>17.347015594801821</c:v>
                </c:pt>
                <c:pt idx="40">
                  <c:v>17.23146449208782</c:v>
                </c:pt>
                <c:pt idx="41">
                  <c:v>17.107977879932047</c:v>
                </c:pt>
                <c:pt idx="42">
                  <c:v>16.977248041992198</c:v>
                </c:pt>
                <c:pt idx="43">
                  <c:v>16.839923389270957</c:v>
                </c:pt>
                <c:pt idx="44">
                  <c:v>16.696611404616949</c:v>
                </c:pt>
                <c:pt idx="45">
                  <c:v>16.547881171744667</c:v>
                </c:pt>
                <c:pt idx="46">
                  <c:v>16.394265668712759</c:v>
                </c:pt>
                <c:pt idx="47">
                  <c:v>16.2362638968184</c:v>
                </c:pt>
                <c:pt idx="48">
                  <c:v>16.074342875461749</c:v>
                </c:pt>
                <c:pt idx="49">
                  <c:v>18.298424505357136</c:v>
                </c:pt>
                <c:pt idx="50">
                  <c:v>18.106650627930627</c:v>
                </c:pt>
                <c:pt idx="51">
                  <c:v>17.91166353294734</c:v>
                </c:pt>
                <c:pt idx="52">
                  <c:v>17.713878050508676</c:v>
                </c:pt>
                <c:pt idx="53">
                  <c:v>17.513680603982355</c:v>
                </c:pt>
                <c:pt idx="54">
                  <c:v>17.311431707142471</c:v>
                </c:pt>
                <c:pt idx="55">
                  <c:v>17.107467786431144</c:v>
                </c:pt>
                <c:pt idx="56">
                  <c:v>16.902102703598846</c:v>
                </c:pt>
                <c:pt idx="57">
                  <c:v>16.695629119798948</c:v>
                </c:pt>
                <c:pt idx="58">
                  <c:v>18.641433675799441</c:v>
                </c:pt>
                <c:pt idx="59">
                  <c:v>18.408805839655585</c:v>
                </c:pt>
                <c:pt idx="60">
                  <c:v>18.175614183917421</c:v>
                </c:pt>
                <c:pt idx="61">
                  <c:v>17.942117278232821</c:v>
                </c:pt>
                <c:pt idx="62">
                  <c:v>17.708554049997478</c:v>
                </c:pt>
                <c:pt idx="63">
                  <c:v>17.47514595899429</c:v>
                </c:pt>
                <c:pt idx="64">
                  <c:v>17.242098400415301</c:v>
                </c:pt>
                <c:pt idx="65">
                  <c:v>19.206890774913052</c:v>
                </c:pt>
                <c:pt idx="66">
                  <c:v>18.948712328017418</c:v>
                </c:pt>
                <c:pt idx="67">
                  <c:v>18.691269833096705</c:v>
                </c:pt>
                <c:pt idx="68">
                  <c:v>18.434750796910244</c:v>
                </c:pt>
                <c:pt idx="69">
                  <c:v>18.179326449109972</c:v>
                </c:pt>
                <c:pt idx="70">
                  <c:v>17.925154186318849</c:v>
                </c:pt>
                <c:pt idx="71">
                  <c:v>19.694118112779957</c:v>
                </c:pt>
                <c:pt idx="72">
                  <c:v>18.591355434496482</c:v>
                </c:pt>
                <c:pt idx="73">
                  <c:v>17.27606745438489</c:v>
                </c:pt>
                <c:pt idx="74">
                  <c:v>15.95495938138877</c:v>
                </c:pt>
                <c:pt idx="75">
                  <c:v>14.698668301020149</c:v>
                </c:pt>
                <c:pt idx="76">
                  <c:v>13.527955101291278</c:v>
                </c:pt>
                <c:pt idx="77">
                  <c:v>13.903551939479431</c:v>
                </c:pt>
                <c:pt idx="78">
                  <c:v>12.789066637770212</c:v>
                </c:pt>
                <c:pt idx="79">
                  <c:v>11.763163543219438</c:v>
                </c:pt>
                <c:pt idx="80">
                  <c:v>10.819276919323576</c:v>
                </c:pt>
                <c:pt idx="81">
                  <c:v>9.951025513078223</c:v>
                </c:pt>
                <c:pt idx="82">
                  <c:v>10.112180104594755</c:v>
                </c:pt>
                <c:pt idx="83">
                  <c:v>9.3006191608318716</c:v>
                </c:pt>
                <c:pt idx="84">
                  <c:v>8.5541849084187547</c:v>
                </c:pt>
                <c:pt idx="85">
                  <c:v>7.8676546508436411</c:v>
                </c:pt>
                <c:pt idx="86">
                  <c:v>7.2362222248242603</c:v>
                </c:pt>
                <c:pt idx="87">
                  <c:v>6.655466223664817</c:v>
                </c:pt>
                <c:pt idx="88">
                  <c:v>6.7861597392836748</c:v>
                </c:pt>
                <c:pt idx="89">
                  <c:v>6.2415241560258226</c:v>
                </c:pt>
                <c:pt idx="90">
                  <c:v>5.740599274932225</c:v>
                </c:pt>
                <c:pt idx="91">
                  <c:v>5.2798770258134153</c:v>
                </c:pt>
                <c:pt idx="92">
                  <c:v>4.8561308775809895</c:v>
                </c:pt>
                <c:pt idx="93">
                  <c:v>4.9039657545540738</c:v>
                </c:pt>
                <c:pt idx="94">
                  <c:v>4.5103890489583618</c:v>
                </c:pt>
                <c:pt idx="95">
                  <c:v>4.1483995587568598</c:v>
                </c:pt>
                <c:pt idx="96">
                  <c:v>3.8154621945217695</c:v>
                </c:pt>
                <c:pt idx="97">
                  <c:v>3.5092453249889974</c:v>
                </c:pt>
                <c:pt idx="98">
                  <c:v>3.227604448188361</c:v>
                </c:pt>
                <c:pt idx="99">
                  <c:v>3.2764009072377314</c:v>
                </c:pt>
                <c:pt idx="100">
                  <c:v>3.0134473833830189</c:v>
                </c:pt>
                <c:pt idx="101">
                  <c:v>2.7715976736414416</c:v>
                </c:pt>
                <c:pt idx="102">
                  <c:v>2.5491580529640467</c:v>
                </c:pt>
                <c:pt idx="103">
                  <c:v>2.3445707292912026</c:v>
                </c:pt>
                <c:pt idx="104">
                  <c:v>2.3590074339930811</c:v>
                </c:pt>
                <c:pt idx="105">
                  <c:v>2.1696809946677988</c:v>
                </c:pt>
                <c:pt idx="106">
                  <c:v>1.9955492936511234</c:v>
                </c:pt>
                <c:pt idx="107">
                  <c:v>1.835392849537872</c:v>
                </c:pt>
                <c:pt idx="108">
                  <c:v>1.6880900526247204</c:v>
                </c:pt>
                <c:pt idx="109">
                  <c:v>1.655978771425848</c:v>
                </c:pt>
                <c:pt idx="110">
                  <c:v>1.5230751782135008</c:v>
                </c:pt>
                <c:pt idx="111">
                  <c:v>1.4008380050021447</c:v>
                </c:pt>
                <c:pt idx="112">
                  <c:v>1.2884111988221973</c:v>
                </c:pt>
                <c:pt idx="113">
                  <c:v>1.1850074107947337</c:v>
                </c:pt>
                <c:pt idx="114">
                  <c:v>1.1579363449659843</c:v>
                </c:pt>
                <c:pt idx="115">
                  <c:v>1.0650040540377352</c:v>
                </c:pt>
                <c:pt idx="116">
                  <c:v>0.97953021342475499</c:v>
                </c:pt>
                <c:pt idx="117">
                  <c:v>0.90091623160896406</c:v>
                </c:pt>
                <c:pt idx="118">
                  <c:v>0.82861155812509868</c:v>
                </c:pt>
                <c:pt idx="119">
                  <c:v>0.76210982793849369</c:v>
                </c:pt>
                <c:pt idx="120">
                  <c:v>0.75036566651522707</c:v>
                </c:pt>
                <c:pt idx="121">
                  <c:v>0.69014370291047367</c:v>
                </c:pt>
                <c:pt idx="122">
                  <c:v>0.63475496270899112</c:v>
                </c:pt>
                <c:pt idx="123">
                  <c:v>0.58381154676123903</c:v>
                </c:pt>
                <c:pt idx="124">
                  <c:v>0.53695668747060987</c:v>
                </c:pt>
                <c:pt idx="125">
                  <c:v>0.52638885292644089</c:v>
                </c:pt>
                <c:pt idx="126">
                  <c:v>0.48414255654390154</c:v>
                </c:pt>
                <c:pt idx="127">
                  <c:v>0.44528681364310696</c:v>
                </c:pt>
                <c:pt idx="128">
                  <c:v>0.40954950917736804</c:v>
                </c:pt>
                <c:pt idx="129">
                  <c:v>0.37668036718881526</c:v>
                </c:pt>
                <c:pt idx="130">
                  <c:v>0.37071134582633053</c:v>
                </c:pt>
                <c:pt idx="131">
                  <c:v>0.34095923139404077</c:v>
                </c:pt>
                <c:pt idx="132">
                  <c:v>0.31359492710880477</c:v>
                </c:pt>
                <c:pt idx="133">
                  <c:v>0.28842679491708689</c:v>
                </c:pt>
                <c:pt idx="134">
                  <c:v>0.26527857702646995</c:v>
                </c:pt>
                <c:pt idx="135">
                  <c:v>0.24398816153477898</c:v>
                </c:pt>
                <c:pt idx="136">
                  <c:v>0.23909329833335732</c:v>
                </c:pt>
                <c:pt idx="137">
                  <c:v>0.2199044300883046</c:v>
                </c:pt>
                <c:pt idx="138">
                  <c:v>0.20225559942311161</c:v>
                </c:pt>
                <c:pt idx="139">
                  <c:v>0.18602320781612031</c:v>
                </c:pt>
                <c:pt idx="140">
                  <c:v>0.17109357637020378</c:v>
                </c:pt>
                <c:pt idx="141">
                  <c:v>0.16667309893193702</c:v>
                </c:pt>
                <c:pt idx="142">
                  <c:v>0.15329644572712667</c:v>
                </c:pt>
                <c:pt idx="143">
                  <c:v>0.14099336019525455</c:v>
                </c:pt>
                <c:pt idx="144">
                  <c:v>0.12967768120687137</c:v>
                </c:pt>
                <c:pt idx="145">
                  <c:v>0.11927016265094269</c:v>
                </c:pt>
                <c:pt idx="146">
                  <c:v>0.11582603245229914</c:v>
                </c:pt>
                <c:pt idx="147">
                  <c:v>0.1065302032025159</c:v>
                </c:pt>
                <c:pt idx="148">
                  <c:v>9.7980427664593292E-2</c:v>
                </c:pt>
                <c:pt idx="149">
                  <c:v>9.0116829938702972E-2</c:v>
                </c:pt>
                <c:pt idx="150">
                  <c:v>8.2884339574441107E-2</c:v>
                </c:pt>
                <c:pt idx="151">
                  <c:v>7.6232305900729935E-2</c:v>
                </c:pt>
                <c:pt idx="152">
                  <c:v>7.4163546576993825E-2</c:v>
                </c:pt>
                <c:pt idx="153">
                  <c:v>6.8211416033093844E-2</c:v>
                </c:pt>
                <c:pt idx="154">
                  <c:v>6.2736984569763676E-2</c:v>
                </c:pt>
                <c:pt idx="155">
                  <c:v>5.7701913577005756E-2</c:v>
                </c:pt>
                <c:pt idx="156">
                  <c:v>5.3070941379814281E-2</c:v>
                </c:pt>
                <c:pt idx="157">
                  <c:v>5.1476800092281526E-2</c:v>
                </c:pt>
                <c:pt idx="158">
                  <c:v>4.7345435718904191E-2</c:v>
                </c:pt>
                <c:pt idx="159">
                  <c:v>4.3545641519955214E-2</c:v>
                </c:pt>
                <c:pt idx="160">
                  <c:v>4.0050806727021417E-2</c:v>
                </c:pt>
                <c:pt idx="161">
                  <c:v>3.6836456267388872E-2</c:v>
                </c:pt>
                <c:pt idx="162">
                  <c:v>3.5756854212197813E-2</c:v>
                </c:pt>
                <c:pt idx="163">
                  <c:v>3.2887122734493332E-2</c:v>
                </c:pt>
                <c:pt idx="164">
                  <c:v>3.0247706784694503E-2</c:v>
                </c:pt>
                <c:pt idx="165">
                  <c:v>2.7820121970513558E-2</c:v>
                </c:pt>
                <c:pt idx="166">
                  <c:v>2.55873673982412E-2</c:v>
                </c:pt>
                <c:pt idx="167">
                  <c:v>2.4769028708474566E-2</c:v>
                </c:pt>
                <c:pt idx="168">
                  <c:v>2.2781145184519944E-2</c:v>
                </c:pt>
                <c:pt idx="169">
                  <c:v>2.0952802874365854E-2</c:v>
                </c:pt>
                <c:pt idx="170">
                  <c:v>1.9271197507241787E-2</c:v>
                </c:pt>
                <c:pt idx="171">
                  <c:v>1.7724552442455126E-2</c:v>
                </c:pt>
                <c:pt idx="172">
                  <c:v>1.6302036195067073E-2</c:v>
                </c:pt>
                <c:pt idx="173">
                  <c:v>1.5677883491157712E-2</c:v>
                </c:pt>
                <c:pt idx="174">
                  <c:v>1.4419626389138634E-2</c:v>
                </c:pt>
                <c:pt idx="175">
                  <c:v>1.3262353003172451E-2</c:v>
                </c:pt>
                <c:pt idx="176">
                  <c:v>1.219795870115219E-2</c:v>
                </c:pt>
                <c:pt idx="177">
                  <c:v>1.1218989302985882E-2</c:v>
                </c:pt>
                <c:pt idx="178">
                  <c:v>1.0768901359565233E-2</c:v>
                </c:pt>
                <c:pt idx="179">
                  <c:v>9.9046235618473165E-3</c:v>
                </c:pt>
                <c:pt idx="180">
                  <c:v>9.1097099533523455E-3</c:v>
                </c:pt>
                <c:pt idx="181">
                  <c:v>8.3785935847044846E-3</c:v>
                </c:pt>
                <c:pt idx="182">
                  <c:v>7.7061542921920863E-3</c:v>
                </c:pt>
                <c:pt idx="183">
                  <c:v>7.4560391168099205E-3</c:v>
                </c:pt>
                <c:pt idx="184">
                  <c:v>6.8576411138556717E-3</c:v>
                </c:pt>
                <c:pt idx="185">
                  <c:v>6.3072686328078638E-3</c:v>
                </c:pt>
                <c:pt idx="186">
                  <c:v>5.801067297911567E-3</c:v>
                </c:pt>
                <c:pt idx="187">
                  <c:v>5.3354920733600765E-3</c:v>
                </c:pt>
                <c:pt idx="188">
                  <c:v>4.9072824366538093E-3</c:v>
                </c:pt>
                <c:pt idx="189">
                  <c:v>4.7364203737501991E-3</c:v>
                </c:pt>
                <c:pt idx="190">
                  <c:v>4.3562903277028315E-3</c:v>
                </c:pt>
                <c:pt idx="191">
                  <c:v>4.0066683110332622E-3</c:v>
                </c:pt>
                <c:pt idx="192">
                  <c:v>3.6851058462633369E-3</c:v>
                </c:pt>
                <c:pt idx="193">
                  <c:v>3.3893509629356207E-3</c:v>
                </c:pt>
                <c:pt idx="194">
                  <c:v>3.2117970455718551E-3</c:v>
                </c:pt>
                <c:pt idx="195">
                  <c:v>2.9540284223317382E-3</c:v>
                </c:pt>
                <c:pt idx="196">
                  <c:v>2.7169474895603301E-3</c:v>
                </c:pt>
                <c:pt idx="197">
                  <c:v>2.4988939189696138E-3</c:v>
                </c:pt>
                <c:pt idx="198">
                  <c:v>2.2983406349431595E-3</c:v>
                </c:pt>
                <c:pt idx="199">
                  <c:v>2.1760561530443328E-3</c:v>
                </c:pt>
                <c:pt idx="200">
                  <c:v>2.0014128020776926E-3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6C-4835-8FA4-D7FF3B287BC0}"/>
            </c:ext>
          </c:extLst>
        </c:ser>
        <c:ser>
          <c:idx val="1"/>
          <c:order val="1"/>
          <c:tx>
            <c:v>Speed (M/S)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'Sim 2.0 100mm'!$U$4:$U$204</c:f>
              <c:numCache>
                <c:formatCode>0.00\ "mm"</c:formatCode>
                <c:ptCount val="201"/>
                <c:pt idx="0">
                  <c:v>65</c:v>
                </c:pt>
                <c:pt idx="1">
                  <c:v>65</c:v>
                </c:pt>
                <c:pt idx="2">
                  <c:v>64.999423156006031</c:v>
                </c:pt>
                <c:pt idx="3">
                  <c:v>64.998042408697486</c:v>
                </c:pt>
                <c:pt idx="4">
                  <c:v>64.995761159869474</c:v>
                </c:pt>
                <c:pt idx="5">
                  <c:v>64.992532394035393</c:v>
                </c:pt>
                <c:pt idx="6">
                  <c:v>64.988328791293085</c:v>
                </c:pt>
                <c:pt idx="7">
                  <c:v>64.983131624725274</c:v>
                </c:pt>
                <c:pt idx="8">
                  <c:v>64.976926581311773</c:v>
                </c:pt>
                <c:pt idx="9">
                  <c:v>64.969702137995441</c:v>
                </c:pt>
                <c:pt idx="10">
                  <c:v>64.961448883861451</c:v>
                </c:pt>
                <c:pt idx="11">
                  <c:v>64.952159195572477</c:v>
                </c:pt>
                <c:pt idx="12">
                  <c:v>64.941827047446225</c:v>
                </c:pt>
                <c:pt idx="13">
                  <c:v>64.93044787539975</c:v>
                </c:pt>
                <c:pt idx="14">
                  <c:v>64.918018464761772</c:v>
                </c:pt>
                <c:pt idx="15">
                  <c:v>64.904536850668194</c:v>
                </c:pt>
                <c:pt idx="16">
                  <c:v>64.890002226661551</c:v>
                </c:pt>
                <c:pt idx="17">
                  <c:v>64.874414859671489</c:v>
                </c:pt>
                <c:pt idx="18">
                  <c:v>64.85777601050664</c:v>
                </c:pt>
                <c:pt idx="19">
                  <c:v>64.840087859351215</c:v>
                </c:pt>
                <c:pt idx="20">
                  <c:v>64.821353435904001</c:v>
                </c:pt>
                <c:pt idx="21">
                  <c:v>64.801576553860983</c:v>
                </c:pt>
                <c:pt idx="22">
                  <c:v>64.78076174947573</c:v>
                </c:pt>
                <c:pt idx="23">
                  <c:v>64.758914223952942</c:v>
                </c:pt>
                <c:pt idx="24">
                  <c:v>64.736039789447133</c:v>
                </c:pt>
                <c:pt idx="25">
                  <c:v>64.710511303661775</c:v>
                </c:pt>
                <c:pt idx="26">
                  <c:v>64.683794644128639</c:v>
                </c:pt>
                <c:pt idx="27">
                  <c:v>64.655898306403031</c:v>
                </c:pt>
                <c:pt idx="28">
                  <c:v>64.626831292145823</c:v>
                </c:pt>
                <c:pt idx="29">
                  <c:v>64.596603063011514</c:v>
                </c:pt>
                <c:pt idx="30">
                  <c:v>64.565223497818465</c:v>
                </c:pt>
                <c:pt idx="31">
                  <c:v>64.532702852579376</c:v>
                </c:pt>
                <c:pt idx="32">
                  <c:v>64.499051723138763</c:v>
                </c:pt>
                <c:pt idx="33">
                  <c:v>64.464281010232639</c:v>
                </c:pt>
                <c:pt idx="34">
                  <c:v>64.428401886815521</c:v>
                </c:pt>
                <c:pt idx="35">
                  <c:v>64.391425767516367</c:v>
                </c:pt>
                <c:pt idx="36">
                  <c:v>64.353364280095434</c:v>
                </c:pt>
                <c:pt idx="37">
                  <c:v>64.314229238782829</c:v>
                </c:pt>
                <c:pt idx="38">
                  <c:v>64.274032619386332</c:v>
                </c:pt>
                <c:pt idx="39">
                  <c:v>64.232786536063074</c:v>
                </c:pt>
                <c:pt idx="40">
                  <c:v>64.188883763573926</c:v>
                </c:pt>
                <c:pt idx="41">
                  <c:v>64.143804282903986</c:v>
                </c:pt>
                <c:pt idx="42">
                  <c:v>64.097562258747828</c:v>
                </c:pt>
                <c:pt idx="43">
                  <c:v>64.050171929395404</c:v>
                </c:pt>
                <c:pt idx="44">
                  <c:v>64.001647588304991</c:v>
                </c:pt>
                <c:pt idx="45">
                  <c:v>63.952003566724549</c:v>
                </c:pt>
                <c:pt idx="46">
                  <c:v>63.90125421744964</c:v>
                </c:pt>
                <c:pt idx="47">
                  <c:v>63.849413899705148</c:v>
                </c:pt>
                <c:pt idx="48">
                  <c:v>63.796496965103842</c:v>
                </c:pt>
                <c:pt idx="49">
                  <c:v>63.742517744624394</c:v>
                </c:pt>
                <c:pt idx="50">
                  <c:v>63.6857539922282</c:v>
                </c:pt>
                <c:pt idx="51">
                  <c:v>63.627799783020151</c:v>
                </c:pt>
                <c:pt idx="52">
                  <c:v>63.568671389242475</c:v>
                </c:pt>
                <c:pt idx="53">
                  <c:v>63.50838501518075</c:v>
                </c:pt>
                <c:pt idx="54">
                  <c:v>63.446956787660795</c:v>
                </c:pt>
                <c:pt idx="55">
                  <c:v>63.384402746795232</c:v>
                </c:pt>
                <c:pt idx="56">
                  <c:v>63.320738837288673</c:v>
                </c:pt>
                <c:pt idx="57">
                  <c:v>63.255980900386902</c:v>
                </c:pt>
                <c:pt idx="58">
                  <c:v>63.190144666474552</c:v>
                </c:pt>
                <c:pt idx="59">
                  <c:v>63.121680985274423</c:v>
                </c:pt>
                <c:pt idx="60">
                  <c:v>63.052031609647379</c:v>
                </c:pt>
                <c:pt idx="61">
                  <c:v>62.981213855438774</c:v>
                </c:pt>
                <c:pt idx="62">
                  <c:v>62.90924489155524</c:v>
                </c:pt>
                <c:pt idx="63">
                  <c:v>62.836141735448166</c:v>
                </c:pt>
                <c:pt idx="64">
                  <c:v>62.761921248444295</c:v>
                </c:pt>
                <c:pt idx="65">
                  <c:v>62.686600131326088</c:v>
                </c:pt>
                <c:pt idx="66">
                  <c:v>62.608598053296156</c:v>
                </c:pt>
                <c:pt idx="67">
                  <c:v>62.529387755331193</c:v>
                </c:pt>
                <c:pt idx="68">
                  <c:v>62.448987465550914</c:v>
                </c:pt>
                <c:pt idx="69">
                  <c:v>62.367415222320687</c:v>
                </c:pt>
                <c:pt idx="70">
                  <c:v>62.284688872453913</c:v>
                </c:pt>
                <c:pt idx="71">
                  <c:v>62.200826068821065</c:v>
                </c:pt>
                <c:pt idx="72">
                  <c:v>62.114374980780447</c:v>
                </c:pt>
                <c:pt idx="73">
                  <c:v>62.027294060521079</c:v>
                </c:pt>
                <c:pt idx="74">
                  <c:v>61.939817902206961</c:v>
                </c:pt>
                <c:pt idx="75">
                  <c:v>61.852046323346009</c:v>
                </c:pt>
                <c:pt idx="76">
                  <c:v>61.764028229326797</c:v>
                </c:pt>
                <c:pt idx="77">
                  <c:v>61.675792727145975</c:v>
                </c:pt>
                <c:pt idx="78">
                  <c:v>61.586301125874805</c:v>
                </c:pt>
                <c:pt idx="79">
                  <c:v>61.496609037763349</c:v>
                </c:pt>
                <c:pt idx="80">
                  <c:v>61.406733080778906</c:v>
                </c:pt>
                <c:pt idx="81">
                  <c:v>61.31668820683921</c:v>
                </c:pt>
                <c:pt idx="82">
                  <c:v>61.226488044901195</c:v>
                </c:pt>
                <c:pt idx="83">
                  <c:v>61.135447579807057</c:v>
                </c:pt>
                <c:pt idx="84">
                  <c:v>61.044262015100493</c:v>
                </c:pt>
                <c:pt idx="85">
                  <c:v>60.952943000056962</c:v>
                </c:pt>
                <c:pt idx="86">
                  <c:v>60.861501246471811</c:v>
                </c:pt>
                <c:pt idx="87">
                  <c:v>60.76994660550362</c:v>
                </c:pt>
                <c:pt idx="88">
                  <c:v>60.678288137339699</c:v>
                </c:pt>
                <c:pt idx="89">
                  <c:v>60.586051006284805</c:v>
                </c:pt>
                <c:pt idx="90">
                  <c:v>60.493716505759942</c:v>
                </c:pt>
                <c:pt idx="91">
                  <c:v>60.401292450340819</c:v>
                </c:pt>
                <c:pt idx="92">
                  <c:v>60.308786027422876</c:v>
                </c:pt>
                <c:pt idx="93">
                  <c:v>60.216203847561367</c:v>
                </c:pt>
                <c:pt idx="94">
                  <c:v>60.123233987492931</c:v>
                </c:pt>
                <c:pt idx="95">
                  <c:v>60.030193764146979</c:v>
                </c:pt>
                <c:pt idx="96">
                  <c:v>59.937088824656627</c:v>
                </c:pt>
                <c:pt idx="97">
                  <c:v>59.843924362933976</c:v>
                </c:pt>
                <c:pt idx="98">
                  <c:v>59.750705156044233</c:v>
                </c:pt>
                <c:pt idx="99">
                  <c:v>59.657435597660523</c:v>
                </c:pt>
                <c:pt idx="100">
                  <c:v>59.563896012457143</c:v>
                </c:pt>
                <c:pt idx="101">
                  <c:v>59.470309416667376</c:v>
                </c:pt>
                <c:pt idx="102">
                  <c:v>59.376679583211477</c:v>
                </c:pt>
                <c:pt idx="103">
                  <c:v>59.283009982207112</c:v>
                </c:pt>
                <c:pt idx="104">
                  <c:v>59.189303805271337</c:v>
                </c:pt>
                <c:pt idx="105">
                  <c:v>59.095416746229724</c:v>
                </c:pt>
                <c:pt idx="106">
                  <c:v>59.001495839583406</c:v>
                </c:pt>
                <c:pt idx="107">
                  <c:v>58.907543801833562</c:v>
                </c:pt>
                <c:pt idx="108">
                  <c:v>58.813563131463624</c:v>
                </c:pt>
                <c:pt idx="109">
                  <c:v>58.719556126436679</c:v>
                </c:pt>
                <c:pt idx="110">
                  <c:v>58.625449777133525</c:v>
                </c:pt>
                <c:pt idx="111">
                  <c:v>58.531319667449608</c:v>
                </c:pt>
                <c:pt idx="112">
                  <c:v>58.437167704317574</c:v>
                </c:pt>
                <c:pt idx="113">
                  <c:v>58.342995641625713</c:v>
                </c:pt>
                <c:pt idx="114">
                  <c:v>58.248805092500817</c:v>
                </c:pt>
                <c:pt idx="115">
                  <c:v>58.154548097391</c:v>
                </c:pt>
                <c:pt idx="116">
                  <c:v>58.060274487932659</c:v>
                </c:pt>
                <c:pt idx="117">
                  <c:v>57.965985597540609</c:v>
                </c:pt>
                <c:pt idx="118">
                  <c:v>57.87168265261402</c:v>
                </c:pt>
                <c:pt idx="119">
                  <c:v>57.77736678112516</c:v>
                </c:pt>
                <c:pt idx="120">
                  <c:v>57.683039020518841</c:v>
                </c:pt>
                <c:pt idx="121">
                  <c:v>57.588664409024901</c:v>
                </c:pt>
                <c:pt idx="122">
                  <c:v>57.494279031104327</c:v>
                </c:pt>
                <c:pt idx="123">
                  <c:v>57.399883750836302</c:v>
                </c:pt>
                <c:pt idx="124">
                  <c:v>57.305479362951765</c:v>
                </c:pt>
                <c:pt idx="125">
                  <c:v>57.211066598399071</c:v>
                </c:pt>
                <c:pt idx="126">
                  <c:v>57.116622490943612</c:v>
                </c:pt>
                <c:pt idx="127">
                  <c:v>57.022170830734588</c:v>
                </c:pt>
                <c:pt idx="128">
                  <c:v>56.927712223931991</c:v>
                </c:pt>
                <c:pt idx="129">
                  <c:v>56.833247228047341</c:v>
                </c:pt>
                <c:pt idx="130">
                  <c:v>56.738776355848067</c:v>
                </c:pt>
                <c:pt idx="131">
                  <c:v>56.644282446573676</c:v>
                </c:pt>
                <c:pt idx="132">
                  <c:v>56.549783218243945</c:v>
                </c:pt>
                <c:pt idx="133">
                  <c:v>56.455279097749347</c:v>
                </c:pt>
                <c:pt idx="134">
                  <c:v>56.360770477719491</c:v>
                </c:pt>
                <c:pt idx="135">
                  <c:v>56.266257719272772</c:v>
                </c:pt>
                <c:pt idx="136">
                  <c:v>56.17174115454538</c:v>
                </c:pt>
                <c:pt idx="137">
                  <c:v>56.077210415433569</c:v>
                </c:pt>
                <c:pt idx="138">
                  <c:v>55.982676245753744</c:v>
                </c:pt>
                <c:pt idx="139">
                  <c:v>55.88813892083239</c:v>
                </c:pt>
                <c:pt idx="140">
                  <c:v>55.793598693899163</c:v>
                </c:pt>
                <c:pt idx="141">
                  <c:v>55.699055797860318</c:v>
                </c:pt>
                <c:pt idx="142">
                  <c:v>55.604503680251561</c:v>
                </c:pt>
                <c:pt idx="143">
                  <c:v>55.50994917117719</c:v>
                </c:pt>
                <c:pt idx="144">
                  <c:v>55.415392462568633</c:v>
                </c:pt>
                <c:pt idx="145">
                  <c:v>55.32083373095351</c:v>
                </c:pt>
                <c:pt idx="146">
                  <c:v>55.226273138691901</c:v>
                </c:pt>
                <c:pt idx="147">
                  <c:v>55.131706381542159</c:v>
                </c:pt>
                <c:pt idx="148">
                  <c:v>55.037137962492714</c:v>
                </c:pt>
                <c:pt idx="149">
                  <c:v>54.942568014922351</c:v>
                </c:pt>
                <c:pt idx="150">
                  <c:v>54.847996661505299</c:v>
                </c:pt>
                <c:pt idx="151">
                  <c:v>54.753424015070351</c:v>
                </c:pt>
                <c:pt idx="152">
                  <c:v>54.65885017939101</c:v>
                </c:pt>
                <c:pt idx="153">
                  <c:v>54.56427230703197</c:v>
                </c:pt>
                <c:pt idx="154">
                  <c:v>54.46969337055657</c:v>
                </c:pt>
                <c:pt idx="155">
                  <c:v>54.375113455367405</c:v>
                </c:pt>
                <c:pt idx="156">
                  <c:v>54.280532640012929</c:v>
                </c:pt>
                <c:pt idx="157">
                  <c:v>54.185950996737553</c:v>
                </c:pt>
                <c:pt idx="158">
                  <c:v>54.091366655095278</c:v>
                </c:pt>
                <c:pt idx="159">
                  <c:v>53.996781574851525</c:v>
                </c:pt>
                <c:pt idx="160">
                  <c:v>53.902195815284102</c:v>
                </c:pt>
                <c:pt idx="161">
                  <c:v>53.807609430913367</c:v>
                </c:pt>
                <c:pt idx="162">
                  <c:v>53.713022471884045</c:v>
                </c:pt>
                <c:pt idx="163">
                  <c:v>53.618433620381197</c:v>
                </c:pt>
                <c:pt idx="164">
                  <c:v>53.523844255830426</c:v>
                </c:pt>
                <c:pt idx="165">
                  <c:v>53.429254419407322</c:v>
                </c:pt>
                <c:pt idx="166">
                  <c:v>53.334664148982867</c:v>
                </c:pt>
                <c:pt idx="167">
                  <c:v>53.240073479388627</c:v>
                </c:pt>
                <c:pt idx="168">
                  <c:v>53.145481544970224</c:v>
                </c:pt>
                <c:pt idx="169">
                  <c:v>53.050889255159852</c:v>
                </c:pt>
                <c:pt idx="170">
                  <c:v>52.95629663848014</c:v>
                </c:pt>
                <c:pt idx="171">
                  <c:v>52.861703721164588</c:v>
                </c:pt>
                <c:pt idx="172">
                  <c:v>52.767110527341266</c:v>
                </c:pt>
                <c:pt idx="173">
                  <c:v>52.672517079201818</c:v>
                </c:pt>
                <c:pt idx="174">
                  <c:v>52.577922899920715</c:v>
                </c:pt>
                <c:pt idx="175">
                  <c:v>52.483328495689577</c:v>
                </c:pt>
                <c:pt idx="176">
                  <c:v>52.388733884562178</c:v>
                </c:pt>
                <c:pt idx="177">
                  <c:v>52.294139083143357</c:v>
                </c:pt>
                <c:pt idx="178">
                  <c:v>52.199544106705297</c:v>
                </c:pt>
                <c:pt idx="179">
                  <c:v>52.104948642032511</c:v>
                </c:pt>
                <c:pt idx="180">
                  <c:v>52.010353022844939</c:v>
                </c:pt>
                <c:pt idx="181">
                  <c:v>51.915757261543455</c:v>
                </c:pt>
                <c:pt idx="182">
                  <c:v>51.821161369533662</c:v>
                </c:pt>
                <c:pt idx="183">
                  <c:v>51.726565357305802</c:v>
                </c:pt>
                <c:pt idx="184">
                  <c:v>51.631968966807406</c:v>
                </c:pt>
                <c:pt idx="185">
                  <c:v>51.537372469327977</c:v>
                </c:pt>
                <c:pt idx="186">
                  <c:v>51.442775873453463</c:v>
                </c:pt>
                <c:pt idx="187">
                  <c:v>51.348179187080746</c:v>
                </c:pt>
                <c:pt idx="188">
                  <c:v>51.253582417472927</c:v>
                </c:pt>
                <c:pt idx="189">
                  <c:v>51.158985571310183</c:v>
                </c:pt>
                <c:pt idx="190">
                  <c:v>51.064388492686554</c:v>
                </c:pt>
                <c:pt idx="191">
                  <c:v>50.969791346103626</c:v>
                </c:pt>
                <c:pt idx="192">
                  <c:v>50.875194137015605</c:v>
                </c:pt>
                <c:pt idx="193">
                  <c:v>50.780596870438941</c:v>
                </c:pt>
                <c:pt idx="194">
                  <c:v>50.685999550987496</c:v>
                </c:pt>
                <c:pt idx="195">
                  <c:v>50.591402114253214</c:v>
                </c:pt>
                <c:pt idx="196">
                  <c:v>50.496804631435296</c:v>
                </c:pt>
                <c:pt idx="197">
                  <c:v>50.402207106232275</c:v>
                </c:pt>
                <c:pt idx="198">
                  <c:v>50.307609542045839</c:v>
                </c:pt>
                <c:pt idx="199">
                  <c:v>50.21301194200467</c:v>
                </c:pt>
                <c:pt idx="200">
                  <c:v>50.118414263802471</c:v>
                </c:pt>
              </c:numCache>
            </c:numRef>
          </c:cat>
          <c:val>
            <c:numRef>
              <c:f>'Sim 2.0 100mm'!$T$4:$T$204</c:f>
              <c:numCache>
                <c:formatCode>0.00\ "m/s"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1.1536879879383702E-3</c:v>
                </c:pt>
                <c:pt idx="3">
                  <c:v>3.7998138062415622E-3</c:v>
                </c:pt>
                <c:pt idx="4">
                  <c:v>7.9823300816560527E-3</c:v>
                </c:pt>
                <c:pt idx="5">
                  <c:v>1.3641628741655865E-2</c:v>
                </c:pt>
                <c:pt idx="6">
                  <c:v>2.0684671352097464E-2</c:v>
                </c:pt>
                <c:pt idx="7">
                  <c:v>2.9010537352501843E-2</c:v>
                </c:pt>
                <c:pt idx="8">
                  <c:v>3.8519570444254185E-2</c:v>
                </c:pt>
                <c:pt idx="9">
                  <c:v>4.9116500032498234E-2</c:v>
                </c:pt>
                <c:pt idx="10">
                  <c:v>6.0711358297233967E-2</c:v>
                </c:pt>
                <c:pt idx="11">
                  <c:v>7.321959904546399E-2</c:v>
                </c:pt>
                <c:pt idx="12">
                  <c:v>8.6561935393432779E-2</c:v>
                </c:pt>
                <c:pt idx="13">
                  <c:v>0.10066408594704358</c:v>
                </c:pt>
                <c:pt idx="14">
                  <c:v>0.11545649862828583</c:v>
                </c:pt>
                <c:pt idx="15">
                  <c:v>0.13087407695262668</c:v>
                </c:pt>
                <c:pt idx="16">
                  <c:v>0.14685591727065614</c:v>
                </c:pt>
                <c:pt idx="17">
                  <c:v>0.16334505952371012</c:v>
                </c:pt>
                <c:pt idx="18">
                  <c:v>0.18028825190102638</c:v>
                </c:pt>
                <c:pt idx="19">
                  <c:v>0.19763572902177134</c:v>
                </c:pt>
                <c:pt idx="20">
                  <c:v>0.21534100301401704</c:v>
                </c:pt>
                <c:pt idx="21">
                  <c:v>0.23336066679864129</c:v>
                </c:pt>
                <c:pt idx="22">
                  <c:v>0.25165420888929035</c:v>
                </c:pt>
                <c:pt idx="23">
                  <c:v>0.27018383904592741</c:v>
                </c:pt>
                <c:pt idx="24">
                  <c:v>0.28891432415296137</c:v>
                </c:pt>
                <c:pt idx="25">
                  <c:v>0.31107986330838133</c:v>
                </c:pt>
                <c:pt idx="26">
                  <c:v>0.33340519604380559</c:v>
                </c:pt>
                <c:pt idx="27">
                  <c:v>0.35585735189062906</c:v>
                </c:pt>
                <c:pt idx="28">
                  <c:v>0.37840564521596909</c:v>
                </c:pt>
                <c:pt idx="29">
                  <c:v>0.40102153896300224</c:v>
                </c:pt>
                <c:pt idx="30">
                  <c:v>0.42367851545278934</c:v>
                </c:pt>
                <c:pt idx="31">
                  <c:v>0.44635195438568664</c:v>
                </c:pt>
                <c:pt idx="32">
                  <c:v>0.46901901782833383</c:v>
                </c:pt>
                <c:pt idx="33">
                  <c:v>0.49165854185774271</c:v>
                </c:pt>
                <c:pt idx="34">
                  <c:v>0.51425093450619119</c:v>
                </c:pt>
                <c:pt idx="35">
                  <c:v>0.53677807965389479</c:v>
                </c:pt>
                <c:pt idx="36">
                  <c:v>0.55922324653036892</c:v>
                </c:pt>
                <c:pt idx="37">
                  <c:v>0.58157100450253918</c:v>
                </c:pt>
                <c:pt idx="38">
                  <c:v>0.6038071428452868</c:v>
                </c:pt>
                <c:pt idx="39">
                  <c:v>0.62591859520727999</c:v>
                </c:pt>
                <c:pt idx="40">
                  <c:v>0.65113228066484075</c:v>
                </c:pt>
                <c:pt idx="41">
                  <c:v>0.67617801393822419</c:v>
                </c:pt>
                <c:pt idx="42">
                  <c:v>0.70104426085673011</c:v>
                </c:pt>
                <c:pt idx="43">
                  <c:v>0.72572049347590484</c:v>
                </c:pt>
                <c:pt idx="44">
                  <c:v>0.75019712630914748</c:v>
                </c:pt>
                <c:pt idx="45">
                  <c:v>0.77446545683911394</c:v>
                </c:pt>
                <c:pt idx="46">
                  <c:v>0.79851760970502184</c:v>
                </c:pt>
                <c:pt idx="47">
                  <c:v>0.82234648422349965</c:v>
                </c:pt>
                <c:pt idx="48">
                  <c:v>0.84594570500375899</c:v>
                </c:pt>
                <c:pt idx="49">
                  <c:v>0.86930957546227894</c:v>
                </c:pt>
                <c:pt idx="50">
                  <c:v>0.89590612270843761</c:v>
                </c:pt>
                <c:pt idx="51">
                  <c:v>0.92222392885368565</c:v>
                </c:pt>
                <c:pt idx="52">
                  <c:v>0.94825832352366723</c:v>
                </c:pt>
                <c:pt idx="53">
                  <c:v>0.97400523929475546</c:v>
                </c:pt>
                <c:pt idx="54">
                  <c:v>0.99946117040519489</c:v>
                </c:pt>
                <c:pt idx="55">
                  <c:v>1.024623135095809</c:v>
                </c:pt>
                <c:pt idx="56">
                  <c:v>1.0494886405993427</c:v>
                </c:pt>
                <c:pt idx="57">
                  <c:v>1.0740556503429457</c:v>
                </c:pt>
                <c:pt idx="58">
                  <c:v>1.0983225531333511</c:v>
                </c:pt>
                <c:pt idx="59">
                  <c:v>1.125417660220269</c:v>
                </c:pt>
                <c:pt idx="60">
                  <c:v>1.1521746454523265</c:v>
                </c:pt>
                <c:pt idx="61">
                  <c:v>1.1785926893242995</c:v>
                </c:pt>
                <c:pt idx="62">
                  <c:v>1.2046713481589402</c:v>
                </c:pt>
                <c:pt idx="63">
                  <c:v>1.2304105255571922</c:v>
                </c:pt>
                <c:pt idx="64">
                  <c:v>1.2558104470092188</c:v>
                </c:pt>
                <c:pt idx="65">
                  <c:v>1.2808716365447061</c:v>
                </c:pt>
                <c:pt idx="66">
                  <c:v>1.308788628950103</c:v>
                </c:pt>
                <c:pt idx="67">
                  <c:v>1.336330361985012</c:v>
                </c:pt>
                <c:pt idx="68">
                  <c:v>1.363497905347071</c:v>
                </c:pt>
                <c:pt idx="69">
                  <c:v>1.3902926012728127</c:v>
                </c:pt>
                <c:pt idx="70">
                  <c:v>1.4167160408790773</c:v>
                </c:pt>
                <c:pt idx="71">
                  <c:v>1.4427700440568663</c:v>
                </c:pt>
                <c:pt idx="72">
                  <c:v>1.4713952157324186</c:v>
                </c:pt>
                <c:pt idx="73">
                  <c:v>1.4984175346779076</c:v>
                </c:pt>
                <c:pt idx="74">
                  <c:v>1.5235280978383507</c:v>
                </c:pt>
                <c:pt idx="75">
                  <c:v>1.5467184457764158</c:v>
                </c:pt>
                <c:pt idx="76">
                  <c:v>1.5680827892372009</c:v>
                </c:pt>
                <c:pt idx="77">
                  <c:v>1.5877455146751243</c:v>
                </c:pt>
                <c:pt idx="78">
                  <c:v>1.607954165749949</c:v>
                </c:pt>
                <c:pt idx="79">
                  <c:v>1.6265429253978707</c:v>
                </c:pt>
                <c:pt idx="80">
                  <c:v>1.6436405468269688</c:v>
                </c:pt>
                <c:pt idx="81">
                  <c:v>1.65936624002366</c:v>
                </c:pt>
                <c:pt idx="82">
                  <c:v>1.6738299398973202</c:v>
                </c:pt>
                <c:pt idx="83">
                  <c:v>1.6885278760958591</c:v>
                </c:pt>
                <c:pt idx="84">
                  <c:v>1.7020462178993938</c:v>
                </c:pt>
                <c:pt idx="85">
                  <c:v>1.7144796261965141</c:v>
                </c:pt>
                <c:pt idx="86">
                  <c:v>1.7259151707471589</c:v>
                </c:pt>
                <c:pt idx="87">
                  <c:v>1.7364329356088222</c:v>
                </c:pt>
                <c:pt idx="88">
                  <c:v>1.7461065783757768</c:v>
                </c:pt>
                <c:pt idx="89">
                  <c:v>1.7559701826479914</c:v>
                </c:pt>
                <c:pt idx="90">
                  <c:v>1.7650421654329127</c:v>
                </c:pt>
                <c:pt idx="91">
                  <c:v>1.7733860597278723</c:v>
                </c:pt>
                <c:pt idx="92">
                  <c:v>1.7810602995909732</c:v>
                </c:pt>
                <c:pt idx="93">
                  <c:v>1.7881186293548992</c:v>
                </c:pt>
                <c:pt idx="94">
                  <c:v>1.7952464865562858</c:v>
                </c:pt>
                <c:pt idx="95">
                  <c:v>1.8018022845925625</c:v>
                </c:pt>
                <c:pt idx="96">
                  <c:v>1.8078319351140115</c:v>
                </c:pt>
                <c:pt idx="97">
                  <c:v>1.8133776650479094</c:v>
                </c:pt>
                <c:pt idx="98">
                  <c:v>1.8184783123226027</c:v>
                </c:pt>
                <c:pt idx="99">
                  <c:v>1.8231695978577602</c:v>
                </c:pt>
                <c:pt idx="100">
                  <c:v>1.8279318084787453</c:v>
                </c:pt>
                <c:pt idx="101">
                  <c:v>1.8323118192104066</c:v>
                </c:pt>
                <c:pt idx="102">
                  <c:v>1.8363403042011646</c:v>
                </c:pt>
                <c:pt idx="103">
                  <c:v>1.8400454757897751</c:v>
                </c:pt>
                <c:pt idx="104">
                  <c:v>1.8434532820823495</c:v>
                </c:pt>
                <c:pt idx="105">
                  <c:v>1.8468820719573393</c:v>
                </c:pt>
                <c:pt idx="106">
                  <c:v>1.8500356780542402</c:v>
                </c:pt>
                <c:pt idx="107">
                  <c:v>1.8529361857485005</c:v>
                </c:pt>
                <c:pt idx="108">
                  <c:v>1.8556039079135265</c:v>
                </c:pt>
                <c:pt idx="109">
                  <c:v>1.8580575271760624</c:v>
                </c:pt>
                <c:pt idx="110">
                  <c:v>1.8604644730647628</c:v>
                </c:pt>
                <c:pt idx="111">
                  <c:v>1.8626782451261197</c:v>
                </c:pt>
                <c:pt idx="112">
                  <c:v>1.8647143468775762</c:v>
                </c:pt>
                <c:pt idx="113">
                  <c:v>1.8665870375735387</c:v>
                </c:pt>
                <c:pt idx="114">
                  <c:v>1.868309432065973</c:v>
                </c:pt>
                <c:pt idx="115">
                  <c:v>1.869992479079005</c:v>
                </c:pt>
                <c:pt idx="116">
                  <c:v>1.8715404500877808</c:v>
                </c:pt>
                <c:pt idx="117">
                  <c:v>1.8729641858631074</c:v>
                </c:pt>
                <c:pt idx="118">
                  <c:v>1.874273657129981</c:v>
                </c:pt>
                <c:pt idx="119">
                  <c:v>1.8754780343946977</c:v>
                </c:pt>
                <c:pt idx="120">
                  <c:v>1.8765857521678642</c:v>
                </c:pt>
                <c:pt idx="121">
                  <c:v>1.8776763999389618</c:v>
                </c:pt>
                <c:pt idx="122">
                  <c:v>1.8786795157862155</c:v>
                </c:pt>
                <c:pt idx="123">
                  <c:v>1.8796021247436414</c:v>
                </c:pt>
                <c:pt idx="124">
                  <c:v>1.8804506880383525</c:v>
                </c:pt>
                <c:pt idx="125">
                  <c:v>1.8812311483399087</c:v>
                </c:pt>
                <c:pt idx="126">
                  <c:v>1.8819962484168367</c:v>
                </c:pt>
                <c:pt idx="127">
                  <c:v>1.8826999439932086</c:v>
                </c:pt>
                <c:pt idx="128">
                  <c:v>1.8833471631990852</c:v>
                </c:pt>
                <c:pt idx="129">
                  <c:v>1.8839424386484709</c:v>
                </c:pt>
                <c:pt idx="130">
                  <c:v>1.8844899391821757</c:v>
                </c:pt>
                <c:pt idx="131">
                  <c:v>1.8850287638127372</c:v>
                </c:pt>
                <c:pt idx="132">
                  <c:v>1.8855243440909262</c:v>
                </c:pt>
                <c:pt idx="133">
                  <c:v>1.8859801506710261</c:v>
                </c:pt>
                <c:pt idx="134">
                  <c:v>1.8863993756636381</c:v>
                </c:pt>
                <c:pt idx="135">
                  <c:v>1.8867849549907114</c:v>
                </c:pt>
                <c:pt idx="136">
                  <c:v>1.8871395889464306</c:v>
                </c:pt>
                <c:pt idx="137">
                  <c:v>1.8874871082754034</c:v>
                </c:pt>
                <c:pt idx="138">
                  <c:v>1.8878067368075084</c:v>
                </c:pt>
                <c:pt idx="139">
                  <c:v>1.8881007129694607</c:v>
                </c:pt>
                <c:pt idx="140">
                  <c:v>1.8883710955389608</c:v>
                </c:pt>
                <c:pt idx="141">
                  <c:v>1.8886197780627547</c:v>
                </c:pt>
                <c:pt idx="142">
                  <c:v>1.8888620354739929</c:v>
                </c:pt>
                <c:pt idx="143">
                  <c:v>1.8890848500753405</c:v>
                </c:pt>
                <c:pt idx="144">
                  <c:v>1.8892897822849266</c:v>
                </c:pt>
                <c:pt idx="145">
                  <c:v>1.8894782672866808</c:v>
                </c:pt>
                <c:pt idx="146">
                  <c:v>1.8896516250812316</c:v>
                </c:pt>
                <c:pt idx="147">
                  <c:v>1.8898199768725867</c:v>
                </c:pt>
                <c:pt idx="148">
                  <c:v>1.8899748172842183</c:v>
                </c:pt>
                <c:pt idx="149">
                  <c:v>1.8901172306965215</c:v>
                </c:pt>
                <c:pt idx="150">
                  <c:v>1.8902482144609674</c:v>
                </c:pt>
                <c:pt idx="151">
                  <c:v>1.8903686858847675</c:v>
                </c:pt>
                <c:pt idx="152">
                  <c:v>1.8904794886549721</c:v>
                </c:pt>
                <c:pt idx="153">
                  <c:v>1.8905872845075549</c:v>
                </c:pt>
                <c:pt idx="154">
                  <c:v>1.8906864290076029</c:v>
                </c:pt>
                <c:pt idx="155">
                  <c:v>1.8907776164851753</c:v>
                </c:pt>
                <c:pt idx="156">
                  <c:v>1.890861485545607</c:v>
                </c:pt>
                <c:pt idx="157">
                  <c:v>1.8909386235417986</c:v>
                </c:pt>
                <c:pt idx="158">
                  <c:v>1.8910134444721654</c:v>
                </c:pt>
                <c:pt idx="159">
                  <c:v>1.8910822605124544</c:v>
                </c:pt>
                <c:pt idx="160">
                  <c:v>1.8911455535960591</c:v>
                </c:pt>
                <c:pt idx="161">
                  <c:v>1.8912037669779298</c:v>
                </c:pt>
                <c:pt idx="162">
                  <c:v>1.8912573083387836</c:v>
                </c:pt>
                <c:pt idx="163">
                  <c:v>1.8913092805106035</c:v>
                </c:pt>
                <c:pt idx="164">
                  <c:v>1.8913570815610896</c:v>
                </c:pt>
                <c:pt idx="165">
                  <c:v>1.8914010462511837</c:v>
                </c:pt>
                <c:pt idx="166">
                  <c:v>1.8914414824749781</c:v>
                </c:pt>
                <c:pt idx="167">
                  <c:v>1.8914786734159639</c:v>
                </c:pt>
                <c:pt idx="168">
                  <c:v>1.8915146749111797</c:v>
                </c:pt>
                <c:pt idx="169">
                  <c:v>1.8915477870408084</c:v>
                </c:pt>
                <c:pt idx="170">
                  <c:v>1.8915782416961491</c:v>
                </c:pt>
                <c:pt idx="171">
                  <c:v>1.8916062521576422</c:v>
                </c:pt>
                <c:pt idx="172">
                  <c:v>1.8916320145885179</c:v>
                </c:pt>
                <c:pt idx="173">
                  <c:v>1.8916557094085689</c:v>
                </c:pt>
                <c:pt idx="174">
                  <c:v>1.8916784970299223</c:v>
                </c:pt>
                <c:pt idx="175">
                  <c:v>1.8916994557892088</c:v>
                </c:pt>
                <c:pt idx="176">
                  <c:v>1.8917187324650855</c:v>
                </c:pt>
                <c:pt idx="177">
                  <c:v>1.8917364620562209</c:v>
                </c:pt>
                <c:pt idx="178">
                  <c:v>1.8917527687267195</c:v>
                </c:pt>
                <c:pt idx="179">
                  <c:v>1.8917684211996257</c:v>
                </c:pt>
                <c:pt idx="180">
                  <c:v>1.8917828174548028</c:v>
                </c:pt>
                <c:pt idx="181">
                  <c:v>1.8917960583122932</c:v>
                </c:pt>
                <c:pt idx="182">
                  <c:v>1.891808236500643</c:v>
                </c:pt>
                <c:pt idx="183">
                  <c:v>1.8918194373063002</c:v>
                </c:pt>
                <c:pt idx="184">
                  <c:v>1.8918302745724584</c:v>
                </c:pt>
                <c:pt idx="185">
                  <c:v>1.8918402420740774</c:v>
                </c:pt>
                <c:pt idx="186">
                  <c:v>1.8918494096156948</c:v>
                </c:pt>
                <c:pt idx="187">
                  <c:v>1.8918578413995581</c:v>
                </c:pt>
                <c:pt idx="188">
                  <c:v>1.8918655964752462</c:v>
                </c:pt>
                <c:pt idx="189">
                  <c:v>1.8918727291532065</c:v>
                </c:pt>
                <c:pt idx="190">
                  <c:v>1.891879613485145</c:v>
                </c:pt>
                <c:pt idx="191">
                  <c:v>1.8918859453024817</c:v>
                </c:pt>
                <c:pt idx="192">
                  <c:v>1.8918917689482826</c:v>
                </c:pt>
                <c:pt idx="193">
                  <c:v>1.89189712520678</c:v>
                </c:pt>
                <c:pt idx="194">
                  <c:v>1.8919020515889935</c:v>
                </c:pt>
                <c:pt idx="195">
                  <c:v>1.8919067198986528</c:v>
                </c:pt>
                <c:pt idx="196">
                  <c:v>1.8919110135446155</c:v>
                </c:pt>
                <c:pt idx="197">
                  <c:v>1.8919149625961993</c:v>
                </c:pt>
                <c:pt idx="198">
                  <c:v>1.8919185947094537</c:v>
                </c:pt>
                <c:pt idx="199">
                  <c:v>1.8919219353208416</c:v>
                </c:pt>
                <c:pt idx="200">
                  <c:v>1.891925098193157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6C-4835-8FA4-D7FF3B287BC0}"/>
            </c:ext>
          </c:extLst>
        </c:ser>
        <c:ser>
          <c:idx val="2"/>
          <c:order val="2"/>
          <c:tx>
            <c:v>Field (%)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'Sim 2.0 100mm'!$U$4:$U$204</c:f>
              <c:numCache>
                <c:formatCode>0.00\ "mm"</c:formatCode>
                <c:ptCount val="201"/>
                <c:pt idx="0">
                  <c:v>65</c:v>
                </c:pt>
                <c:pt idx="1">
                  <c:v>65</c:v>
                </c:pt>
                <c:pt idx="2">
                  <c:v>64.999423156006031</c:v>
                </c:pt>
                <c:pt idx="3">
                  <c:v>64.998042408697486</c:v>
                </c:pt>
                <c:pt idx="4">
                  <c:v>64.995761159869474</c:v>
                </c:pt>
                <c:pt idx="5">
                  <c:v>64.992532394035393</c:v>
                </c:pt>
                <c:pt idx="6">
                  <c:v>64.988328791293085</c:v>
                </c:pt>
                <c:pt idx="7">
                  <c:v>64.983131624725274</c:v>
                </c:pt>
                <c:pt idx="8">
                  <c:v>64.976926581311773</c:v>
                </c:pt>
                <c:pt idx="9">
                  <c:v>64.969702137995441</c:v>
                </c:pt>
                <c:pt idx="10">
                  <c:v>64.961448883861451</c:v>
                </c:pt>
                <c:pt idx="11">
                  <c:v>64.952159195572477</c:v>
                </c:pt>
                <c:pt idx="12">
                  <c:v>64.941827047446225</c:v>
                </c:pt>
                <c:pt idx="13">
                  <c:v>64.93044787539975</c:v>
                </c:pt>
                <c:pt idx="14">
                  <c:v>64.918018464761772</c:v>
                </c:pt>
                <c:pt idx="15">
                  <c:v>64.904536850668194</c:v>
                </c:pt>
                <c:pt idx="16">
                  <c:v>64.890002226661551</c:v>
                </c:pt>
                <c:pt idx="17">
                  <c:v>64.874414859671489</c:v>
                </c:pt>
                <c:pt idx="18">
                  <c:v>64.85777601050664</c:v>
                </c:pt>
                <c:pt idx="19">
                  <c:v>64.840087859351215</c:v>
                </c:pt>
                <c:pt idx="20">
                  <c:v>64.821353435904001</c:v>
                </c:pt>
                <c:pt idx="21">
                  <c:v>64.801576553860983</c:v>
                </c:pt>
                <c:pt idx="22">
                  <c:v>64.78076174947573</c:v>
                </c:pt>
                <c:pt idx="23">
                  <c:v>64.758914223952942</c:v>
                </c:pt>
                <c:pt idx="24">
                  <c:v>64.736039789447133</c:v>
                </c:pt>
                <c:pt idx="25">
                  <c:v>64.710511303661775</c:v>
                </c:pt>
                <c:pt idx="26">
                  <c:v>64.683794644128639</c:v>
                </c:pt>
                <c:pt idx="27">
                  <c:v>64.655898306403031</c:v>
                </c:pt>
                <c:pt idx="28">
                  <c:v>64.626831292145823</c:v>
                </c:pt>
                <c:pt idx="29">
                  <c:v>64.596603063011514</c:v>
                </c:pt>
                <c:pt idx="30">
                  <c:v>64.565223497818465</c:v>
                </c:pt>
                <c:pt idx="31">
                  <c:v>64.532702852579376</c:v>
                </c:pt>
                <c:pt idx="32">
                  <c:v>64.499051723138763</c:v>
                </c:pt>
                <c:pt idx="33">
                  <c:v>64.464281010232639</c:v>
                </c:pt>
                <c:pt idx="34">
                  <c:v>64.428401886815521</c:v>
                </c:pt>
                <c:pt idx="35">
                  <c:v>64.391425767516367</c:v>
                </c:pt>
                <c:pt idx="36">
                  <c:v>64.353364280095434</c:v>
                </c:pt>
                <c:pt idx="37">
                  <c:v>64.314229238782829</c:v>
                </c:pt>
                <c:pt idx="38">
                  <c:v>64.274032619386332</c:v>
                </c:pt>
                <c:pt idx="39">
                  <c:v>64.232786536063074</c:v>
                </c:pt>
                <c:pt idx="40">
                  <c:v>64.188883763573926</c:v>
                </c:pt>
                <c:pt idx="41">
                  <c:v>64.143804282903986</c:v>
                </c:pt>
                <c:pt idx="42">
                  <c:v>64.097562258747828</c:v>
                </c:pt>
                <c:pt idx="43">
                  <c:v>64.050171929395404</c:v>
                </c:pt>
                <c:pt idx="44">
                  <c:v>64.001647588304991</c:v>
                </c:pt>
                <c:pt idx="45">
                  <c:v>63.952003566724549</c:v>
                </c:pt>
                <c:pt idx="46">
                  <c:v>63.90125421744964</c:v>
                </c:pt>
                <c:pt idx="47">
                  <c:v>63.849413899705148</c:v>
                </c:pt>
                <c:pt idx="48">
                  <c:v>63.796496965103842</c:v>
                </c:pt>
                <c:pt idx="49">
                  <c:v>63.742517744624394</c:v>
                </c:pt>
                <c:pt idx="50">
                  <c:v>63.6857539922282</c:v>
                </c:pt>
                <c:pt idx="51">
                  <c:v>63.627799783020151</c:v>
                </c:pt>
                <c:pt idx="52">
                  <c:v>63.568671389242475</c:v>
                </c:pt>
                <c:pt idx="53">
                  <c:v>63.50838501518075</c:v>
                </c:pt>
                <c:pt idx="54">
                  <c:v>63.446956787660795</c:v>
                </c:pt>
                <c:pt idx="55">
                  <c:v>63.384402746795232</c:v>
                </c:pt>
                <c:pt idx="56">
                  <c:v>63.320738837288673</c:v>
                </c:pt>
                <c:pt idx="57">
                  <c:v>63.255980900386902</c:v>
                </c:pt>
                <c:pt idx="58">
                  <c:v>63.190144666474552</c:v>
                </c:pt>
                <c:pt idx="59">
                  <c:v>63.121680985274423</c:v>
                </c:pt>
                <c:pt idx="60">
                  <c:v>63.052031609647379</c:v>
                </c:pt>
                <c:pt idx="61">
                  <c:v>62.981213855438774</c:v>
                </c:pt>
                <c:pt idx="62">
                  <c:v>62.90924489155524</c:v>
                </c:pt>
                <c:pt idx="63">
                  <c:v>62.836141735448166</c:v>
                </c:pt>
                <c:pt idx="64">
                  <c:v>62.761921248444295</c:v>
                </c:pt>
                <c:pt idx="65">
                  <c:v>62.686600131326088</c:v>
                </c:pt>
                <c:pt idx="66">
                  <c:v>62.608598053296156</c:v>
                </c:pt>
                <c:pt idx="67">
                  <c:v>62.529387755331193</c:v>
                </c:pt>
                <c:pt idx="68">
                  <c:v>62.448987465550914</c:v>
                </c:pt>
                <c:pt idx="69">
                  <c:v>62.367415222320687</c:v>
                </c:pt>
                <c:pt idx="70">
                  <c:v>62.284688872453913</c:v>
                </c:pt>
                <c:pt idx="71">
                  <c:v>62.200826068821065</c:v>
                </c:pt>
                <c:pt idx="72">
                  <c:v>62.114374980780447</c:v>
                </c:pt>
                <c:pt idx="73">
                  <c:v>62.027294060521079</c:v>
                </c:pt>
                <c:pt idx="74">
                  <c:v>61.939817902206961</c:v>
                </c:pt>
                <c:pt idx="75">
                  <c:v>61.852046323346009</c:v>
                </c:pt>
                <c:pt idx="76">
                  <c:v>61.764028229326797</c:v>
                </c:pt>
                <c:pt idx="77">
                  <c:v>61.675792727145975</c:v>
                </c:pt>
                <c:pt idx="78">
                  <c:v>61.586301125874805</c:v>
                </c:pt>
                <c:pt idx="79">
                  <c:v>61.496609037763349</c:v>
                </c:pt>
                <c:pt idx="80">
                  <c:v>61.406733080778906</c:v>
                </c:pt>
                <c:pt idx="81">
                  <c:v>61.31668820683921</c:v>
                </c:pt>
                <c:pt idx="82">
                  <c:v>61.226488044901195</c:v>
                </c:pt>
                <c:pt idx="83">
                  <c:v>61.135447579807057</c:v>
                </c:pt>
                <c:pt idx="84">
                  <c:v>61.044262015100493</c:v>
                </c:pt>
                <c:pt idx="85">
                  <c:v>60.952943000056962</c:v>
                </c:pt>
                <c:pt idx="86">
                  <c:v>60.861501246471811</c:v>
                </c:pt>
                <c:pt idx="87">
                  <c:v>60.76994660550362</c:v>
                </c:pt>
                <c:pt idx="88">
                  <c:v>60.678288137339699</c:v>
                </c:pt>
                <c:pt idx="89">
                  <c:v>60.586051006284805</c:v>
                </c:pt>
                <c:pt idx="90">
                  <c:v>60.493716505759942</c:v>
                </c:pt>
                <c:pt idx="91">
                  <c:v>60.401292450340819</c:v>
                </c:pt>
                <c:pt idx="92">
                  <c:v>60.308786027422876</c:v>
                </c:pt>
                <c:pt idx="93">
                  <c:v>60.216203847561367</c:v>
                </c:pt>
                <c:pt idx="94">
                  <c:v>60.123233987492931</c:v>
                </c:pt>
                <c:pt idx="95">
                  <c:v>60.030193764146979</c:v>
                </c:pt>
                <c:pt idx="96">
                  <c:v>59.937088824656627</c:v>
                </c:pt>
                <c:pt idx="97">
                  <c:v>59.843924362933976</c:v>
                </c:pt>
                <c:pt idx="98">
                  <c:v>59.750705156044233</c:v>
                </c:pt>
                <c:pt idx="99">
                  <c:v>59.657435597660523</c:v>
                </c:pt>
                <c:pt idx="100">
                  <c:v>59.563896012457143</c:v>
                </c:pt>
                <c:pt idx="101">
                  <c:v>59.470309416667376</c:v>
                </c:pt>
                <c:pt idx="102">
                  <c:v>59.376679583211477</c:v>
                </c:pt>
                <c:pt idx="103">
                  <c:v>59.283009982207112</c:v>
                </c:pt>
                <c:pt idx="104">
                  <c:v>59.189303805271337</c:v>
                </c:pt>
                <c:pt idx="105">
                  <c:v>59.095416746229724</c:v>
                </c:pt>
                <c:pt idx="106">
                  <c:v>59.001495839583406</c:v>
                </c:pt>
                <c:pt idx="107">
                  <c:v>58.907543801833562</c:v>
                </c:pt>
                <c:pt idx="108">
                  <c:v>58.813563131463624</c:v>
                </c:pt>
                <c:pt idx="109">
                  <c:v>58.719556126436679</c:v>
                </c:pt>
                <c:pt idx="110">
                  <c:v>58.625449777133525</c:v>
                </c:pt>
                <c:pt idx="111">
                  <c:v>58.531319667449608</c:v>
                </c:pt>
                <c:pt idx="112">
                  <c:v>58.437167704317574</c:v>
                </c:pt>
                <c:pt idx="113">
                  <c:v>58.342995641625713</c:v>
                </c:pt>
                <c:pt idx="114">
                  <c:v>58.248805092500817</c:v>
                </c:pt>
                <c:pt idx="115">
                  <c:v>58.154548097391</c:v>
                </c:pt>
                <c:pt idx="116">
                  <c:v>58.060274487932659</c:v>
                </c:pt>
                <c:pt idx="117">
                  <c:v>57.965985597540609</c:v>
                </c:pt>
                <c:pt idx="118">
                  <c:v>57.87168265261402</c:v>
                </c:pt>
                <c:pt idx="119">
                  <c:v>57.77736678112516</c:v>
                </c:pt>
                <c:pt idx="120">
                  <c:v>57.683039020518841</c:v>
                </c:pt>
                <c:pt idx="121">
                  <c:v>57.588664409024901</c:v>
                </c:pt>
                <c:pt idx="122">
                  <c:v>57.494279031104327</c:v>
                </c:pt>
                <c:pt idx="123">
                  <c:v>57.399883750836302</c:v>
                </c:pt>
                <c:pt idx="124">
                  <c:v>57.305479362951765</c:v>
                </c:pt>
                <c:pt idx="125">
                  <c:v>57.211066598399071</c:v>
                </c:pt>
                <c:pt idx="126">
                  <c:v>57.116622490943612</c:v>
                </c:pt>
                <c:pt idx="127">
                  <c:v>57.022170830734588</c:v>
                </c:pt>
                <c:pt idx="128">
                  <c:v>56.927712223931991</c:v>
                </c:pt>
                <c:pt idx="129">
                  <c:v>56.833247228047341</c:v>
                </c:pt>
                <c:pt idx="130">
                  <c:v>56.738776355848067</c:v>
                </c:pt>
                <c:pt idx="131">
                  <c:v>56.644282446573676</c:v>
                </c:pt>
                <c:pt idx="132">
                  <c:v>56.549783218243945</c:v>
                </c:pt>
                <c:pt idx="133">
                  <c:v>56.455279097749347</c:v>
                </c:pt>
                <c:pt idx="134">
                  <c:v>56.360770477719491</c:v>
                </c:pt>
                <c:pt idx="135">
                  <c:v>56.266257719272772</c:v>
                </c:pt>
                <c:pt idx="136">
                  <c:v>56.17174115454538</c:v>
                </c:pt>
                <c:pt idx="137">
                  <c:v>56.077210415433569</c:v>
                </c:pt>
                <c:pt idx="138">
                  <c:v>55.982676245753744</c:v>
                </c:pt>
                <c:pt idx="139">
                  <c:v>55.88813892083239</c:v>
                </c:pt>
                <c:pt idx="140">
                  <c:v>55.793598693899163</c:v>
                </c:pt>
                <c:pt idx="141">
                  <c:v>55.699055797860318</c:v>
                </c:pt>
                <c:pt idx="142">
                  <c:v>55.604503680251561</c:v>
                </c:pt>
                <c:pt idx="143">
                  <c:v>55.50994917117719</c:v>
                </c:pt>
                <c:pt idx="144">
                  <c:v>55.415392462568633</c:v>
                </c:pt>
                <c:pt idx="145">
                  <c:v>55.32083373095351</c:v>
                </c:pt>
                <c:pt idx="146">
                  <c:v>55.226273138691901</c:v>
                </c:pt>
                <c:pt idx="147">
                  <c:v>55.131706381542159</c:v>
                </c:pt>
                <c:pt idx="148">
                  <c:v>55.037137962492714</c:v>
                </c:pt>
                <c:pt idx="149">
                  <c:v>54.942568014922351</c:v>
                </c:pt>
                <c:pt idx="150">
                  <c:v>54.847996661505299</c:v>
                </c:pt>
                <c:pt idx="151">
                  <c:v>54.753424015070351</c:v>
                </c:pt>
                <c:pt idx="152">
                  <c:v>54.65885017939101</c:v>
                </c:pt>
                <c:pt idx="153">
                  <c:v>54.56427230703197</c:v>
                </c:pt>
                <c:pt idx="154">
                  <c:v>54.46969337055657</c:v>
                </c:pt>
                <c:pt idx="155">
                  <c:v>54.375113455367405</c:v>
                </c:pt>
                <c:pt idx="156">
                  <c:v>54.280532640012929</c:v>
                </c:pt>
                <c:pt idx="157">
                  <c:v>54.185950996737553</c:v>
                </c:pt>
                <c:pt idx="158">
                  <c:v>54.091366655095278</c:v>
                </c:pt>
                <c:pt idx="159">
                  <c:v>53.996781574851525</c:v>
                </c:pt>
                <c:pt idx="160">
                  <c:v>53.902195815284102</c:v>
                </c:pt>
                <c:pt idx="161">
                  <c:v>53.807609430913367</c:v>
                </c:pt>
                <c:pt idx="162">
                  <c:v>53.713022471884045</c:v>
                </c:pt>
                <c:pt idx="163">
                  <c:v>53.618433620381197</c:v>
                </c:pt>
                <c:pt idx="164">
                  <c:v>53.523844255830426</c:v>
                </c:pt>
                <c:pt idx="165">
                  <c:v>53.429254419407322</c:v>
                </c:pt>
                <c:pt idx="166">
                  <c:v>53.334664148982867</c:v>
                </c:pt>
                <c:pt idx="167">
                  <c:v>53.240073479388627</c:v>
                </c:pt>
                <c:pt idx="168">
                  <c:v>53.145481544970224</c:v>
                </c:pt>
                <c:pt idx="169">
                  <c:v>53.050889255159852</c:v>
                </c:pt>
                <c:pt idx="170">
                  <c:v>52.95629663848014</c:v>
                </c:pt>
                <c:pt idx="171">
                  <c:v>52.861703721164588</c:v>
                </c:pt>
                <c:pt idx="172">
                  <c:v>52.767110527341266</c:v>
                </c:pt>
                <c:pt idx="173">
                  <c:v>52.672517079201818</c:v>
                </c:pt>
                <c:pt idx="174">
                  <c:v>52.577922899920715</c:v>
                </c:pt>
                <c:pt idx="175">
                  <c:v>52.483328495689577</c:v>
                </c:pt>
                <c:pt idx="176">
                  <c:v>52.388733884562178</c:v>
                </c:pt>
                <c:pt idx="177">
                  <c:v>52.294139083143357</c:v>
                </c:pt>
                <c:pt idx="178">
                  <c:v>52.199544106705297</c:v>
                </c:pt>
                <c:pt idx="179">
                  <c:v>52.104948642032511</c:v>
                </c:pt>
                <c:pt idx="180">
                  <c:v>52.010353022844939</c:v>
                </c:pt>
                <c:pt idx="181">
                  <c:v>51.915757261543455</c:v>
                </c:pt>
                <c:pt idx="182">
                  <c:v>51.821161369533662</c:v>
                </c:pt>
                <c:pt idx="183">
                  <c:v>51.726565357305802</c:v>
                </c:pt>
                <c:pt idx="184">
                  <c:v>51.631968966807406</c:v>
                </c:pt>
                <c:pt idx="185">
                  <c:v>51.537372469327977</c:v>
                </c:pt>
                <c:pt idx="186">
                  <c:v>51.442775873453463</c:v>
                </c:pt>
                <c:pt idx="187">
                  <c:v>51.348179187080746</c:v>
                </c:pt>
                <c:pt idx="188">
                  <c:v>51.253582417472927</c:v>
                </c:pt>
                <c:pt idx="189">
                  <c:v>51.158985571310183</c:v>
                </c:pt>
                <c:pt idx="190">
                  <c:v>51.064388492686554</c:v>
                </c:pt>
                <c:pt idx="191">
                  <c:v>50.969791346103626</c:v>
                </c:pt>
                <c:pt idx="192">
                  <c:v>50.875194137015605</c:v>
                </c:pt>
                <c:pt idx="193">
                  <c:v>50.780596870438941</c:v>
                </c:pt>
                <c:pt idx="194">
                  <c:v>50.685999550987496</c:v>
                </c:pt>
                <c:pt idx="195">
                  <c:v>50.591402114253214</c:v>
                </c:pt>
                <c:pt idx="196">
                  <c:v>50.496804631435296</c:v>
                </c:pt>
                <c:pt idx="197">
                  <c:v>50.402207106232275</c:v>
                </c:pt>
                <c:pt idx="198">
                  <c:v>50.307609542045839</c:v>
                </c:pt>
                <c:pt idx="199">
                  <c:v>50.21301194200467</c:v>
                </c:pt>
                <c:pt idx="200">
                  <c:v>50.118414263802471</c:v>
                </c:pt>
              </c:numCache>
            </c:numRef>
          </c:cat>
          <c:val>
            <c:numRef>
              <c:f>'Sim 2.0 100mm'!$Q$4:$Q$204</c:f>
              <c:numCache>
                <c:formatCode>0.0\ "%"</c:formatCode>
                <c:ptCount val="201"/>
                <c:pt idx="0">
                  <c:v>0</c:v>
                </c:pt>
                <c:pt idx="1">
                  <c:v>4.8117229129662524</c:v>
                </c:pt>
                <c:pt idx="2">
                  <c:v>11.036280487997248</c:v>
                </c:pt>
                <c:pt idx="3">
                  <c:v>17.444152670974368</c:v>
                </c:pt>
                <c:pt idx="4">
                  <c:v>23.603415584053892</c:v>
                </c:pt>
                <c:pt idx="5">
                  <c:v>29.374640162648408</c:v>
                </c:pt>
                <c:pt idx="6">
                  <c:v>34.72495217361363</c:v>
                </c:pt>
                <c:pt idx="7">
                  <c:v>39.659624513818962</c:v>
                </c:pt>
                <c:pt idx="8">
                  <c:v>44.196948776385938</c:v>
                </c:pt>
                <c:pt idx="9">
                  <c:v>48.359041411814893</c:v>
                </c:pt>
                <c:pt idx="10">
                  <c:v>52.168514571005211</c:v>
                </c:pt>
                <c:pt idx="11">
                  <c:v>55.647303421047177</c:v>
                </c:pt>
                <c:pt idx="12">
                  <c:v>58.816284515682781</c:v>
                </c:pt>
                <c:pt idx="13">
                  <c:v>61.695182562816221</c:v>
                </c:pt>
                <c:pt idx="14">
                  <c:v>64.302580646827039</c:v>
                </c:pt>
                <c:pt idx="15">
                  <c:v>66.655965957529062</c:v>
                </c:pt>
                <c:pt idx="16">
                  <c:v>68.771786153344422</c:v>
                </c:pt>
                <c:pt idx="17">
                  <c:v>70.665507340865915</c:v>
                </c:pt>
                <c:pt idx="18">
                  <c:v>72.35167048346301</c:v>
                </c:pt>
                <c:pt idx="19">
                  <c:v>73.843945190998298</c:v>
                </c:pt>
                <c:pt idx="20">
                  <c:v>75.155180623286938</c:v>
                </c:pt>
                <c:pt idx="21">
                  <c:v>76.297453520501463</c:v>
                </c:pt>
                <c:pt idx="22">
                  <c:v>77.282113470565122</c:v>
                </c:pt>
                <c:pt idx="23">
                  <c:v>78.11982555313115</c:v>
                </c:pt>
                <c:pt idx="24">
                  <c:v>78.820610504875617</c:v>
                </c:pt>
                <c:pt idx="25">
                  <c:v>79.388836138476577</c:v>
                </c:pt>
                <c:pt idx="26">
                  <c:v>79.839818855229922</c:v>
                </c:pt>
                <c:pt idx="27">
                  <c:v>80.181683526147424</c:v>
                </c:pt>
                <c:pt idx="28">
                  <c:v>80.422070483165484</c:v>
                </c:pt>
                <c:pt idx="29">
                  <c:v>80.56816062978335</c:v>
                </c:pt>
                <c:pt idx="30">
                  <c:v>80.626701042775423</c:v>
                </c:pt>
                <c:pt idx="31">
                  <c:v>80.604029812887504</c:v>
                </c:pt>
                <c:pt idx="32">
                  <c:v>80.50609971747366</c:v>
                </c:pt>
                <c:pt idx="33">
                  <c:v>80.338500626146185</c:v>
                </c:pt>
                <c:pt idx="34">
                  <c:v>80.106480651059059</c:v>
                </c:pt>
                <c:pt idx="35">
                  <c:v>79.814966091402511</c:v>
                </c:pt>
                <c:pt idx="36">
                  <c:v>79.46858023306595</c:v>
                </c:pt>
                <c:pt idx="37">
                  <c:v>79.071661066167636</c:v>
                </c:pt>
                <c:pt idx="38">
                  <c:v>78.628277981481702</c:v>
                </c:pt>
                <c:pt idx="39">
                  <c:v>78.142247504002142</c:v>
                </c:pt>
                <c:pt idx="40">
                  <c:v>77.621730137871253</c:v>
                </c:pt>
                <c:pt idx="41">
                  <c:v>77.065466072864098</c:v>
                </c:pt>
                <c:pt idx="42">
                  <c:v>76.476573805106227</c:v>
                </c:pt>
                <c:pt idx="43">
                  <c:v>75.857974199733192</c:v>
                </c:pt>
                <c:pt idx="44">
                  <c:v>75.212403754838974</c:v>
                </c:pt>
                <c:pt idx="45">
                  <c:v>74.542425993827649</c:v>
                </c:pt>
                <c:pt idx="46">
                  <c:v>73.850441796732198</c:v>
                </c:pt>
                <c:pt idx="47">
                  <c:v>73.138698990140185</c:v>
                </c:pt>
                <c:pt idx="48">
                  <c:v>72.409301333361469</c:v>
                </c:pt>
                <c:pt idx="49">
                  <c:v>71.664216970312395</c:v>
                </c:pt>
                <c:pt idx="50">
                  <c:v>70.913150956016565</c:v>
                </c:pt>
                <c:pt idx="51">
                  <c:v>70.14950064955427</c:v>
                </c:pt>
                <c:pt idx="52">
                  <c:v>69.374890697592946</c:v>
                </c:pt>
                <c:pt idx="53">
                  <c:v>68.590834494253443</c:v>
                </c:pt>
                <c:pt idx="54">
                  <c:v>67.798743960945714</c:v>
                </c:pt>
                <c:pt idx="55">
                  <c:v>66.99993668310097</c:v>
                </c:pt>
                <c:pt idx="56">
                  <c:v>66.195641873462506</c:v>
                </c:pt>
                <c:pt idx="57">
                  <c:v>65.387005714445536</c:v>
                </c:pt>
                <c:pt idx="58">
                  <c:v>64.575096293644236</c:v>
                </c:pt>
                <c:pt idx="59">
                  <c:v>63.769258868217392</c:v>
                </c:pt>
                <c:pt idx="60">
                  <c:v>62.9614683363274</c:v>
                </c:pt>
                <c:pt idx="61">
                  <c:v>62.152620399463743</c:v>
                </c:pt>
                <c:pt idx="62">
                  <c:v>61.343542717121537</c:v>
                </c:pt>
                <c:pt idx="63">
                  <c:v>60.5350024398888</c:v>
                </c:pt>
                <c:pt idx="64">
                  <c:v>59.727711069602528</c:v>
                </c:pt>
                <c:pt idx="65">
                  <c:v>58.922328217975874</c:v>
                </c:pt>
                <c:pt idx="66">
                  <c:v>58.130296058004326</c:v>
                </c:pt>
                <c:pt idx="67">
                  <c:v>57.340521629610855</c:v>
                </c:pt>
                <c:pt idx="68">
                  <c:v>56.553580160454409</c:v>
                </c:pt>
                <c:pt idx="69">
                  <c:v>55.769996943768028</c:v>
                </c:pt>
                <c:pt idx="70">
                  <c:v>54.990254836229965</c:v>
                </c:pt>
                <c:pt idx="71">
                  <c:v>54.214798437508449</c:v>
                </c:pt>
                <c:pt idx="72">
                  <c:v>51.179066855866864</c:v>
                </c:pt>
                <c:pt idx="73">
                  <c:v>47.558286665523937</c:v>
                </c:pt>
                <c:pt idx="74">
                  <c:v>43.921484678174643</c:v>
                </c:pt>
                <c:pt idx="75">
                  <c:v>40.463113640132235</c:v>
                </c:pt>
                <c:pt idx="76">
                  <c:v>37.240324998977279</c:v>
                </c:pt>
                <c:pt idx="77">
                  <c:v>34.260656207197108</c:v>
                </c:pt>
                <c:pt idx="78">
                  <c:v>31.514379720725159</c:v>
                </c:pt>
                <c:pt idx="79">
                  <c:v>28.986384473374017</c:v>
                </c:pt>
                <c:pt idx="80">
                  <c:v>26.660491402262949</c:v>
                </c:pt>
                <c:pt idx="81">
                  <c:v>24.52097604242741</c:v>
                </c:pt>
                <c:pt idx="82">
                  <c:v>22.553063688053101</c:v>
                </c:pt>
                <c:pt idx="83">
                  <c:v>20.743049876777704</c:v>
                </c:pt>
                <c:pt idx="84">
                  <c:v>19.07828727766536</c:v>
                </c:pt>
                <c:pt idx="85">
                  <c:v>17.547127778653692</c:v>
                </c:pt>
                <c:pt idx="86">
                  <c:v>16.138852256321343</c:v>
                </c:pt>
                <c:pt idx="87">
                  <c:v>14.843599704854563</c:v>
                </c:pt>
                <c:pt idx="88">
                  <c:v>13.652299730313006</c:v>
                </c:pt>
                <c:pt idx="89">
                  <c:v>12.55660960333481</c:v>
                </c:pt>
                <c:pt idx="90">
                  <c:v>11.548856045829684</c:v>
                </c:pt>
                <c:pt idx="91">
                  <c:v>10.621981572041085</c:v>
                </c:pt>
                <c:pt idx="92">
                  <c:v>9.7694950925752497</c:v>
                </c:pt>
                <c:pt idx="93">
                  <c:v>8.9854264666881374</c:v>
                </c:pt>
                <c:pt idx="94">
                  <c:v>8.2642846961022567</c:v>
                </c:pt>
                <c:pt idx="95">
                  <c:v>7.6010194718500372</c:v>
                </c:pt>
                <c:pt idx="96">
                  <c:v>6.9909858064295074</c:v>
                </c:pt>
                <c:pt idx="97">
                  <c:v>6.4299115041689374</c:v>
                </c:pt>
                <c:pt idx="98">
                  <c:v>5.9138672422049163</c:v>
                </c:pt>
                <c:pt idx="99">
                  <c:v>5.4392390526247443</c:v>
                </c:pt>
                <c:pt idx="100">
                  <c:v>5.0027030130893166</c:v>
                </c:pt>
                <c:pt idx="101">
                  <c:v>4.6012019687005212</c:v>
                </c:pt>
                <c:pt idx="102">
                  <c:v>4.2319241220954895</c:v>
                </c:pt>
                <c:pt idx="103">
                  <c:v>3.8922833418310585</c:v>
                </c:pt>
                <c:pt idx="104">
                  <c:v>3.5799010511544287</c:v>
                </c:pt>
                <c:pt idx="105">
                  <c:v>3.2925895703234223</c:v>
                </c:pt>
                <c:pt idx="106">
                  <c:v>3.0283367958191381</c:v>
                </c:pt>
                <c:pt idx="107">
                  <c:v>2.7852921091562872</c:v>
                </c:pt>
                <c:pt idx="108">
                  <c:v>2.5617534166076288</c:v>
                </c:pt>
                <c:pt idx="109">
                  <c:v>2.3561552290789267</c:v>
                </c:pt>
                <c:pt idx="110">
                  <c:v>2.167057698655257</c:v>
                </c:pt>
                <c:pt idx="111">
                  <c:v>1.9931365350392651</c:v>
                </c:pt>
                <c:pt idx="112">
                  <c:v>1.8331737312640435</c:v>
                </c:pt>
                <c:pt idx="113">
                  <c:v>1.6860490337308138</c:v>
                </c:pt>
                <c:pt idx="114">
                  <c:v>1.5507320968342799</c:v>
                </c:pt>
                <c:pt idx="115">
                  <c:v>1.4262752672328127</c:v>
                </c:pt>
                <c:pt idx="116">
                  <c:v>1.3118069472301794</c:v>
                </c:pt>
                <c:pt idx="117">
                  <c:v>1.2065254907911602</c:v>
                </c:pt>
                <c:pt idx="118">
                  <c:v>1.1096935894435551</c:v>
                </c:pt>
                <c:pt idx="119">
                  <c:v>1.020633108749851</c:v>
                </c:pt>
                <c:pt idx="120">
                  <c:v>0.93872033918726261</c:v>
                </c:pt>
                <c:pt idx="121">
                  <c:v>0.863381628177049</c:v>
                </c:pt>
                <c:pt idx="122">
                  <c:v>0.7940893626732729</c:v>
                </c:pt>
                <c:pt idx="123">
                  <c:v>0.73035827417622057</c:v>
                </c:pt>
                <c:pt idx="124">
                  <c:v>0.67174204029369888</c:v>
                </c:pt>
                <c:pt idx="125">
                  <c:v>0.61783015905022376</c:v>
                </c:pt>
                <c:pt idx="126">
                  <c:v>0.56824507405421876</c:v>
                </c:pt>
                <c:pt idx="127">
                  <c:v>0.52263953039015631</c:v>
                </c:pt>
                <c:pt idx="128">
                  <c:v>0.48069414271839422</c:v>
                </c:pt>
                <c:pt idx="129">
                  <c:v>0.44211515855158889</c:v>
                </c:pt>
                <c:pt idx="130">
                  <c:v>0.40663240104343568</c:v>
                </c:pt>
                <c:pt idx="131">
                  <c:v>0.37399737688264634</c:v>
                </c:pt>
                <c:pt idx="132">
                  <c:v>0.34398153604134252</c:v>
                </c:pt>
                <c:pt idx="133">
                  <c:v>0.31637467119051244</c:v>
                </c:pt>
                <c:pt idx="134">
                  <c:v>0.29098344557329631</c:v>
                </c:pt>
                <c:pt idx="135">
                  <c:v>0.26763003902648286</c:v>
                </c:pt>
                <c:pt idx="136">
                  <c:v>0.24615090266801712</c:v>
                </c:pt>
                <c:pt idx="137">
                  <c:v>0.22639561352933196</c:v>
                </c:pt>
                <c:pt idx="138">
                  <c:v>0.20822582111124757</c:v>
                </c:pt>
                <c:pt idx="139">
                  <c:v>0.19151427848594682</c:v>
                </c:pt>
                <c:pt idx="140">
                  <c:v>0.17614395115962683</c:v>
                </c:pt>
                <c:pt idx="141">
                  <c:v>0.16200719745500192</c:v>
                </c:pt>
                <c:pt idx="142">
                  <c:v>0.14900501467370159</c:v>
                </c:pt>
                <c:pt idx="143">
                  <c:v>0.13704634575927932</c:v>
                </c:pt>
                <c:pt idx="144">
                  <c:v>0.12604744160524406</c:v>
                </c:pt>
                <c:pt idx="145">
                  <c:v>0.11593127454222288</c:v>
                </c:pt>
                <c:pt idx="146">
                  <c:v>0.10662699889677962</c:v>
                </c:pt>
                <c:pt idx="147">
                  <c:v>9.8069454844068593E-2</c:v>
                </c:pt>
                <c:pt idx="148">
                  <c:v>9.0198712079697124E-2</c:v>
                </c:pt>
                <c:pt idx="149">
                  <c:v>8.2959650115034422E-2</c:v>
                </c:pt>
                <c:pt idx="150">
                  <c:v>7.6301572256684963E-2</c:v>
                </c:pt>
                <c:pt idx="151">
                  <c:v>7.0177850566742347E-2</c:v>
                </c:pt>
                <c:pt idx="152">
                  <c:v>6.4545599317405056E-2</c:v>
                </c:pt>
                <c:pt idx="153">
                  <c:v>5.9365374653086847E-2</c:v>
                </c:pt>
                <c:pt idx="154">
                  <c:v>5.4600898356691428E-2</c:v>
                </c:pt>
                <c:pt idx="155">
                  <c:v>5.0218803785528392E-2</c:v>
                </c:pt>
                <c:pt idx="156">
                  <c:v>4.6188402197604762E-2</c:v>
                </c:pt>
                <c:pt idx="157">
                  <c:v>4.2481467831825888E-2</c:v>
                </c:pt>
                <c:pt idx="158">
                  <c:v>3.9072040236976295E-2</c:v>
                </c:pt>
                <c:pt idx="159">
                  <c:v>3.5936242465148337E-2</c:v>
                </c:pt>
                <c:pt idx="160">
                  <c:v>3.305211385638844E-2</c:v>
                </c:pt>
                <c:pt idx="161">
                  <c:v>3.0399456243516167E-2</c:v>
                </c:pt>
                <c:pt idx="162">
                  <c:v>2.79596925000558E-2</c:v>
                </c:pt>
                <c:pt idx="163">
                  <c:v>2.5715736440661267E-2</c:v>
                </c:pt>
                <c:pt idx="164">
                  <c:v>2.3651873162919588E-2</c:v>
                </c:pt>
                <c:pt idx="165">
                  <c:v>2.1753648992540807E-2</c:v>
                </c:pt>
                <c:pt idx="166">
                  <c:v>2.0007770261197239E-2</c:v>
                </c:pt>
                <c:pt idx="167">
                  <c:v>1.8402010208131651E-2</c:v>
                </c:pt>
                <c:pt idx="168">
                  <c:v>1.6925123353546446E-2</c:v>
                </c:pt>
                <c:pt idx="169">
                  <c:v>1.5566766744112542E-2</c:v>
                </c:pt>
                <c:pt idx="170">
                  <c:v>1.431742751906338E-2</c:v>
                </c:pt>
                <c:pt idx="171">
                  <c:v>1.3168356289604036E-2</c:v>
                </c:pt>
                <c:pt idx="172">
                  <c:v>1.2111505865077228E-2</c:v>
                </c:pt>
                <c:pt idx="173">
                  <c:v>1.1139474896772474E-2</c:v>
                </c:pt>
                <c:pt idx="174">
                  <c:v>1.0245456044704058E-2</c:v>
                </c:pt>
                <c:pt idx="175">
                  <c:v>9.4231883043586259E-3</c:v>
                </c:pt>
                <c:pt idx="176">
                  <c:v>8.6669131595465375E-3</c:v>
                </c:pt>
                <c:pt idx="177">
                  <c:v>7.9713342542859795E-3</c:v>
                </c:pt>
                <c:pt idx="178">
                  <c:v>7.3315803012935239E-3</c:v>
                </c:pt>
                <c:pt idx="179">
                  <c:v>6.7431709673213304E-3</c:v>
                </c:pt>
                <c:pt idx="180">
                  <c:v>6.2019854964287672E-3</c:v>
                </c:pt>
                <c:pt idx="181">
                  <c:v>5.7042338514505355E-3</c:v>
                </c:pt>
                <c:pt idx="182">
                  <c:v>5.246430171558839E-3</c:v>
                </c:pt>
                <c:pt idx="183">
                  <c:v>4.8253683600372622E-3</c:v>
                </c:pt>
                <c:pt idx="184">
                  <c:v>4.4380996313023282E-3</c:v>
                </c:pt>
                <c:pt idx="185">
                  <c:v>4.0819118599297495E-3</c:v>
                </c:pt>
                <c:pt idx="186">
                  <c:v>3.754310587062193E-3</c:v>
                </c:pt>
                <c:pt idx="187">
                  <c:v>3.4530015511824021E-3</c:v>
                </c:pt>
                <c:pt idx="188">
                  <c:v>3.1758746209109407E-3</c:v>
                </c:pt>
                <c:pt idx="189">
                  <c:v>2.9209890173065309E-3</c:v>
                </c:pt>
                <c:pt idx="190">
                  <c:v>2.6865597221775962E-3</c:v>
                </c:pt>
                <c:pt idx="191">
                  <c:v>2.4709449772195224E-3</c:v>
                </c:pt>
                <c:pt idx="192">
                  <c:v>2.2726347864314381E-3</c:v>
                </c:pt>
                <c:pt idx="193">
                  <c:v>2.0902403412924784E-3</c:v>
                </c:pt>
                <c:pt idx="194">
                  <c:v>1.9224842946397912E-3</c:v>
                </c:pt>
                <c:pt idx="195">
                  <c:v>1.7681918151341901E-3</c:v>
                </c:pt>
                <c:pt idx="196">
                  <c:v>1.6262823596659565E-3</c:v>
                </c:pt>
                <c:pt idx="197">
                  <c:v>1.4957621060812086E-3</c:v>
                </c:pt>
                <c:pt idx="198">
                  <c:v>1.3757169932335992E-3</c:v>
                </c:pt>
                <c:pt idx="199">
                  <c:v>1.2653063196193456E-3</c:v>
                </c:pt>
                <c:pt idx="200">
                  <c:v>1.1637568557654656E-3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6C-4835-8FA4-D7FF3B287B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4675456"/>
        <c:axId val="1756014259"/>
      </c:lineChart>
      <c:catAx>
        <c:axId val="2846754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de-DE"/>
              </a:p>
            </c:rich>
          </c:tx>
          <c:overlay val="0"/>
        </c:title>
        <c:numFmt formatCode="0.00\ &quot;mm&quot;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1756014259"/>
        <c:crosses val="autoZero"/>
        <c:auto val="1"/>
        <c:lblAlgn val="ctr"/>
        <c:lblOffset val="100"/>
        <c:noMultiLvlLbl val="1"/>
      </c:catAx>
      <c:valAx>
        <c:axId val="17560142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de-DE"/>
              </a:p>
            </c:rich>
          </c:tx>
          <c:overlay val="0"/>
        </c:title>
        <c:numFmt formatCode="0.0\ &quot;N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28467545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de-DE" b="0">
                <a:solidFill>
                  <a:srgbClr val="757575"/>
                </a:solidFill>
                <a:latin typeface="+mn-lt"/>
              </a:rPr>
              <a:t>Voltage &amp; Current vs Time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Capacitor Voltage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'Sim 2.0 50mm'!$F$4:$F$204</c:f>
              <c:numCache>
                <c:formatCode>0.00\ "ms"</c:formatCode>
                <c:ptCount val="2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</c:numCache>
            </c:numRef>
          </c:cat>
          <c:val>
            <c:numRef>
              <c:f>'Sim 2.0 50mm'!$H$4:$H$204</c:f>
              <c:numCache>
                <c:formatCode>0.0\ "V"</c:formatCode>
                <c:ptCount val="201"/>
                <c:pt idx="0">
                  <c:v>390</c:v>
                </c:pt>
                <c:pt idx="1">
                  <c:v>390</c:v>
                </c:pt>
                <c:pt idx="2">
                  <c:v>389.75032923617204</c:v>
                </c:pt>
                <c:pt idx="3">
                  <c:v>389.17863908344583</c:v>
                </c:pt>
                <c:pt idx="4">
                  <c:v>388.27658325925808</c:v>
                </c:pt>
                <c:pt idx="5">
                  <c:v>387.05817824117986</c:v>
                </c:pt>
                <c:pt idx="6">
                  <c:v>385.54454868131171</c:v>
                </c:pt>
                <c:pt idx="7">
                  <c:v>383.75838209753812</c:v>
                </c:pt>
                <c:pt idx="8">
                  <c:v>381.72195374782189</c:v>
                </c:pt>
                <c:pt idx="9">
                  <c:v>379.45646177346265</c:v>
                </c:pt>
                <c:pt idx="10">
                  <c:v>376.98184085140872</c:v>
                </c:pt>
                <c:pt idx="11">
                  <c:v>374.31674837354251</c:v>
                </c:pt>
                <c:pt idx="12">
                  <c:v>371.47861072791869</c:v>
                </c:pt>
                <c:pt idx="13">
                  <c:v>368.48368850347333</c:v>
                </c:pt>
                <c:pt idx="14">
                  <c:v>365.3471456568949</c:v>
                </c:pt>
                <c:pt idx="15">
                  <c:v>362.08311732018683</c:v>
                </c:pt>
                <c:pt idx="16">
                  <c:v>358.7047744648923</c:v>
                </c:pt>
                <c:pt idx="17">
                  <c:v>355.2243849304329</c:v>
                </c:pt>
                <c:pt idx="18">
                  <c:v>351.65337078929144</c:v>
                </c:pt>
                <c:pt idx="19">
                  <c:v>348.0023621835017</c:v>
                </c:pt>
                <c:pt idx="20">
                  <c:v>344.28137836824288</c:v>
                </c:pt>
                <c:pt idx="21">
                  <c:v>340.49964294449842</c:v>
                </c:pt>
                <c:pt idx="22">
                  <c:v>336.66571276113234</c:v>
                </c:pt>
                <c:pt idx="23">
                  <c:v>332.78756352647792</c:v>
                </c:pt>
                <c:pt idx="24">
                  <c:v>328.87257330978508</c:v>
                </c:pt>
                <c:pt idx="25">
                  <c:v>324.92750873806767</c:v>
                </c:pt>
                <c:pt idx="26">
                  <c:v>320.95866917113904</c:v>
                </c:pt>
                <c:pt idx="27">
                  <c:v>316.97191641160254</c:v>
                </c:pt>
                <c:pt idx="28">
                  <c:v>312.97265047104327</c:v>
                </c:pt>
                <c:pt idx="29">
                  <c:v>308.96585702906589</c:v>
                </c:pt>
                <c:pt idx="30">
                  <c:v>304.9561041304749</c:v>
                </c:pt>
                <c:pt idx="31">
                  <c:v>300.94757403442901</c:v>
                </c:pt>
                <c:pt idx="32">
                  <c:v>296.94400859674892</c:v>
                </c:pt>
                <c:pt idx="33">
                  <c:v>292.94863125750209</c:v>
                </c:pt>
                <c:pt idx="34">
                  <c:v>288.96409863051065</c:v>
                </c:pt>
                <c:pt idx="35">
                  <c:v>284.99246450977705</c:v>
                </c:pt>
                <c:pt idx="36">
                  <c:v>281.03526143760303</c:v>
                </c:pt>
                <c:pt idx="37">
                  <c:v>277.09347834246802</c:v>
                </c:pt>
                <c:pt idx="38">
                  <c:v>273.16782354713382</c:v>
                </c:pt>
                <c:pt idx="39">
                  <c:v>269.25861616576447</c:v>
                </c:pt>
                <c:pt idx="40">
                  <c:v>265.36598158576044</c:v>
                </c:pt>
                <c:pt idx="41">
                  <c:v>261.48996454236209</c:v>
                </c:pt>
                <c:pt idx="42">
                  <c:v>257.63043273805368</c:v>
                </c:pt>
                <c:pt idx="43">
                  <c:v>253.78683834032523</c:v>
                </c:pt>
                <c:pt idx="44">
                  <c:v>249.95895303708494</c:v>
                </c:pt>
                <c:pt idx="45">
                  <c:v>246.14657230296032</c:v>
                </c:pt>
                <c:pt idx="46">
                  <c:v>246.14657230296032</c:v>
                </c:pt>
                <c:pt idx="47">
                  <c:v>246.14657230296032</c:v>
                </c:pt>
                <c:pt idx="48">
                  <c:v>246.14657230296032</c:v>
                </c:pt>
                <c:pt idx="49">
                  <c:v>246.14657230296032</c:v>
                </c:pt>
                <c:pt idx="50">
                  <c:v>246.14657230296032</c:v>
                </c:pt>
                <c:pt idx="51">
                  <c:v>246.14657230296032</c:v>
                </c:pt>
                <c:pt idx="52">
                  <c:v>246.14657230296032</c:v>
                </c:pt>
                <c:pt idx="53">
                  <c:v>246.14657230296032</c:v>
                </c:pt>
                <c:pt idx="54">
                  <c:v>246.14657230296032</c:v>
                </c:pt>
                <c:pt idx="55">
                  <c:v>246.14657230296032</c:v>
                </c:pt>
                <c:pt idx="56">
                  <c:v>246.14657230296032</c:v>
                </c:pt>
                <c:pt idx="57">
                  <c:v>246.14657230296032</c:v>
                </c:pt>
                <c:pt idx="58">
                  <c:v>246.14657230296032</c:v>
                </c:pt>
                <c:pt idx="59">
                  <c:v>246.14657230296032</c:v>
                </c:pt>
                <c:pt idx="60">
                  <c:v>246.14657230296032</c:v>
                </c:pt>
                <c:pt idx="61">
                  <c:v>246.14657230296032</c:v>
                </c:pt>
                <c:pt idx="62">
                  <c:v>246.14657230296032</c:v>
                </c:pt>
                <c:pt idx="63">
                  <c:v>246.14657230296032</c:v>
                </c:pt>
                <c:pt idx="64">
                  <c:v>246.14657230296032</c:v>
                </c:pt>
                <c:pt idx="65">
                  <c:v>246.14657230296032</c:v>
                </c:pt>
                <c:pt idx="66">
                  <c:v>246.14657230296032</c:v>
                </c:pt>
                <c:pt idx="67">
                  <c:v>246.14657230296032</c:v>
                </c:pt>
                <c:pt idx="68">
                  <c:v>246.14657230296032</c:v>
                </c:pt>
                <c:pt idx="69">
                  <c:v>246.14657230296032</c:v>
                </c:pt>
                <c:pt idx="70">
                  <c:v>246.14657230296032</c:v>
                </c:pt>
                <c:pt idx="71">
                  <c:v>246.14657230296032</c:v>
                </c:pt>
                <c:pt idx="72">
                  <c:v>246.14657230296032</c:v>
                </c:pt>
                <c:pt idx="73">
                  <c:v>246.14657230296032</c:v>
                </c:pt>
                <c:pt idx="74">
                  <c:v>246.14657230296032</c:v>
                </c:pt>
                <c:pt idx="75">
                  <c:v>246.14657230296032</c:v>
                </c:pt>
                <c:pt idx="76">
                  <c:v>246.14657230296032</c:v>
                </c:pt>
                <c:pt idx="77">
                  <c:v>246.14657230296032</c:v>
                </c:pt>
                <c:pt idx="78">
                  <c:v>246.14657230296032</c:v>
                </c:pt>
                <c:pt idx="79">
                  <c:v>246.14657230296032</c:v>
                </c:pt>
                <c:pt idx="80">
                  <c:v>246.14657230296032</c:v>
                </c:pt>
                <c:pt idx="81">
                  <c:v>246.14657230296032</c:v>
                </c:pt>
                <c:pt idx="82">
                  <c:v>246.14657230296032</c:v>
                </c:pt>
                <c:pt idx="83">
                  <c:v>246.14657230296032</c:v>
                </c:pt>
                <c:pt idx="84">
                  <c:v>246.14657230296032</c:v>
                </c:pt>
                <c:pt idx="85">
                  <c:v>246.14657230296032</c:v>
                </c:pt>
                <c:pt idx="86">
                  <c:v>246.14657230296032</c:v>
                </c:pt>
                <c:pt idx="87">
                  <c:v>246.14657230296032</c:v>
                </c:pt>
                <c:pt idx="88">
                  <c:v>246.14657230296032</c:v>
                </c:pt>
                <c:pt idx="89">
                  <c:v>246.14657230296032</c:v>
                </c:pt>
                <c:pt idx="90">
                  <c:v>246.14657230296032</c:v>
                </c:pt>
                <c:pt idx="91">
                  <c:v>246.14657230296032</c:v>
                </c:pt>
                <c:pt idx="92">
                  <c:v>246.14657230296032</c:v>
                </c:pt>
                <c:pt idx="93">
                  <c:v>246.14657230296032</c:v>
                </c:pt>
                <c:pt idx="94">
                  <c:v>246.14657230296032</c:v>
                </c:pt>
                <c:pt idx="95">
                  <c:v>246.14657230296032</c:v>
                </c:pt>
                <c:pt idx="96">
                  <c:v>246.14657230296032</c:v>
                </c:pt>
                <c:pt idx="97">
                  <c:v>246.14657230296032</c:v>
                </c:pt>
                <c:pt idx="98">
                  <c:v>246.14657230296032</c:v>
                </c:pt>
                <c:pt idx="99">
                  <c:v>246.14657230296032</c:v>
                </c:pt>
                <c:pt idx="100">
                  <c:v>246.14657230296032</c:v>
                </c:pt>
                <c:pt idx="101">
                  <c:v>246.14657230296032</c:v>
                </c:pt>
                <c:pt idx="102">
                  <c:v>246.14657230296032</c:v>
                </c:pt>
                <c:pt idx="103">
                  <c:v>246.14657230296032</c:v>
                </c:pt>
                <c:pt idx="104">
                  <c:v>246.14657230296032</c:v>
                </c:pt>
                <c:pt idx="105">
                  <c:v>246.14657230296032</c:v>
                </c:pt>
                <c:pt idx="106">
                  <c:v>246.14657230296032</c:v>
                </c:pt>
                <c:pt idx="107">
                  <c:v>246.14657230296032</c:v>
                </c:pt>
                <c:pt idx="108">
                  <c:v>246.14657230296032</c:v>
                </c:pt>
                <c:pt idx="109">
                  <c:v>246.14657230296032</c:v>
                </c:pt>
                <c:pt idx="110">
                  <c:v>246.14657230296032</c:v>
                </c:pt>
                <c:pt idx="111">
                  <c:v>246.14657230296032</c:v>
                </c:pt>
                <c:pt idx="112">
                  <c:v>246.14657230296032</c:v>
                </c:pt>
                <c:pt idx="113">
                  <c:v>246.14657230296032</c:v>
                </c:pt>
                <c:pt idx="114">
                  <c:v>246.14657230296032</c:v>
                </c:pt>
                <c:pt idx="115">
                  <c:v>246.14657230296032</c:v>
                </c:pt>
                <c:pt idx="116">
                  <c:v>246.14657230296032</c:v>
                </c:pt>
                <c:pt idx="117">
                  <c:v>246.14657230296032</c:v>
                </c:pt>
                <c:pt idx="118">
                  <c:v>246.14657230296032</c:v>
                </c:pt>
                <c:pt idx="119">
                  <c:v>246.14657230296032</c:v>
                </c:pt>
                <c:pt idx="120">
                  <c:v>246.14657230296032</c:v>
                </c:pt>
                <c:pt idx="121">
                  <c:v>246.14657230296032</c:v>
                </c:pt>
                <c:pt idx="122">
                  <c:v>246.14657230296032</c:v>
                </c:pt>
                <c:pt idx="123">
                  <c:v>246.14657230296032</c:v>
                </c:pt>
                <c:pt idx="124">
                  <c:v>246.14657230296032</c:v>
                </c:pt>
                <c:pt idx="125">
                  <c:v>246.14657230296032</c:v>
                </c:pt>
                <c:pt idx="126">
                  <c:v>246.14657230296032</c:v>
                </c:pt>
                <c:pt idx="127">
                  <c:v>246.14657230296032</c:v>
                </c:pt>
                <c:pt idx="128">
                  <c:v>246.14657230296032</c:v>
                </c:pt>
                <c:pt idx="129">
                  <c:v>246.14657230296032</c:v>
                </c:pt>
                <c:pt idx="130">
                  <c:v>246.14657230296032</c:v>
                </c:pt>
                <c:pt idx="131">
                  <c:v>246.14657230296032</c:v>
                </c:pt>
                <c:pt idx="132">
                  <c:v>246.14657230296032</c:v>
                </c:pt>
                <c:pt idx="133">
                  <c:v>246.14657230296032</c:v>
                </c:pt>
                <c:pt idx="134">
                  <c:v>246.14657230296032</c:v>
                </c:pt>
                <c:pt idx="135">
                  <c:v>246.14657230296032</c:v>
                </c:pt>
                <c:pt idx="136">
                  <c:v>246.14657230296032</c:v>
                </c:pt>
                <c:pt idx="137">
                  <c:v>246.14657230296032</c:v>
                </c:pt>
                <c:pt idx="138">
                  <c:v>246.14657230296032</c:v>
                </c:pt>
                <c:pt idx="139">
                  <c:v>246.14657230296032</c:v>
                </c:pt>
                <c:pt idx="140">
                  <c:v>246.14657230296032</c:v>
                </c:pt>
                <c:pt idx="141">
                  <c:v>246.14657230296032</c:v>
                </c:pt>
                <c:pt idx="142">
                  <c:v>246.14657230296032</c:v>
                </c:pt>
                <c:pt idx="143">
                  <c:v>246.14657230296032</c:v>
                </c:pt>
                <c:pt idx="144">
                  <c:v>246.14657230296032</c:v>
                </c:pt>
                <c:pt idx="145">
                  <c:v>246.14657230296032</c:v>
                </c:pt>
                <c:pt idx="146">
                  <c:v>246.14657230296032</c:v>
                </c:pt>
                <c:pt idx="147">
                  <c:v>246.14657230296032</c:v>
                </c:pt>
                <c:pt idx="148">
                  <c:v>246.14657230296032</c:v>
                </c:pt>
                <c:pt idx="149">
                  <c:v>246.14657230296032</c:v>
                </c:pt>
                <c:pt idx="150">
                  <c:v>246.14657230296032</c:v>
                </c:pt>
                <c:pt idx="151">
                  <c:v>246.14657230296032</c:v>
                </c:pt>
                <c:pt idx="152">
                  <c:v>246.14657230296032</c:v>
                </c:pt>
                <c:pt idx="153">
                  <c:v>246.14657230296032</c:v>
                </c:pt>
                <c:pt idx="154">
                  <c:v>246.14657230296032</c:v>
                </c:pt>
                <c:pt idx="155">
                  <c:v>246.14657230296032</c:v>
                </c:pt>
                <c:pt idx="156">
                  <c:v>246.14657230296032</c:v>
                </c:pt>
                <c:pt idx="157">
                  <c:v>246.14657230296032</c:v>
                </c:pt>
                <c:pt idx="158">
                  <c:v>246.14657230296032</c:v>
                </c:pt>
                <c:pt idx="159">
                  <c:v>246.14657230296032</c:v>
                </c:pt>
                <c:pt idx="160">
                  <c:v>246.14657230296032</c:v>
                </c:pt>
                <c:pt idx="161">
                  <c:v>246.14657230296032</c:v>
                </c:pt>
                <c:pt idx="162">
                  <c:v>246.14657230296032</c:v>
                </c:pt>
                <c:pt idx="163">
                  <c:v>246.14657230296032</c:v>
                </c:pt>
                <c:pt idx="164">
                  <c:v>246.14657230296032</c:v>
                </c:pt>
                <c:pt idx="165">
                  <c:v>246.14657230296032</c:v>
                </c:pt>
                <c:pt idx="166">
                  <c:v>246.14657230296032</c:v>
                </c:pt>
                <c:pt idx="167">
                  <c:v>246.14657230296032</c:v>
                </c:pt>
                <c:pt idx="168">
                  <c:v>246.14657230296032</c:v>
                </c:pt>
                <c:pt idx="169">
                  <c:v>246.14657230296032</c:v>
                </c:pt>
                <c:pt idx="170">
                  <c:v>246.14657230296032</c:v>
                </c:pt>
                <c:pt idx="171">
                  <c:v>246.14657230296032</c:v>
                </c:pt>
                <c:pt idx="172">
                  <c:v>246.14657230296032</c:v>
                </c:pt>
                <c:pt idx="173">
                  <c:v>246.14657230296032</c:v>
                </c:pt>
                <c:pt idx="174">
                  <c:v>246.14657230296032</c:v>
                </c:pt>
                <c:pt idx="175">
                  <c:v>246.14657230296032</c:v>
                </c:pt>
                <c:pt idx="176">
                  <c:v>246.14657230296032</c:v>
                </c:pt>
                <c:pt idx="177">
                  <c:v>246.14657230296032</c:v>
                </c:pt>
                <c:pt idx="178">
                  <c:v>246.14657230296032</c:v>
                </c:pt>
                <c:pt idx="179">
                  <c:v>246.14657230296032</c:v>
                </c:pt>
                <c:pt idx="180">
                  <c:v>246.14657230296032</c:v>
                </c:pt>
                <c:pt idx="181">
                  <c:v>246.14657230296032</c:v>
                </c:pt>
                <c:pt idx="182">
                  <c:v>246.14657230296032</c:v>
                </c:pt>
                <c:pt idx="183">
                  <c:v>246.14657230296032</c:v>
                </c:pt>
                <c:pt idx="184">
                  <c:v>246.14657230296032</c:v>
                </c:pt>
                <c:pt idx="185">
                  <c:v>246.14657230296032</c:v>
                </c:pt>
                <c:pt idx="186">
                  <c:v>246.14657230296032</c:v>
                </c:pt>
                <c:pt idx="187">
                  <c:v>246.14657230296032</c:v>
                </c:pt>
                <c:pt idx="188">
                  <c:v>246.14657230296032</c:v>
                </c:pt>
                <c:pt idx="189">
                  <c:v>246.14657230296032</c:v>
                </c:pt>
                <c:pt idx="190">
                  <c:v>246.14657230296032</c:v>
                </c:pt>
                <c:pt idx="191">
                  <c:v>246.14657230296032</c:v>
                </c:pt>
                <c:pt idx="192">
                  <c:v>246.14657230296032</c:v>
                </c:pt>
                <c:pt idx="193">
                  <c:v>246.14657230296032</c:v>
                </c:pt>
                <c:pt idx="194">
                  <c:v>246.14657230296032</c:v>
                </c:pt>
                <c:pt idx="195">
                  <c:v>246.14657230296032</c:v>
                </c:pt>
                <c:pt idx="196">
                  <c:v>246.14657230296032</c:v>
                </c:pt>
                <c:pt idx="197">
                  <c:v>246.14657230296032</c:v>
                </c:pt>
                <c:pt idx="198">
                  <c:v>246.14657230296032</c:v>
                </c:pt>
                <c:pt idx="199">
                  <c:v>246.14657230296032</c:v>
                </c:pt>
                <c:pt idx="200">
                  <c:v>246.14657230296032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B9F-4E51-B963-C805E28C1C26}"/>
            </c:ext>
          </c:extLst>
        </c:ser>
        <c:ser>
          <c:idx val="1"/>
          <c:order val="1"/>
          <c:tx>
            <c:v>Coil Current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'Sim 2.0 50mm'!$F$4:$F$204</c:f>
              <c:numCache>
                <c:formatCode>0.00\ "ms"</c:formatCode>
                <c:ptCount val="201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0.15000000000000002</c:v>
                </c:pt>
                <c:pt idx="4">
                  <c:v>0.2</c:v>
                </c:pt>
                <c:pt idx="5">
                  <c:v>0.25</c:v>
                </c:pt>
                <c:pt idx="6">
                  <c:v>0.30000000000000004</c:v>
                </c:pt>
                <c:pt idx="7">
                  <c:v>0.35000000000000003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0.60000000000000009</c:v>
                </c:pt>
                <c:pt idx="13">
                  <c:v>0.65</c:v>
                </c:pt>
                <c:pt idx="14">
                  <c:v>0.70000000000000007</c:v>
                </c:pt>
                <c:pt idx="15">
                  <c:v>0.75</c:v>
                </c:pt>
                <c:pt idx="16">
                  <c:v>0.8</c:v>
                </c:pt>
                <c:pt idx="17">
                  <c:v>0.85000000000000009</c:v>
                </c:pt>
                <c:pt idx="18">
                  <c:v>0.9</c:v>
                </c:pt>
                <c:pt idx="19">
                  <c:v>0.95000000000000007</c:v>
                </c:pt>
                <c:pt idx="20">
                  <c:v>1</c:v>
                </c:pt>
                <c:pt idx="21">
                  <c:v>1.05</c:v>
                </c:pt>
                <c:pt idx="22">
                  <c:v>1.1000000000000001</c:v>
                </c:pt>
                <c:pt idx="23">
                  <c:v>1.1500000000000001</c:v>
                </c:pt>
                <c:pt idx="24">
                  <c:v>1.2000000000000002</c:v>
                </c:pt>
                <c:pt idx="25">
                  <c:v>1.25</c:v>
                </c:pt>
                <c:pt idx="26">
                  <c:v>1.3</c:v>
                </c:pt>
                <c:pt idx="27">
                  <c:v>1.35</c:v>
                </c:pt>
                <c:pt idx="28">
                  <c:v>1.4000000000000001</c:v>
                </c:pt>
                <c:pt idx="29">
                  <c:v>1.4500000000000002</c:v>
                </c:pt>
                <c:pt idx="30">
                  <c:v>1.5</c:v>
                </c:pt>
                <c:pt idx="31">
                  <c:v>1.55</c:v>
                </c:pt>
                <c:pt idx="32">
                  <c:v>1.6</c:v>
                </c:pt>
                <c:pt idx="33">
                  <c:v>1.6500000000000001</c:v>
                </c:pt>
                <c:pt idx="34">
                  <c:v>1.7000000000000002</c:v>
                </c:pt>
                <c:pt idx="35">
                  <c:v>1.75</c:v>
                </c:pt>
                <c:pt idx="36">
                  <c:v>1.8</c:v>
                </c:pt>
                <c:pt idx="37">
                  <c:v>1.85</c:v>
                </c:pt>
                <c:pt idx="38">
                  <c:v>1.9000000000000001</c:v>
                </c:pt>
                <c:pt idx="39">
                  <c:v>1.9500000000000002</c:v>
                </c:pt>
                <c:pt idx="40">
                  <c:v>2</c:v>
                </c:pt>
                <c:pt idx="41">
                  <c:v>2.0500000000000003</c:v>
                </c:pt>
                <c:pt idx="42">
                  <c:v>2.1</c:v>
                </c:pt>
                <c:pt idx="43">
                  <c:v>2.15</c:v>
                </c:pt>
                <c:pt idx="44">
                  <c:v>2.2000000000000002</c:v>
                </c:pt>
                <c:pt idx="45">
                  <c:v>2.25</c:v>
                </c:pt>
                <c:pt idx="46">
                  <c:v>2.3000000000000003</c:v>
                </c:pt>
                <c:pt idx="47">
                  <c:v>2.35</c:v>
                </c:pt>
                <c:pt idx="48">
                  <c:v>2.4000000000000004</c:v>
                </c:pt>
                <c:pt idx="49">
                  <c:v>2.4500000000000002</c:v>
                </c:pt>
                <c:pt idx="50">
                  <c:v>2.5</c:v>
                </c:pt>
                <c:pt idx="51">
                  <c:v>2.5500000000000003</c:v>
                </c:pt>
                <c:pt idx="52">
                  <c:v>2.6</c:v>
                </c:pt>
                <c:pt idx="53">
                  <c:v>2.6500000000000004</c:v>
                </c:pt>
                <c:pt idx="54">
                  <c:v>2.7</c:v>
                </c:pt>
                <c:pt idx="55">
                  <c:v>2.75</c:v>
                </c:pt>
                <c:pt idx="56">
                  <c:v>2.8000000000000003</c:v>
                </c:pt>
                <c:pt idx="57">
                  <c:v>2.85</c:v>
                </c:pt>
                <c:pt idx="58">
                  <c:v>2.9000000000000004</c:v>
                </c:pt>
                <c:pt idx="59">
                  <c:v>2.95</c:v>
                </c:pt>
                <c:pt idx="60">
                  <c:v>3</c:v>
                </c:pt>
                <c:pt idx="61">
                  <c:v>3.0500000000000003</c:v>
                </c:pt>
                <c:pt idx="62">
                  <c:v>3.1</c:v>
                </c:pt>
                <c:pt idx="63">
                  <c:v>3.1500000000000004</c:v>
                </c:pt>
                <c:pt idx="64">
                  <c:v>3.2</c:v>
                </c:pt>
                <c:pt idx="65">
                  <c:v>3.25</c:v>
                </c:pt>
                <c:pt idx="66">
                  <c:v>3.3000000000000003</c:v>
                </c:pt>
                <c:pt idx="67">
                  <c:v>3.35</c:v>
                </c:pt>
                <c:pt idx="68">
                  <c:v>3.4000000000000004</c:v>
                </c:pt>
                <c:pt idx="69">
                  <c:v>3.45</c:v>
                </c:pt>
                <c:pt idx="70">
                  <c:v>3.5</c:v>
                </c:pt>
                <c:pt idx="71">
                  <c:v>3.5500000000000003</c:v>
                </c:pt>
                <c:pt idx="72">
                  <c:v>3.6</c:v>
                </c:pt>
                <c:pt idx="73">
                  <c:v>3.6500000000000004</c:v>
                </c:pt>
                <c:pt idx="74">
                  <c:v>3.7</c:v>
                </c:pt>
                <c:pt idx="75">
                  <c:v>3.75</c:v>
                </c:pt>
                <c:pt idx="76">
                  <c:v>3.8000000000000003</c:v>
                </c:pt>
                <c:pt idx="77">
                  <c:v>3.85</c:v>
                </c:pt>
                <c:pt idx="78">
                  <c:v>3.9000000000000004</c:v>
                </c:pt>
                <c:pt idx="79">
                  <c:v>3.95</c:v>
                </c:pt>
                <c:pt idx="80">
                  <c:v>4</c:v>
                </c:pt>
                <c:pt idx="81">
                  <c:v>4.05</c:v>
                </c:pt>
                <c:pt idx="82">
                  <c:v>4.1000000000000005</c:v>
                </c:pt>
                <c:pt idx="83">
                  <c:v>4.1500000000000004</c:v>
                </c:pt>
                <c:pt idx="84">
                  <c:v>4.2</c:v>
                </c:pt>
                <c:pt idx="85">
                  <c:v>4.25</c:v>
                </c:pt>
                <c:pt idx="86">
                  <c:v>4.3</c:v>
                </c:pt>
                <c:pt idx="87">
                  <c:v>4.3500000000000005</c:v>
                </c:pt>
                <c:pt idx="88">
                  <c:v>4.4000000000000004</c:v>
                </c:pt>
                <c:pt idx="89">
                  <c:v>4.45</c:v>
                </c:pt>
                <c:pt idx="90">
                  <c:v>4.5</c:v>
                </c:pt>
                <c:pt idx="91">
                  <c:v>4.55</c:v>
                </c:pt>
                <c:pt idx="92">
                  <c:v>4.6000000000000005</c:v>
                </c:pt>
                <c:pt idx="93">
                  <c:v>4.6500000000000004</c:v>
                </c:pt>
                <c:pt idx="94">
                  <c:v>4.7</c:v>
                </c:pt>
                <c:pt idx="95">
                  <c:v>4.75</c:v>
                </c:pt>
                <c:pt idx="96">
                  <c:v>4.8000000000000007</c:v>
                </c:pt>
                <c:pt idx="97">
                  <c:v>4.8500000000000005</c:v>
                </c:pt>
                <c:pt idx="98">
                  <c:v>4.9000000000000004</c:v>
                </c:pt>
                <c:pt idx="99">
                  <c:v>4.95</c:v>
                </c:pt>
                <c:pt idx="100">
                  <c:v>5</c:v>
                </c:pt>
                <c:pt idx="101">
                  <c:v>5.0500000000000007</c:v>
                </c:pt>
                <c:pt idx="102">
                  <c:v>5.1000000000000005</c:v>
                </c:pt>
                <c:pt idx="103">
                  <c:v>5.15</c:v>
                </c:pt>
                <c:pt idx="104">
                  <c:v>5.2</c:v>
                </c:pt>
                <c:pt idx="105">
                  <c:v>5.25</c:v>
                </c:pt>
                <c:pt idx="106">
                  <c:v>5.3000000000000007</c:v>
                </c:pt>
                <c:pt idx="107">
                  <c:v>5.3500000000000005</c:v>
                </c:pt>
                <c:pt idx="108">
                  <c:v>5.4</c:v>
                </c:pt>
                <c:pt idx="109">
                  <c:v>5.45</c:v>
                </c:pt>
                <c:pt idx="110">
                  <c:v>5.5</c:v>
                </c:pt>
                <c:pt idx="111">
                  <c:v>5.5500000000000007</c:v>
                </c:pt>
                <c:pt idx="112">
                  <c:v>5.6000000000000005</c:v>
                </c:pt>
                <c:pt idx="113">
                  <c:v>5.65</c:v>
                </c:pt>
                <c:pt idx="114">
                  <c:v>5.7</c:v>
                </c:pt>
                <c:pt idx="115">
                  <c:v>5.75</c:v>
                </c:pt>
                <c:pt idx="116">
                  <c:v>5.8000000000000007</c:v>
                </c:pt>
                <c:pt idx="117">
                  <c:v>5.8500000000000005</c:v>
                </c:pt>
                <c:pt idx="118">
                  <c:v>5.9</c:v>
                </c:pt>
                <c:pt idx="119">
                  <c:v>5.95</c:v>
                </c:pt>
                <c:pt idx="120">
                  <c:v>6</c:v>
                </c:pt>
                <c:pt idx="121">
                  <c:v>6.0500000000000007</c:v>
                </c:pt>
                <c:pt idx="122">
                  <c:v>6.1000000000000005</c:v>
                </c:pt>
                <c:pt idx="123">
                  <c:v>6.15</c:v>
                </c:pt>
                <c:pt idx="124">
                  <c:v>6.2</c:v>
                </c:pt>
                <c:pt idx="125">
                  <c:v>6.25</c:v>
                </c:pt>
                <c:pt idx="126">
                  <c:v>6.3000000000000007</c:v>
                </c:pt>
                <c:pt idx="127">
                  <c:v>6.3500000000000005</c:v>
                </c:pt>
                <c:pt idx="128">
                  <c:v>6.4</c:v>
                </c:pt>
                <c:pt idx="129">
                  <c:v>6.45</c:v>
                </c:pt>
                <c:pt idx="130">
                  <c:v>6.5</c:v>
                </c:pt>
                <c:pt idx="131">
                  <c:v>6.5500000000000007</c:v>
                </c:pt>
                <c:pt idx="132">
                  <c:v>6.6000000000000005</c:v>
                </c:pt>
                <c:pt idx="133">
                  <c:v>6.65</c:v>
                </c:pt>
                <c:pt idx="134">
                  <c:v>6.7</c:v>
                </c:pt>
                <c:pt idx="135">
                  <c:v>6.75</c:v>
                </c:pt>
                <c:pt idx="136">
                  <c:v>6.8000000000000007</c:v>
                </c:pt>
                <c:pt idx="137">
                  <c:v>6.8500000000000005</c:v>
                </c:pt>
                <c:pt idx="138">
                  <c:v>6.9</c:v>
                </c:pt>
                <c:pt idx="139">
                  <c:v>6.95</c:v>
                </c:pt>
                <c:pt idx="140">
                  <c:v>7</c:v>
                </c:pt>
                <c:pt idx="141">
                  <c:v>7.0500000000000007</c:v>
                </c:pt>
                <c:pt idx="142">
                  <c:v>7.1000000000000005</c:v>
                </c:pt>
                <c:pt idx="143">
                  <c:v>7.15</c:v>
                </c:pt>
                <c:pt idx="144">
                  <c:v>7.2</c:v>
                </c:pt>
                <c:pt idx="145">
                  <c:v>7.25</c:v>
                </c:pt>
                <c:pt idx="146">
                  <c:v>7.3000000000000007</c:v>
                </c:pt>
                <c:pt idx="147">
                  <c:v>7.3500000000000005</c:v>
                </c:pt>
                <c:pt idx="148">
                  <c:v>7.4</c:v>
                </c:pt>
                <c:pt idx="149">
                  <c:v>7.45</c:v>
                </c:pt>
                <c:pt idx="150">
                  <c:v>7.5</c:v>
                </c:pt>
                <c:pt idx="151">
                  <c:v>7.5500000000000007</c:v>
                </c:pt>
                <c:pt idx="152">
                  <c:v>7.6000000000000005</c:v>
                </c:pt>
                <c:pt idx="153">
                  <c:v>7.65</c:v>
                </c:pt>
                <c:pt idx="154">
                  <c:v>7.7</c:v>
                </c:pt>
                <c:pt idx="155">
                  <c:v>7.75</c:v>
                </c:pt>
                <c:pt idx="156">
                  <c:v>7.8000000000000007</c:v>
                </c:pt>
                <c:pt idx="157">
                  <c:v>7.8500000000000005</c:v>
                </c:pt>
                <c:pt idx="158">
                  <c:v>7.9</c:v>
                </c:pt>
                <c:pt idx="159">
                  <c:v>7.95</c:v>
                </c:pt>
                <c:pt idx="160">
                  <c:v>8</c:v>
                </c:pt>
                <c:pt idx="161">
                  <c:v>8.0500000000000007</c:v>
                </c:pt>
                <c:pt idx="162">
                  <c:v>8.1</c:v>
                </c:pt>
                <c:pt idx="163">
                  <c:v>8.15</c:v>
                </c:pt>
                <c:pt idx="164">
                  <c:v>8.2000000000000011</c:v>
                </c:pt>
                <c:pt idx="165">
                  <c:v>8.25</c:v>
                </c:pt>
                <c:pt idx="166">
                  <c:v>8.3000000000000007</c:v>
                </c:pt>
                <c:pt idx="167">
                  <c:v>8.35</c:v>
                </c:pt>
                <c:pt idx="168">
                  <c:v>8.4</c:v>
                </c:pt>
                <c:pt idx="169">
                  <c:v>8.4500000000000011</c:v>
                </c:pt>
                <c:pt idx="170">
                  <c:v>8.5</c:v>
                </c:pt>
                <c:pt idx="171">
                  <c:v>8.5500000000000007</c:v>
                </c:pt>
                <c:pt idx="172">
                  <c:v>8.6</c:v>
                </c:pt>
                <c:pt idx="173">
                  <c:v>8.65</c:v>
                </c:pt>
                <c:pt idx="174">
                  <c:v>8.7000000000000011</c:v>
                </c:pt>
                <c:pt idx="175">
                  <c:v>8.75</c:v>
                </c:pt>
                <c:pt idx="176">
                  <c:v>8.8000000000000007</c:v>
                </c:pt>
                <c:pt idx="177">
                  <c:v>8.85</c:v>
                </c:pt>
                <c:pt idx="178">
                  <c:v>8.9</c:v>
                </c:pt>
                <c:pt idx="179">
                  <c:v>8.9500000000000011</c:v>
                </c:pt>
                <c:pt idx="180">
                  <c:v>9</c:v>
                </c:pt>
                <c:pt idx="181">
                  <c:v>9.0500000000000007</c:v>
                </c:pt>
                <c:pt idx="182">
                  <c:v>9.1</c:v>
                </c:pt>
                <c:pt idx="183">
                  <c:v>9.15</c:v>
                </c:pt>
                <c:pt idx="184">
                  <c:v>9.2000000000000011</c:v>
                </c:pt>
                <c:pt idx="185">
                  <c:v>9.25</c:v>
                </c:pt>
                <c:pt idx="186">
                  <c:v>9.3000000000000007</c:v>
                </c:pt>
                <c:pt idx="187">
                  <c:v>9.35</c:v>
                </c:pt>
                <c:pt idx="188">
                  <c:v>9.4</c:v>
                </c:pt>
                <c:pt idx="189">
                  <c:v>9.4500000000000011</c:v>
                </c:pt>
                <c:pt idx="190">
                  <c:v>9.5</c:v>
                </c:pt>
                <c:pt idx="191">
                  <c:v>9.5500000000000007</c:v>
                </c:pt>
                <c:pt idx="192">
                  <c:v>9.6000000000000014</c:v>
                </c:pt>
                <c:pt idx="193">
                  <c:v>9.65</c:v>
                </c:pt>
                <c:pt idx="194">
                  <c:v>9.7000000000000011</c:v>
                </c:pt>
                <c:pt idx="195">
                  <c:v>9.75</c:v>
                </c:pt>
                <c:pt idx="196">
                  <c:v>9.8000000000000007</c:v>
                </c:pt>
                <c:pt idx="197">
                  <c:v>9.8500000000000014</c:v>
                </c:pt>
                <c:pt idx="198">
                  <c:v>9.9</c:v>
                </c:pt>
                <c:pt idx="199">
                  <c:v>9.9500000000000011</c:v>
                </c:pt>
                <c:pt idx="200">
                  <c:v>10</c:v>
                </c:pt>
              </c:numCache>
            </c:numRef>
          </c:cat>
          <c:val>
            <c:numRef>
              <c:f>'Sim 2.0 50mm'!$N$4:$N$204</c:f>
              <c:numCache>
                <c:formatCode>0.0\ "A"</c:formatCode>
                <c:ptCount val="201"/>
                <c:pt idx="0">
                  <c:v>0</c:v>
                </c:pt>
                <c:pt idx="1">
                  <c:v>22.919776119402982</c:v>
                </c:pt>
                <c:pt idx="2">
                  <c:v>52.481156020271769</c:v>
                </c:pt>
                <c:pt idx="3">
                  <c:v>82.808724660436525</c:v>
                </c:pt>
                <c:pt idx="4">
                  <c:v>111.84958065957952</c:v>
                </c:pt>
                <c:pt idx="5">
                  <c:v>138.95119359589333</c:v>
                </c:pt>
                <c:pt idx="6">
                  <c:v>163.97009239042109</c:v>
                </c:pt>
                <c:pt idx="7">
                  <c:v>186.94412250394808</c:v>
                </c:pt>
                <c:pt idx="8">
                  <c:v>207.97216324618282</c:v>
                </c:pt>
                <c:pt idx="9">
                  <c:v>227.17020064454923</c:v>
                </c:pt>
                <c:pt idx="10">
                  <c:v>244.65548946811558</c:v>
                </c:pt>
                <c:pt idx="11">
                  <c:v>260.54103586826403</c:v>
                </c:pt>
                <c:pt idx="12">
                  <c:v>274.93386020408337</c:v>
                </c:pt>
                <c:pt idx="13">
                  <c:v>287.93463331590198</c:v>
                </c:pt>
                <c:pt idx="14">
                  <c:v>299.63780130979842</c:v>
                </c:pt>
                <c:pt idx="15">
                  <c:v>310.1318741160365</c:v>
                </c:pt>
                <c:pt idx="16">
                  <c:v>319.49975926337726</c:v>
                </c:pt>
                <c:pt idx="17">
                  <c:v>327.81909815678665</c:v>
                </c:pt>
                <c:pt idx="18">
                  <c:v>335.16259001149479</c:v>
                </c:pt>
                <c:pt idx="19">
                  <c:v>341.58631424075838</c:v>
                </c:pt>
                <c:pt idx="20">
                  <c:v>347.16331189974505</c:v>
                </c:pt>
                <c:pt idx="21">
                  <c:v>351.95479083300285</c:v>
                </c:pt>
                <c:pt idx="22">
                  <c:v>356.01409974127699</c:v>
                </c:pt>
                <c:pt idx="23">
                  <c:v>359.39610189240102</c:v>
                </c:pt>
                <c:pt idx="24">
                  <c:v>362.15692768366165</c:v>
                </c:pt>
                <c:pt idx="25">
                  <c:v>364.33947224404756</c:v>
                </c:pt>
                <c:pt idx="26">
                  <c:v>365.98390332544977</c:v>
                </c:pt>
                <c:pt idx="27">
                  <c:v>367.13261334333754</c:v>
                </c:pt>
                <c:pt idx="28">
                  <c:v>367.82363797352508</c:v>
                </c:pt>
                <c:pt idx="29">
                  <c:v>368.09531609065442</c:v>
                </c:pt>
                <c:pt idx="30">
                  <c:v>367.98306281701053</c:v>
                </c:pt>
                <c:pt idx="31">
                  <c:v>367.52730717903472</c:v>
                </c:pt>
                <c:pt idx="32">
                  <c:v>366.77563974286193</c:v>
                </c:pt>
                <c:pt idx="33">
                  <c:v>365.78009515780946</c:v>
                </c:pt>
                <c:pt idx="34">
                  <c:v>364.59601228334566</c:v>
                </c:pt>
                <c:pt idx="35">
                  <c:v>363.27124202557701</c:v>
                </c:pt>
                <c:pt idx="36">
                  <c:v>361.85568813339239</c:v>
                </c:pt>
                <c:pt idx="37">
                  <c:v>360.37511021167808</c:v>
                </c:pt>
                <c:pt idx="38">
                  <c:v>358.86523760971215</c:v>
                </c:pt>
                <c:pt idx="39">
                  <c:v>357.34385444436754</c:v>
                </c:pt>
                <c:pt idx="40">
                  <c:v>355.81836458396219</c:v>
                </c:pt>
                <c:pt idx="41">
                  <c:v>354.30501963551569</c:v>
                </c:pt>
                <c:pt idx="42">
                  <c:v>352.84196571147322</c:v>
                </c:pt>
                <c:pt idx="43">
                  <c:v>351.39987083745808</c:v>
                </c:pt>
                <c:pt idx="44">
                  <c:v>349.9765513926402</c:v>
                </c:pt>
                <c:pt idx="45">
                  <c:v>348.59493770611556</c:v>
                </c:pt>
                <c:pt idx="46">
                  <c:v>329.45898299561304</c:v>
                </c:pt>
                <c:pt idx="47">
                  <c:v>306.28888392252242</c:v>
                </c:pt>
                <c:pt idx="48">
                  <c:v>282.91746731249771</c:v>
                </c:pt>
                <c:pt idx="49">
                  <c:v>260.65924218274648</c:v>
                </c:pt>
                <c:pt idx="50">
                  <c:v>239.90525753023434</c:v>
                </c:pt>
                <c:pt idx="51">
                  <c:v>220.71253217167657</c:v>
                </c:pt>
                <c:pt idx="52">
                  <c:v>203.02152981746204</c:v>
                </c:pt>
                <c:pt idx="53">
                  <c:v>186.73606015716175</c:v>
                </c:pt>
                <c:pt idx="54">
                  <c:v>171.7523228896965</c:v>
                </c:pt>
                <c:pt idx="55">
                  <c:v>157.9691763261319</c:v>
                </c:pt>
                <c:pt idx="56">
                  <c:v>145.2914974220958</c:v>
                </c:pt>
                <c:pt idx="57">
                  <c:v>133.63102090004008</c:v>
                </c:pt>
                <c:pt idx="58">
                  <c:v>122.90627806570252</c:v>
                </c:pt>
                <c:pt idx="59">
                  <c:v>113.04223233957487</c:v>
                </c:pt>
                <c:pt idx="60">
                  <c:v>103.96983000716246</c:v>
                </c:pt>
                <c:pt idx="61">
                  <c:v>95.625544832651428</c:v>
                </c:pt>
                <c:pt idx="62">
                  <c:v>87.950943609414495</c:v>
                </c:pt>
                <c:pt idx="63">
                  <c:v>80.892280801974664</c:v>
                </c:pt>
                <c:pt idx="64">
                  <c:v>74.400123583567733</c:v>
                </c:pt>
                <c:pt idx="65">
                  <c:v>68.429006176253395</c:v>
                </c:pt>
                <c:pt idx="66">
                  <c:v>62.93711164001472</c:v>
                </c:pt>
                <c:pt idx="67">
                  <c:v>57.88597909220023</c:v>
                </c:pt>
                <c:pt idx="68">
                  <c:v>53.240234384549417</c:v>
                </c:pt>
                <c:pt idx="69">
                  <c:v>48.967342380404389</c:v>
                </c:pt>
                <c:pt idx="70">
                  <c:v>45.037379107881875</c:v>
                </c:pt>
                <c:pt idx="71">
                  <c:v>41.422822197278705</c:v>
                </c:pt>
                <c:pt idx="72">
                  <c:v>38.098358136554374</c:v>
                </c:pt>
                <c:pt idx="73">
                  <c:v>35.040704995598311</c:v>
                </c:pt>
                <c:pt idx="74">
                  <c:v>32.228449377981228</c:v>
                </c:pt>
                <c:pt idx="75">
                  <c:v>29.641896458402726</c:v>
                </c:pt>
                <c:pt idx="76">
                  <c:v>27.262932055642658</c:v>
                </c:pt>
                <c:pt idx="77">
                  <c:v>25.07489577509385</c:v>
                </c:pt>
                <c:pt idx="78">
                  <c:v>23.062464332470078</c:v>
                </c:pt>
                <c:pt idx="79">
                  <c:v>21.211544241581681</c:v>
                </c:pt>
                <c:pt idx="80">
                  <c:v>19.509173114648981</c:v>
                </c:pt>
                <c:pt idx="81">
                  <c:v>17.943428883938797</c:v>
                </c:pt>
                <c:pt idx="82">
                  <c:v>16.50334630898384</c:v>
                </c:pt>
                <c:pt idx="83">
                  <c:v>15.178840184667321</c:v>
                </c:pt>
                <c:pt idx="84">
                  <c:v>13.960634712382625</c:v>
                </c:pt>
                <c:pt idx="85">
                  <c:v>12.840198539639236</c:v>
                </c:pt>
                <c:pt idx="86">
                  <c:v>11.809685013183438</c:v>
                </c:pt>
                <c:pt idx="87">
                  <c:v>10.861877227213661</c:v>
                </c:pt>
                <c:pt idx="88">
                  <c:v>9.9901374818514093</c:v>
                </c:pt>
                <c:pt idx="89">
                  <c:v>9.1883607979146991</c:v>
                </c:pt>
                <c:pt idx="90">
                  <c:v>8.45093216244803</c:v>
                </c:pt>
                <c:pt idx="91">
                  <c:v>7.772687205590243</c:v>
                </c:pt>
                <c:pt idx="92">
                  <c:v>7.1488760333919892</c:v>
                </c:pt>
                <c:pt idx="93">
                  <c:v>6.575129963296324</c:v>
                </c:pt>
                <c:pt idx="94">
                  <c:v>6.047430929323907</c:v>
                </c:pt>
                <c:pt idx="95">
                  <c:v>5.5620833427008005</c:v>
                </c:pt>
                <c:pt idx="96">
                  <c:v>5.1156882108628547</c:v>
                </c:pt>
                <c:pt idx="97">
                  <c:v>4.7051193335865422</c:v>
                </c:pt>
                <c:pt idx="98">
                  <c:v>4.3275014095426787</c:v>
                </c:pt>
                <c:pt idx="99">
                  <c:v>3.9801898999485634</c:v>
                </c:pt>
                <c:pt idx="100">
                  <c:v>3.6607525082994012</c:v>
                </c:pt>
                <c:pt idx="101">
                  <c:v>3.3669521464776198</c:v>
                </c:pt>
                <c:pt idx="102">
                  <c:v>3.0967312679481158</c:v>
                </c:pt>
                <c:pt idx="103">
                  <c:v>2.8481974583214615</c:v>
                </c:pt>
                <c:pt idx="104">
                  <c:v>2.6196101823727087</c:v>
                </c:pt>
                <c:pt idx="105">
                  <c:v>2.4093685947023471</c:v>
                </c:pt>
                <c:pt idx="106">
                  <c:v>2.2160003286748715</c:v>
                </c:pt>
                <c:pt idx="107">
                  <c:v>2.0381511851215111</c:v>
                </c:pt>
                <c:pt idx="108">
                  <c:v>1.874575648594905</c:v>
                </c:pt>
                <c:pt idx="109">
                  <c:v>1.7241281647590379</c:v>
                </c:pt>
                <c:pt idx="110">
                  <c:v>1.5857551178281359</c:v>
                </c:pt>
                <c:pt idx="111">
                  <c:v>1.4584874518708217</c:v>
                </c:pt>
                <c:pt idx="112">
                  <c:v>1.3414338843049451</c:v>
                </c:pt>
                <c:pt idx="113">
                  <c:v>1.2337746640557521</c:v>
                </c:pt>
                <c:pt idx="114">
                  <c:v>1.1347558306644399</c:v>
                </c:pt>
                <c:pt idx="115">
                  <c:v>1.0436839341424142</c:v>
                </c:pt>
                <c:pt idx="116">
                  <c:v>0.95992117859326387</c:v>
                </c:pt>
                <c:pt idx="117">
                  <c:v>0.88288095559219937</c:v>
                </c:pt>
                <c:pt idx="118">
                  <c:v>0.81202373604226363</c:v>
                </c:pt>
                <c:pt idx="119">
                  <c:v>0.74685329173710602</c:v>
                </c:pt>
                <c:pt idx="120">
                  <c:v>0.68691322016912004</c:v>
                </c:pt>
                <c:pt idx="121">
                  <c:v>0.63178374824543471</c:v>
                </c:pt>
                <c:pt idx="122">
                  <c:v>0.58107879252750261</c:v>
                </c:pt>
                <c:pt idx="123">
                  <c:v>0.53444325540651527</c:v>
                </c:pt>
                <c:pt idx="124">
                  <c:v>0.4915505382791866</c:v>
                </c:pt>
                <c:pt idx="125">
                  <c:v>0.45210025430814438</c:v>
                </c:pt>
                <c:pt idx="126">
                  <c:v>0.41581612474890328</c:v>
                </c:pt>
                <c:pt idx="127">
                  <c:v>0.38244404411094957</c:v>
                </c:pt>
                <c:pt idx="128">
                  <c:v>0.35175030060284768</c:v>
                </c:pt>
                <c:pt idx="129">
                  <c:v>0.32351993939876683</c:v>
                </c:pt>
                <c:pt idx="130">
                  <c:v>0.29755525726403437</c:v>
                </c:pt>
                <c:pt idx="131">
                  <c:v>0.27367441799725795</c:v>
                </c:pt>
                <c:pt idx="132">
                  <c:v>0.25171017899266263</c:v>
                </c:pt>
                <c:pt idx="133">
                  <c:v>0.23150872000448747</c:v>
                </c:pt>
                <c:pt idx="134">
                  <c:v>0.2129285659110294</c:v>
                </c:pt>
                <c:pt idx="135">
                  <c:v>0.19583959593422126</c:v>
                </c:pt>
                <c:pt idx="136">
                  <c:v>0.18012213237609756</c:v>
                </c:pt>
                <c:pt idx="137">
                  <c:v>0.16566610249037544</c:v>
                </c:pt>
                <c:pt idx="138">
                  <c:v>0.1523702676195588</c:v>
                </c:pt>
                <c:pt idx="139">
                  <c:v>0.14014151419904847</c:v>
                </c:pt>
                <c:pt idx="140">
                  <c:v>0.12889420166300927</c:v>
                </c:pt>
                <c:pt idx="141">
                  <c:v>0.11854956268523967</c:v>
                </c:pt>
                <c:pt idx="142">
                  <c:v>0.1090351515548031</c:v>
                </c:pt>
                <c:pt idx="143">
                  <c:v>0.10028433682327798</c:v>
                </c:pt>
                <c:pt idx="144">
                  <c:v>9.2235834670526942E-2</c:v>
                </c:pt>
                <c:pt idx="145">
                  <c:v>8.4833279721046456E-2</c:v>
                </c:pt>
                <c:pt idx="146">
                  <c:v>7.8024830305232135E-2</c:v>
                </c:pt>
                <c:pt idx="147">
                  <c:v>7.1762805401120414E-2</c:v>
                </c:pt>
                <c:pt idx="148">
                  <c:v>6.60033507140321E-2</c:v>
                </c:pt>
                <c:pt idx="149">
                  <c:v>6.0706131555602554E-2</c:v>
                </c:pt>
                <c:pt idx="150">
                  <c:v>5.5834050371364789E-2</c:v>
                </c:pt>
                <c:pt idx="151">
                  <c:v>5.1352986938670978E-2</c:v>
                </c:pt>
                <c:pt idx="152">
                  <c:v>4.7231559415503159E-2</c:v>
                </c:pt>
                <c:pt idx="153">
                  <c:v>4.3440904566746888E-2</c:v>
                </c:pt>
                <c:pt idx="154">
                  <c:v>3.9954475628805719E-2</c:v>
                </c:pt>
                <c:pt idx="155">
                  <c:v>3.6747856396959357E-2</c:v>
                </c:pt>
                <c:pt idx="156">
                  <c:v>3.3798590233479468E-2</c:v>
                </c:pt>
                <c:pt idx="157">
                  <c:v>3.1086022799010807E-2</c:v>
                </c:pt>
                <c:pt idx="158">
                  <c:v>2.859115740583177E-2</c:v>
                </c:pt>
                <c:pt idx="159">
                  <c:v>2.6296521980002572E-2</c:v>
                </c:pt>
                <c:pt idx="160">
                  <c:v>2.4186046700708626E-2</c:v>
                </c:pt>
                <c:pt idx="161">
                  <c:v>2.2244951459881285E-2</c:v>
                </c:pt>
                <c:pt idx="162">
                  <c:v>2.0459642353951805E-2</c:v>
                </c:pt>
                <c:pt idx="163">
                  <c:v>1.8817616482848128E-2</c:v>
                </c:pt>
                <c:pt idx="164">
                  <c:v>1.7307374389521631E-2</c:v>
                </c:pt>
                <c:pt idx="165">
                  <c:v>1.5918339526799188E-2</c:v>
                </c:pt>
                <c:pt idx="166">
                  <c:v>1.4640784187569717E-2</c:v>
                </c:pt>
                <c:pt idx="167">
                  <c:v>1.3465761379578566E-2</c:v>
                </c:pt>
                <c:pt idx="168">
                  <c:v>1.2385042167734379E-2</c:v>
                </c:pt>
                <c:pt idx="169">
                  <c:v>1.1391058045123272E-2</c:v>
                </c:pt>
                <c:pt idx="170">
                  <c:v>1.0476847929142271E-2</c:v>
                </c:pt>
                <c:pt idx="171">
                  <c:v>9.6360094115546073E-3</c:v>
                </c:pt>
                <c:pt idx="172">
                  <c:v>8.8626539210606564E-3</c:v>
                </c:pt>
                <c:pt idx="173">
                  <c:v>8.15136548437842E-3</c:v>
                </c:pt>
                <c:pt idx="174">
                  <c:v>7.4971627970286262E-3</c:v>
                </c:pt>
                <c:pt idx="175">
                  <c:v>6.8954643381980776E-3</c:v>
                </c:pt>
                <c:pt idx="176">
                  <c:v>6.3420562853731908E-3</c:v>
                </c:pt>
                <c:pt idx="177">
                  <c:v>5.8330630040430787E-3</c:v>
                </c:pt>
                <c:pt idx="178">
                  <c:v>5.3649199058052712E-3</c:v>
                </c:pt>
                <c:pt idx="179">
                  <c:v>4.9343484847936114E-3</c:v>
                </c:pt>
                <c:pt idx="180">
                  <c:v>4.5383333576031124E-3</c:v>
                </c:pt>
                <c:pt idx="181">
                  <c:v>4.1741011459174686E-3</c:v>
                </c:pt>
                <c:pt idx="182">
                  <c:v>3.839101053949774E-3</c:v>
                </c:pt>
                <c:pt idx="183">
                  <c:v>3.530987004676116E-3</c:v>
                </c:pt>
                <c:pt idx="184">
                  <c:v>3.2476012097582894E-3</c:v>
                </c:pt>
                <c:pt idx="185">
                  <c:v>2.9869590580922948E-3</c:v>
                </c:pt>
                <c:pt idx="186">
                  <c:v>2.7472352171539084E-3</c:v>
                </c:pt>
                <c:pt idx="187">
                  <c:v>2.5267508498060826E-3</c:v>
                </c:pt>
                <c:pt idx="188">
                  <c:v>2.3239618570447596E-3</c:v>
                </c:pt>
                <c:pt idx="189">
                  <c:v>2.1374480643445381E-3</c:v>
                </c:pt>
                <c:pt idx="190">
                  <c:v>1.9659032758738686E-3</c:v>
                </c:pt>
                <c:pt idx="191">
                  <c:v>1.8081261269273299E-3</c:v>
                </c:pt>
                <c:pt idx="192">
                  <c:v>1.6630116705126164E-3</c:v>
                </c:pt>
                <c:pt idx="193">
                  <c:v>1.5295436391713148E-3</c:v>
                </c:pt>
                <c:pt idx="194">
                  <c:v>1.4067873278413535E-3</c:v>
                </c:pt>
                <c:pt idx="195">
                  <c:v>1.2938830479182913E-3</c:v>
                </c:pt>
                <c:pt idx="196">
                  <c:v>1.1900401066728425E-3</c:v>
                </c:pt>
                <c:pt idx="197">
                  <c:v>1.0945312698612177E-3</c:v>
                </c:pt>
                <c:pt idx="198">
                  <c:v>1.0066876687487604E-3</c:v>
                </c:pt>
                <c:pt idx="199">
                  <c:v>9.2589411587967838E-4</c:v>
                </c:pt>
                <c:pt idx="200">
                  <c:v>8.5158479678821132E-4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B9F-4E51-B963-C805E28C1C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6768391"/>
        <c:axId val="247127908"/>
      </c:lineChart>
      <c:catAx>
        <c:axId val="14667683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de-DE"/>
              </a:p>
            </c:rich>
          </c:tx>
          <c:overlay val="0"/>
        </c:title>
        <c:numFmt formatCode="0.00\ &quot;ms&quot;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247127908"/>
        <c:crosses val="autoZero"/>
        <c:auto val="1"/>
        <c:lblAlgn val="ctr"/>
        <c:lblOffset val="100"/>
        <c:noMultiLvlLbl val="1"/>
      </c:catAx>
      <c:valAx>
        <c:axId val="24712790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de-DE"/>
              </a:p>
            </c:rich>
          </c:tx>
          <c:overlay val="0"/>
        </c:title>
        <c:numFmt formatCode="0.0\ &quot;V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1466768391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de-DE" b="0">
                <a:solidFill>
                  <a:srgbClr val="757575"/>
                </a:solidFill>
                <a:latin typeface="+mn-lt"/>
              </a:rPr>
              <a:t>Projectile Force &amp; Speed vs Distance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Force (N)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'Sim 2.0 50mm'!$U$4:$U$204</c:f>
              <c:numCache>
                <c:formatCode>0.00\ "mm"</c:formatCode>
                <c:ptCount val="201"/>
                <c:pt idx="0">
                  <c:v>81</c:v>
                </c:pt>
                <c:pt idx="1">
                  <c:v>79.600999999999999</c:v>
                </c:pt>
                <c:pt idx="2">
                  <c:v>78.201999999999998</c:v>
                </c:pt>
                <c:pt idx="3">
                  <c:v>76.802999999999997</c:v>
                </c:pt>
                <c:pt idx="4">
                  <c:v>75.403999999999996</c:v>
                </c:pt>
                <c:pt idx="5">
                  <c:v>74.004999999999995</c:v>
                </c:pt>
                <c:pt idx="6">
                  <c:v>72.605999999999995</c:v>
                </c:pt>
                <c:pt idx="7">
                  <c:v>71.206999999999994</c:v>
                </c:pt>
                <c:pt idx="8">
                  <c:v>69.807999999999993</c:v>
                </c:pt>
                <c:pt idx="9">
                  <c:v>68.408999999999992</c:v>
                </c:pt>
                <c:pt idx="10">
                  <c:v>67.009999999999991</c:v>
                </c:pt>
                <c:pt idx="11">
                  <c:v>65.61099999999999</c:v>
                </c:pt>
                <c:pt idx="12">
                  <c:v>64.211999999999989</c:v>
                </c:pt>
                <c:pt idx="13">
                  <c:v>62.812999999999988</c:v>
                </c:pt>
                <c:pt idx="14">
                  <c:v>61.413999999999987</c:v>
                </c:pt>
                <c:pt idx="15">
                  <c:v>60.014999999999986</c:v>
                </c:pt>
                <c:pt idx="16">
                  <c:v>58.615999999999985</c:v>
                </c:pt>
                <c:pt idx="17">
                  <c:v>57.216999999999985</c:v>
                </c:pt>
                <c:pt idx="18">
                  <c:v>55.817719829026558</c:v>
                </c:pt>
                <c:pt idx="19">
                  <c:v>54.418405364831941</c:v>
                </c:pt>
                <c:pt idx="20">
                  <c:v>53.019008109694099</c:v>
                </c:pt>
                <c:pt idx="21">
                  <c:v>51.619422882673632</c:v>
                </c:pt>
                <c:pt idx="22">
                  <c:v>50.219681113802984</c:v>
                </c:pt>
                <c:pt idx="23">
                  <c:v>48.819669401389056</c:v>
                </c:pt>
                <c:pt idx="24">
                  <c:v>47.419364070861533</c:v>
                </c:pt>
                <c:pt idx="25">
                  <c:v>46.018484212332936</c:v>
                </c:pt>
                <c:pt idx="26">
                  <c:v>44.616874868714852</c:v>
                </c:pt>
                <c:pt idx="27">
                  <c:v>43.213953806904904</c:v>
                </c:pt>
                <c:pt idx="28">
                  <c:v>41.808979025563779</c:v>
                </c:pt>
                <c:pt idx="29">
                  <c:v>40.401617252831556</c:v>
                </c:pt>
                <c:pt idx="30">
                  <c:v>38.988955302047074</c:v>
                </c:pt>
                <c:pt idx="31">
                  <c:v>37.568025213303891</c:v>
                </c:pt>
                <c:pt idx="32">
                  <c:v>36.135054074259656</c:v>
                </c:pt>
                <c:pt idx="33">
                  <c:v>34.686154335806876</c:v>
                </c:pt>
                <c:pt idx="34">
                  <c:v>33.217557787589918</c:v>
                </c:pt>
                <c:pt idx="35">
                  <c:v>31.726173505146821</c:v>
                </c:pt>
                <c:pt idx="36">
                  <c:v>30.210391438762809</c:v>
                </c:pt>
                <c:pt idx="37">
                  <c:v>28.668565220404954</c:v>
                </c:pt>
                <c:pt idx="38">
                  <c:v>27.097929402842208</c:v>
                </c:pt>
                <c:pt idx="39">
                  <c:v>25.497257559400346</c:v>
                </c:pt>
                <c:pt idx="40">
                  <c:v>23.866796940952781</c:v>
                </c:pt>
                <c:pt idx="41">
                  <c:v>22.204434040552417</c:v>
                </c:pt>
                <c:pt idx="42">
                  <c:v>20.506434658454573</c:v>
                </c:pt>
                <c:pt idx="43">
                  <c:v>18.777148028481985</c:v>
                </c:pt>
                <c:pt idx="44">
                  <c:v>17.017972960700828</c:v>
                </c:pt>
                <c:pt idx="45">
                  <c:v>15.230237461523041</c:v>
                </c:pt>
                <c:pt idx="46">
                  <c:v>13.423497148086371</c:v>
                </c:pt>
                <c:pt idx="47">
                  <c:v>11.611688930509157</c:v>
                </c:pt>
                <c:pt idx="48">
                  <c:v>9.8106491105226219</c:v>
                </c:pt>
                <c:pt idx="49">
                  <c:v>8.0226500225641626</c:v>
                </c:pt>
                <c:pt idx="50">
                  <c:v>6.2595723858466279</c:v>
                </c:pt>
                <c:pt idx="51">
                  <c:v>4.5133888277410472</c:v>
                </c:pt>
                <c:pt idx="52">
                  <c:v>2.7880663091515552</c:v>
                </c:pt>
                <c:pt idx="53">
                  <c:v>1.0766317713929265</c:v>
                </c:pt>
                <c:pt idx="54">
                  <c:v>-0.61859463440753193</c:v>
                </c:pt>
                <c:pt idx="55">
                  <c:v>-2.301884448888134</c:v>
                </c:pt>
                <c:pt idx="56">
                  <c:v>-3.9706036228418826</c:v>
                </c:pt>
                <c:pt idx="57">
                  <c:v>-5.6289673793190964</c:v>
                </c:pt>
                <c:pt idx="58">
                  <c:v>-7.2765244881880626</c:v>
                </c:pt>
                <c:pt idx="59">
                  <c:v>-8.9108931107835705</c:v>
                </c:pt>
                <c:pt idx="60">
                  <c:v>-10.534945976169016</c:v>
                </c:pt>
                <c:pt idx="61">
                  <c:v>-12.150509478021567</c:v>
                </c:pt>
                <c:pt idx="62">
                  <c:v>-13.759506348172367</c:v>
                </c:pt>
                <c:pt idx="63">
                  <c:v>-15.363382246709666</c:v>
                </c:pt>
                <c:pt idx="64">
                  <c:v>-16.965383702284566</c:v>
                </c:pt>
                <c:pt idx="65">
                  <c:v>-18.566238925824269</c:v>
                </c:pt>
                <c:pt idx="66">
                  <c:v>-20.167265331824822</c:v>
                </c:pt>
                <c:pt idx="67">
                  <c:v>-21.768972960683833</c:v>
                </c:pt>
                <c:pt idx="68">
                  <c:v>-23.372714031372034</c:v>
                </c:pt>
                <c:pt idx="69">
                  <c:v>-24.977932609154937</c:v>
                </c:pt>
                <c:pt idx="70">
                  <c:v>-26.584858487838602</c:v>
                </c:pt>
                <c:pt idx="71">
                  <c:v>-28.193360358108947</c:v>
                </c:pt>
                <c:pt idx="72">
                  <c:v>-29.803469639595011</c:v>
                </c:pt>
                <c:pt idx="73">
                  <c:v>-31.415883237394187</c:v>
                </c:pt>
                <c:pt idx="74">
                  <c:v>-33.029743909540692</c:v>
                </c:pt>
                <c:pt idx="75">
                  <c:v>-34.644959349124512</c:v>
                </c:pt>
                <c:pt idx="76">
                  <c:v>-36.261446785898016</c:v>
                </c:pt>
                <c:pt idx="77">
                  <c:v>-37.879349278554194</c:v>
                </c:pt>
                <c:pt idx="78">
                  <c:v>-39.498047250067721</c:v>
                </c:pt>
                <c:pt idx="79">
                  <c:v>-41.117266971717576</c:v>
                </c:pt>
                <c:pt idx="80">
                  <c:v>-42.736844588298517</c:v>
                </c:pt>
                <c:pt idx="81">
                  <c:v>-44.356600434228689</c:v>
                </c:pt>
                <c:pt idx="82">
                  <c:v>-45.97648048596966</c:v>
                </c:pt>
                <c:pt idx="83">
                  <c:v>-47.59640682567364</c:v>
                </c:pt>
                <c:pt idx="84">
                  <c:v>-49.21635509203746</c:v>
                </c:pt>
                <c:pt idx="85">
                  <c:v>-50.836320017694</c:v>
                </c:pt>
                <c:pt idx="86">
                  <c:v>-52.456298789987386</c:v>
                </c:pt>
                <c:pt idx="87">
                  <c:v>-54.076278811155319</c:v>
                </c:pt>
                <c:pt idx="88">
                  <c:v>-55.696263108550951</c:v>
                </c:pt>
                <c:pt idx="89">
                  <c:v>-57.316250007603166</c:v>
                </c:pt>
                <c:pt idx="90">
                  <c:v>-58.936240664508119</c:v>
                </c:pt>
                <c:pt idx="91">
                  <c:v>-60.556234855192528</c:v>
                </c:pt>
                <c:pt idx="92">
                  <c:v>-62.176229045876937</c:v>
                </c:pt>
                <c:pt idx="93">
                  <c:v>-63.796223236561346</c:v>
                </c:pt>
                <c:pt idx="94">
                  <c:v>-65.416217427245755</c:v>
                </c:pt>
                <c:pt idx="95">
                  <c:v>-67.036211617930164</c:v>
                </c:pt>
                <c:pt idx="96">
                  <c:v>-68.656205808614573</c:v>
                </c:pt>
                <c:pt idx="97">
                  <c:v>-70.276199999298981</c:v>
                </c:pt>
                <c:pt idx="98">
                  <c:v>-71.89619418998339</c:v>
                </c:pt>
                <c:pt idx="99">
                  <c:v>-73.516188380667799</c:v>
                </c:pt>
                <c:pt idx="100">
                  <c:v>-75.136182571352208</c:v>
                </c:pt>
                <c:pt idx="101">
                  <c:v>-76.756176762036617</c:v>
                </c:pt>
                <c:pt idx="102">
                  <c:v>-78.376170952721026</c:v>
                </c:pt>
                <c:pt idx="103">
                  <c:v>-79.996165143405435</c:v>
                </c:pt>
                <c:pt idx="104">
                  <c:v>-81.616159334089843</c:v>
                </c:pt>
                <c:pt idx="105">
                  <c:v>-83.236153524774252</c:v>
                </c:pt>
                <c:pt idx="106">
                  <c:v>-84.856147715458661</c:v>
                </c:pt>
                <c:pt idx="107">
                  <c:v>-86.47614190614307</c:v>
                </c:pt>
                <c:pt idx="108">
                  <c:v>-88.096136096827479</c:v>
                </c:pt>
                <c:pt idx="109">
                  <c:v>-89.716130287511888</c:v>
                </c:pt>
                <c:pt idx="110">
                  <c:v>-91.336124478196297</c:v>
                </c:pt>
                <c:pt idx="111">
                  <c:v>-92.956118668880706</c:v>
                </c:pt>
                <c:pt idx="112">
                  <c:v>-94.576112859565114</c:v>
                </c:pt>
                <c:pt idx="113">
                  <c:v>-96.196107050249523</c:v>
                </c:pt>
                <c:pt idx="114">
                  <c:v>-97.816101240933932</c:v>
                </c:pt>
                <c:pt idx="115">
                  <c:v>-99.436095431618341</c:v>
                </c:pt>
                <c:pt idx="116">
                  <c:v>-101.05608962230275</c:v>
                </c:pt>
                <c:pt idx="117">
                  <c:v>-102.67608381298716</c:v>
                </c:pt>
                <c:pt idx="118">
                  <c:v>-104.29607800367157</c:v>
                </c:pt>
                <c:pt idx="119">
                  <c:v>-105.91607219435598</c:v>
                </c:pt>
                <c:pt idx="120">
                  <c:v>-107.53606638504039</c:v>
                </c:pt>
                <c:pt idx="121">
                  <c:v>-109.15606057572479</c:v>
                </c:pt>
                <c:pt idx="122">
                  <c:v>-110.7760547664092</c:v>
                </c:pt>
                <c:pt idx="123">
                  <c:v>-112.39604895709361</c:v>
                </c:pt>
                <c:pt idx="124">
                  <c:v>-114.01604314777802</c:v>
                </c:pt>
                <c:pt idx="125">
                  <c:v>-115.63603733846243</c:v>
                </c:pt>
                <c:pt idx="126">
                  <c:v>-117.25603152914684</c:v>
                </c:pt>
                <c:pt idx="127">
                  <c:v>-118.87602571983125</c:v>
                </c:pt>
                <c:pt idx="128">
                  <c:v>-120.49601991051566</c:v>
                </c:pt>
                <c:pt idx="129">
                  <c:v>-122.11601410120007</c:v>
                </c:pt>
                <c:pt idx="130">
                  <c:v>-123.73600829188447</c:v>
                </c:pt>
                <c:pt idx="131">
                  <c:v>-125.35600248256888</c:v>
                </c:pt>
                <c:pt idx="132">
                  <c:v>-126.97599667325329</c:v>
                </c:pt>
                <c:pt idx="133">
                  <c:v>-128.59599086393769</c:v>
                </c:pt>
                <c:pt idx="134">
                  <c:v>-130.21598505462208</c:v>
                </c:pt>
                <c:pt idx="135">
                  <c:v>-131.83597924530648</c:v>
                </c:pt>
                <c:pt idx="136">
                  <c:v>-133.45597343599087</c:v>
                </c:pt>
                <c:pt idx="137">
                  <c:v>-135.07596762667526</c:v>
                </c:pt>
                <c:pt idx="138">
                  <c:v>-136.69596181735966</c:v>
                </c:pt>
                <c:pt idx="139">
                  <c:v>-138.31595600804405</c:v>
                </c:pt>
                <c:pt idx="140">
                  <c:v>-139.93595019872845</c:v>
                </c:pt>
                <c:pt idx="141">
                  <c:v>-141.55594438941284</c:v>
                </c:pt>
                <c:pt idx="142">
                  <c:v>-143.17593858009724</c:v>
                </c:pt>
                <c:pt idx="143">
                  <c:v>-144.79593277078163</c:v>
                </c:pt>
                <c:pt idx="144">
                  <c:v>-146.41592696146603</c:v>
                </c:pt>
                <c:pt idx="145">
                  <c:v>-148.03592115215042</c:v>
                </c:pt>
                <c:pt idx="146">
                  <c:v>-149.65591534283482</c:v>
                </c:pt>
                <c:pt idx="147">
                  <c:v>-151.27590953351921</c:v>
                </c:pt>
                <c:pt idx="148">
                  <c:v>-152.89590372420361</c:v>
                </c:pt>
                <c:pt idx="149">
                  <c:v>-154.515897914888</c:v>
                </c:pt>
                <c:pt idx="150">
                  <c:v>-156.1358921055724</c:v>
                </c:pt>
                <c:pt idx="151">
                  <c:v>-157.75588629625679</c:v>
                </c:pt>
                <c:pt idx="152">
                  <c:v>-159.37588048694118</c:v>
                </c:pt>
                <c:pt idx="153">
                  <c:v>-160.99587467762558</c:v>
                </c:pt>
                <c:pt idx="154">
                  <c:v>-162.61586886830997</c:v>
                </c:pt>
                <c:pt idx="155">
                  <c:v>-164.23586305899437</c:v>
                </c:pt>
                <c:pt idx="156">
                  <c:v>-165.85585724967876</c:v>
                </c:pt>
                <c:pt idx="157">
                  <c:v>-167.47585144036316</c:v>
                </c:pt>
                <c:pt idx="158">
                  <c:v>-169.09584563104755</c:v>
                </c:pt>
                <c:pt idx="159">
                  <c:v>-170.71583982173195</c:v>
                </c:pt>
                <c:pt idx="160">
                  <c:v>-172.33583401241634</c:v>
                </c:pt>
                <c:pt idx="161">
                  <c:v>-173.95582820310074</c:v>
                </c:pt>
                <c:pt idx="162">
                  <c:v>-175.57582239378513</c:v>
                </c:pt>
                <c:pt idx="163">
                  <c:v>-177.19581658446953</c:v>
                </c:pt>
                <c:pt idx="164">
                  <c:v>-178.81581077515392</c:v>
                </c:pt>
                <c:pt idx="165">
                  <c:v>-180.43580496583832</c:v>
                </c:pt>
                <c:pt idx="166">
                  <c:v>-182.05579915652271</c:v>
                </c:pt>
                <c:pt idx="167">
                  <c:v>-183.6757933472071</c:v>
                </c:pt>
                <c:pt idx="168">
                  <c:v>-185.2957875378915</c:v>
                </c:pt>
                <c:pt idx="169">
                  <c:v>-186.91578172857589</c:v>
                </c:pt>
                <c:pt idx="170">
                  <c:v>-188.53577591926029</c:v>
                </c:pt>
                <c:pt idx="171">
                  <c:v>-190.15577010994468</c:v>
                </c:pt>
                <c:pt idx="172">
                  <c:v>-191.77576430062908</c:v>
                </c:pt>
                <c:pt idx="173">
                  <c:v>-193.39575849131347</c:v>
                </c:pt>
                <c:pt idx="174">
                  <c:v>-195.01575268199787</c:v>
                </c:pt>
                <c:pt idx="175">
                  <c:v>-196.63574687268226</c:v>
                </c:pt>
                <c:pt idx="176">
                  <c:v>-198.25574106336666</c:v>
                </c:pt>
                <c:pt idx="177">
                  <c:v>-199.87573525405105</c:v>
                </c:pt>
                <c:pt idx="178">
                  <c:v>-201.49572944473545</c:v>
                </c:pt>
                <c:pt idx="179">
                  <c:v>-203.11572363541984</c:v>
                </c:pt>
                <c:pt idx="180">
                  <c:v>-204.73571782610423</c:v>
                </c:pt>
                <c:pt idx="181">
                  <c:v>-206.35571201678863</c:v>
                </c:pt>
                <c:pt idx="182">
                  <c:v>-207.97570620747302</c:v>
                </c:pt>
                <c:pt idx="183">
                  <c:v>-209.59570039815742</c:v>
                </c:pt>
                <c:pt idx="184">
                  <c:v>-211.21569458884181</c:v>
                </c:pt>
                <c:pt idx="185">
                  <c:v>-212.83568877952621</c:v>
                </c:pt>
                <c:pt idx="186">
                  <c:v>-214.4556829702106</c:v>
                </c:pt>
                <c:pt idx="187">
                  <c:v>-216.075677160895</c:v>
                </c:pt>
                <c:pt idx="188">
                  <c:v>-217.69567135157939</c:v>
                </c:pt>
                <c:pt idx="189">
                  <c:v>-219.31566554226379</c:v>
                </c:pt>
                <c:pt idx="190">
                  <c:v>-220.93565973294818</c:v>
                </c:pt>
                <c:pt idx="191">
                  <c:v>-222.55565392363258</c:v>
                </c:pt>
                <c:pt idx="192">
                  <c:v>-224.17564811431697</c:v>
                </c:pt>
                <c:pt idx="193">
                  <c:v>-225.79564230500137</c:v>
                </c:pt>
                <c:pt idx="194">
                  <c:v>-227.41563649568576</c:v>
                </c:pt>
                <c:pt idx="195">
                  <c:v>-229.03563068637015</c:v>
                </c:pt>
                <c:pt idx="196">
                  <c:v>-230.65562487705455</c:v>
                </c:pt>
                <c:pt idx="197">
                  <c:v>-232.27561906773894</c:v>
                </c:pt>
                <c:pt idx="198">
                  <c:v>-233.89561325842334</c:v>
                </c:pt>
                <c:pt idx="199">
                  <c:v>-235.51560744910773</c:v>
                </c:pt>
                <c:pt idx="200">
                  <c:v>-237.13560163979213</c:v>
                </c:pt>
              </c:numCache>
            </c:numRef>
          </c:cat>
          <c:val>
            <c:numRef>
              <c:f>'Sim 2.0 50mm'!$R$4:$R$204</c:f>
              <c:numCache>
                <c:formatCode>0.0\ "N"</c:formatCode>
                <c:ptCount val="20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0.19275762971619056</c:v>
                </c:pt>
                <c:pt idx="18">
                  <c:v>0.19707560292675894</c:v>
                </c:pt>
                <c:pt idx="19">
                  <c:v>0.23432821156916023</c:v>
                </c:pt>
                <c:pt idx="20">
                  <c:v>0.34022004566175013</c:v>
                </c:pt>
                <c:pt idx="21">
                  <c:v>0.41389883401961136</c:v>
                </c:pt>
                <c:pt idx="22">
                  <c:v>0.5582301083943223</c:v>
                </c:pt>
                <c:pt idx="23">
                  <c:v>0.70441635970910588</c:v>
                </c:pt>
                <c:pt idx="24">
                  <c:v>1.0292499884769666</c:v>
                </c:pt>
                <c:pt idx="25">
                  <c:v>1.4282107311966663</c:v>
                </c:pt>
                <c:pt idx="26">
                  <c:v>2.1878517740795389</c:v>
                </c:pt>
                <c:pt idx="27">
                  <c:v>3.3820256341188255</c:v>
                </c:pt>
                <c:pt idx="28">
                  <c:v>4.6860731477827091</c:v>
                </c:pt>
                <c:pt idx="29">
                  <c:v>7.8639883329607416</c:v>
                </c:pt>
                <c:pt idx="30">
                  <c:v>12.766068415247727</c:v>
                </c:pt>
                <c:pt idx="31">
                  <c:v>19.773704180846426</c:v>
                </c:pt>
                <c:pt idx="32">
                  <c:v>28.755210155840377</c:v>
                </c:pt>
                <c:pt idx="33">
                  <c:v>39.431094258011854</c:v>
                </c:pt>
                <c:pt idx="34">
                  <c:v>51.165945979795588</c:v>
                </c:pt>
                <c:pt idx="35">
                  <c:v>62.835026733164042</c:v>
                </c:pt>
                <c:pt idx="36">
                  <c:v>74.469900617852147</c:v>
                </c:pt>
                <c:pt idx="37">
                  <c:v>86.843914809030608</c:v>
                </c:pt>
                <c:pt idx="38">
                  <c:v>98.82430913296254</c:v>
                </c:pt>
                <c:pt idx="39">
                  <c:v>109.43655542358756</c:v>
                </c:pt>
                <c:pt idx="40">
                  <c:v>120.44166986475452</c:v>
                </c:pt>
                <c:pt idx="41">
                  <c:v>132.91540228614591</c:v>
                </c:pt>
                <c:pt idx="42">
                  <c:v>141.14948859535488</c:v>
                </c:pt>
                <c:pt idx="43">
                  <c:v>147.59778494811584</c:v>
                </c:pt>
                <c:pt idx="44">
                  <c:v>152.48758325418447</c:v>
                </c:pt>
                <c:pt idx="45">
                  <c:v>150.31413713887704</c:v>
                </c:pt>
                <c:pt idx="46">
                  <c:v>138.7694414736842</c:v>
                </c:pt>
                <c:pt idx="47">
                  <c:v>117.48383978392977</c:v>
                </c:pt>
                <c:pt idx="48">
                  <c:v>96.763432170220455</c:v>
                </c:pt>
                <c:pt idx="49">
                  <c:v>69.941130499443275</c:v>
                </c:pt>
                <c:pt idx="50">
                  <c:v>51.323891364473148</c:v>
                </c:pt>
                <c:pt idx="51">
                  <c:v>31.839107040957373</c:v>
                </c:pt>
                <c:pt idx="52">
                  <c:v>19.100265525226828</c:v>
                </c:pt>
                <c:pt idx="53">
                  <c:v>6.0390441854826102</c:v>
                </c:pt>
                <c:pt idx="54">
                  <c:v>-2.7772350611263921</c:v>
                </c:pt>
                <c:pt idx="55">
                  <c:v>-12.524112237488389</c:v>
                </c:pt>
                <c:pt idx="56">
                  <c:v>-18.39622823759608</c:v>
                </c:pt>
                <c:pt idx="57">
                  <c:v>-23.991578968309593</c:v>
                </c:pt>
                <c:pt idx="58">
                  <c:v>-30.666099627617303</c:v>
                </c:pt>
                <c:pt idx="59">
                  <c:v>-34.69673062537975</c:v>
                </c:pt>
                <c:pt idx="60">
                  <c:v>-37.067739673473589</c:v>
                </c:pt>
                <c:pt idx="61">
                  <c:v>-37.878808316930545</c:v>
                </c:pt>
                <c:pt idx="62">
                  <c:v>-37.614155955325515</c:v>
                </c:pt>
                <c:pt idx="63">
                  <c:v>-35.142357117925066</c:v>
                </c:pt>
                <c:pt idx="64">
                  <c:v>-32.416729046349126</c:v>
                </c:pt>
                <c:pt idx="65">
                  <c:v>-29.057282608647185</c:v>
                </c:pt>
                <c:pt idx="66">
                  <c:v>-25.682873021164085</c:v>
                </c:pt>
                <c:pt idx="67">
                  <c:v>-21.715577740564363</c:v>
                </c:pt>
                <c:pt idx="68">
                  <c:v>-18.527495085354428</c:v>
                </c:pt>
                <c:pt idx="69">
                  <c:v>-15.500122557093206</c:v>
                </c:pt>
                <c:pt idx="70">
                  <c:v>-12.865828089748614</c:v>
                </c:pt>
                <c:pt idx="71">
                  <c:v>-10.473346364359948</c:v>
                </c:pt>
                <c:pt idx="72">
                  <c:v>-7.8406421045028898</c:v>
                </c:pt>
                <c:pt idx="73">
                  <c:v>-6.0609907430886398</c:v>
                </c:pt>
                <c:pt idx="74">
                  <c:v>-4.5228116719083733</c:v>
                </c:pt>
                <c:pt idx="75">
                  <c:v>-3.1953964382158135</c:v>
                </c:pt>
                <c:pt idx="76">
                  <c:v>-1.9022983471145218</c:v>
                </c:pt>
                <c:pt idx="77">
                  <c:v>-1.1647790585446594</c:v>
                </c:pt>
                <c:pt idx="78">
                  <c:v>-0.6893370588975305</c:v>
                </c:pt>
                <c:pt idx="79">
                  <c:v>-0.37417164042150081</c:v>
                </c:pt>
                <c:pt idx="80">
                  <c:v>-0.21413268410638722</c:v>
                </c:pt>
                <c:pt idx="81">
                  <c:v>-0.10726581786818613</c:v>
                </c:pt>
                <c:pt idx="82">
                  <c:v>-6.4693117531216648E-2</c:v>
                </c:pt>
                <c:pt idx="83">
                  <c:v>-4.313826380482453E-2</c:v>
                </c:pt>
                <c:pt idx="84">
                  <c:v>-2.7362844036269943E-2</c:v>
                </c:pt>
                <c:pt idx="85">
                  <c:v>-1.5100073482615741E-2</c:v>
                </c:pt>
                <c:pt idx="86">
                  <c:v>-1.2730840444211746E-2</c:v>
                </c:pt>
                <c:pt idx="87">
                  <c:v>-8.5157117461355097E-3</c:v>
                </c:pt>
                <c:pt idx="88">
                  <c:v>-5.8742008393286279E-3</c:v>
                </c:pt>
                <c:pt idx="89">
                  <c:v>-2.7013780745869212E-3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CE-426C-8718-DAA5FDCE7363}"/>
            </c:ext>
          </c:extLst>
        </c:ser>
        <c:ser>
          <c:idx val="1"/>
          <c:order val="1"/>
          <c:tx>
            <c:v>Speed (M/S)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'Sim 2.0 50mm'!$U$4:$U$204</c:f>
              <c:numCache>
                <c:formatCode>0.00\ "mm"</c:formatCode>
                <c:ptCount val="201"/>
                <c:pt idx="0">
                  <c:v>81</c:v>
                </c:pt>
                <c:pt idx="1">
                  <c:v>79.600999999999999</c:v>
                </c:pt>
                <c:pt idx="2">
                  <c:v>78.201999999999998</c:v>
                </c:pt>
                <c:pt idx="3">
                  <c:v>76.802999999999997</c:v>
                </c:pt>
                <c:pt idx="4">
                  <c:v>75.403999999999996</c:v>
                </c:pt>
                <c:pt idx="5">
                  <c:v>74.004999999999995</c:v>
                </c:pt>
                <c:pt idx="6">
                  <c:v>72.605999999999995</c:v>
                </c:pt>
                <c:pt idx="7">
                  <c:v>71.206999999999994</c:v>
                </c:pt>
                <c:pt idx="8">
                  <c:v>69.807999999999993</c:v>
                </c:pt>
                <c:pt idx="9">
                  <c:v>68.408999999999992</c:v>
                </c:pt>
                <c:pt idx="10">
                  <c:v>67.009999999999991</c:v>
                </c:pt>
                <c:pt idx="11">
                  <c:v>65.61099999999999</c:v>
                </c:pt>
                <c:pt idx="12">
                  <c:v>64.211999999999989</c:v>
                </c:pt>
                <c:pt idx="13">
                  <c:v>62.812999999999988</c:v>
                </c:pt>
                <c:pt idx="14">
                  <c:v>61.413999999999987</c:v>
                </c:pt>
                <c:pt idx="15">
                  <c:v>60.014999999999986</c:v>
                </c:pt>
                <c:pt idx="16">
                  <c:v>58.615999999999985</c:v>
                </c:pt>
                <c:pt idx="17">
                  <c:v>57.216999999999985</c:v>
                </c:pt>
                <c:pt idx="18">
                  <c:v>55.817719829026558</c:v>
                </c:pt>
                <c:pt idx="19">
                  <c:v>54.418405364831941</c:v>
                </c:pt>
                <c:pt idx="20">
                  <c:v>53.019008109694099</c:v>
                </c:pt>
                <c:pt idx="21">
                  <c:v>51.619422882673632</c:v>
                </c:pt>
                <c:pt idx="22">
                  <c:v>50.219681113802984</c:v>
                </c:pt>
                <c:pt idx="23">
                  <c:v>48.819669401389056</c:v>
                </c:pt>
                <c:pt idx="24">
                  <c:v>47.419364070861533</c:v>
                </c:pt>
                <c:pt idx="25">
                  <c:v>46.018484212332936</c:v>
                </c:pt>
                <c:pt idx="26">
                  <c:v>44.616874868714852</c:v>
                </c:pt>
                <c:pt idx="27">
                  <c:v>43.213953806904904</c:v>
                </c:pt>
                <c:pt idx="28">
                  <c:v>41.808979025563779</c:v>
                </c:pt>
                <c:pt idx="29">
                  <c:v>40.401617252831556</c:v>
                </c:pt>
                <c:pt idx="30">
                  <c:v>38.988955302047074</c:v>
                </c:pt>
                <c:pt idx="31">
                  <c:v>37.568025213303891</c:v>
                </c:pt>
                <c:pt idx="32">
                  <c:v>36.135054074259656</c:v>
                </c:pt>
                <c:pt idx="33">
                  <c:v>34.686154335806876</c:v>
                </c:pt>
                <c:pt idx="34">
                  <c:v>33.217557787589918</c:v>
                </c:pt>
                <c:pt idx="35">
                  <c:v>31.726173505146821</c:v>
                </c:pt>
                <c:pt idx="36">
                  <c:v>30.210391438762809</c:v>
                </c:pt>
                <c:pt idx="37">
                  <c:v>28.668565220404954</c:v>
                </c:pt>
                <c:pt idx="38">
                  <c:v>27.097929402842208</c:v>
                </c:pt>
                <c:pt idx="39">
                  <c:v>25.497257559400346</c:v>
                </c:pt>
                <c:pt idx="40">
                  <c:v>23.866796940952781</c:v>
                </c:pt>
                <c:pt idx="41">
                  <c:v>22.204434040552417</c:v>
                </c:pt>
                <c:pt idx="42">
                  <c:v>20.506434658454573</c:v>
                </c:pt>
                <c:pt idx="43">
                  <c:v>18.777148028481985</c:v>
                </c:pt>
                <c:pt idx="44">
                  <c:v>17.017972960700828</c:v>
                </c:pt>
                <c:pt idx="45">
                  <c:v>15.230237461523041</c:v>
                </c:pt>
                <c:pt idx="46">
                  <c:v>13.423497148086371</c:v>
                </c:pt>
                <c:pt idx="47">
                  <c:v>11.611688930509157</c:v>
                </c:pt>
                <c:pt idx="48">
                  <c:v>9.8106491105226219</c:v>
                </c:pt>
                <c:pt idx="49">
                  <c:v>8.0226500225641626</c:v>
                </c:pt>
                <c:pt idx="50">
                  <c:v>6.2595723858466279</c:v>
                </c:pt>
                <c:pt idx="51">
                  <c:v>4.5133888277410472</c:v>
                </c:pt>
                <c:pt idx="52">
                  <c:v>2.7880663091515552</c:v>
                </c:pt>
                <c:pt idx="53">
                  <c:v>1.0766317713929265</c:v>
                </c:pt>
                <c:pt idx="54">
                  <c:v>-0.61859463440753193</c:v>
                </c:pt>
                <c:pt idx="55">
                  <c:v>-2.301884448888134</c:v>
                </c:pt>
                <c:pt idx="56">
                  <c:v>-3.9706036228418826</c:v>
                </c:pt>
                <c:pt idx="57">
                  <c:v>-5.6289673793190964</c:v>
                </c:pt>
                <c:pt idx="58">
                  <c:v>-7.2765244881880626</c:v>
                </c:pt>
                <c:pt idx="59">
                  <c:v>-8.9108931107835705</c:v>
                </c:pt>
                <c:pt idx="60">
                  <c:v>-10.534945976169016</c:v>
                </c:pt>
                <c:pt idx="61">
                  <c:v>-12.150509478021567</c:v>
                </c:pt>
                <c:pt idx="62">
                  <c:v>-13.759506348172367</c:v>
                </c:pt>
                <c:pt idx="63">
                  <c:v>-15.363382246709666</c:v>
                </c:pt>
                <c:pt idx="64">
                  <c:v>-16.965383702284566</c:v>
                </c:pt>
                <c:pt idx="65">
                  <c:v>-18.566238925824269</c:v>
                </c:pt>
                <c:pt idx="66">
                  <c:v>-20.167265331824822</c:v>
                </c:pt>
                <c:pt idx="67">
                  <c:v>-21.768972960683833</c:v>
                </c:pt>
                <c:pt idx="68">
                  <c:v>-23.372714031372034</c:v>
                </c:pt>
                <c:pt idx="69">
                  <c:v>-24.977932609154937</c:v>
                </c:pt>
                <c:pt idx="70">
                  <c:v>-26.584858487838602</c:v>
                </c:pt>
                <c:pt idx="71">
                  <c:v>-28.193360358108947</c:v>
                </c:pt>
                <c:pt idx="72">
                  <c:v>-29.803469639595011</c:v>
                </c:pt>
                <c:pt idx="73">
                  <c:v>-31.415883237394187</c:v>
                </c:pt>
                <c:pt idx="74">
                  <c:v>-33.029743909540692</c:v>
                </c:pt>
                <c:pt idx="75">
                  <c:v>-34.644959349124512</c:v>
                </c:pt>
                <c:pt idx="76">
                  <c:v>-36.261446785898016</c:v>
                </c:pt>
                <c:pt idx="77">
                  <c:v>-37.879349278554194</c:v>
                </c:pt>
                <c:pt idx="78">
                  <c:v>-39.498047250067721</c:v>
                </c:pt>
                <c:pt idx="79">
                  <c:v>-41.117266971717576</c:v>
                </c:pt>
                <c:pt idx="80">
                  <c:v>-42.736844588298517</c:v>
                </c:pt>
                <c:pt idx="81">
                  <c:v>-44.356600434228689</c:v>
                </c:pt>
                <c:pt idx="82">
                  <c:v>-45.97648048596966</c:v>
                </c:pt>
                <c:pt idx="83">
                  <c:v>-47.59640682567364</c:v>
                </c:pt>
                <c:pt idx="84">
                  <c:v>-49.21635509203746</c:v>
                </c:pt>
                <c:pt idx="85">
                  <c:v>-50.836320017694</c:v>
                </c:pt>
                <c:pt idx="86">
                  <c:v>-52.456298789987386</c:v>
                </c:pt>
                <c:pt idx="87">
                  <c:v>-54.076278811155319</c:v>
                </c:pt>
                <c:pt idx="88">
                  <c:v>-55.696263108550951</c:v>
                </c:pt>
                <c:pt idx="89">
                  <c:v>-57.316250007603166</c:v>
                </c:pt>
                <c:pt idx="90">
                  <c:v>-58.936240664508119</c:v>
                </c:pt>
                <c:pt idx="91">
                  <c:v>-60.556234855192528</c:v>
                </c:pt>
                <c:pt idx="92">
                  <c:v>-62.176229045876937</c:v>
                </c:pt>
                <c:pt idx="93">
                  <c:v>-63.796223236561346</c:v>
                </c:pt>
                <c:pt idx="94">
                  <c:v>-65.416217427245755</c:v>
                </c:pt>
                <c:pt idx="95">
                  <c:v>-67.036211617930164</c:v>
                </c:pt>
                <c:pt idx="96">
                  <c:v>-68.656205808614573</c:v>
                </c:pt>
                <c:pt idx="97">
                  <c:v>-70.276199999298981</c:v>
                </c:pt>
                <c:pt idx="98">
                  <c:v>-71.89619418998339</c:v>
                </c:pt>
                <c:pt idx="99">
                  <c:v>-73.516188380667799</c:v>
                </c:pt>
                <c:pt idx="100">
                  <c:v>-75.136182571352208</c:v>
                </c:pt>
                <c:pt idx="101">
                  <c:v>-76.756176762036617</c:v>
                </c:pt>
                <c:pt idx="102">
                  <c:v>-78.376170952721026</c:v>
                </c:pt>
                <c:pt idx="103">
                  <c:v>-79.996165143405435</c:v>
                </c:pt>
                <c:pt idx="104">
                  <c:v>-81.616159334089843</c:v>
                </c:pt>
                <c:pt idx="105">
                  <c:v>-83.236153524774252</c:v>
                </c:pt>
                <c:pt idx="106">
                  <c:v>-84.856147715458661</c:v>
                </c:pt>
                <c:pt idx="107">
                  <c:v>-86.47614190614307</c:v>
                </c:pt>
                <c:pt idx="108">
                  <c:v>-88.096136096827479</c:v>
                </c:pt>
                <c:pt idx="109">
                  <c:v>-89.716130287511888</c:v>
                </c:pt>
                <c:pt idx="110">
                  <c:v>-91.336124478196297</c:v>
                </c:pt>
                <c:pt idx="111">
                  <c:v>-92.956118668880706</c:v>
                </c:pt>
                <c:pt idx="112">
                  <c:v>-94.576112859565114</c:v>
                </c:pt>
                <c:pt idx="113">
                  <c:v>-96.196107050249523</c:v>
                </c:pt>
                <c:pt idx="114">
                  <c:v>-97.816101240933932</c:v>
                </c:pt>
                <c:pt idx="115">
                  <c:v>-99.436095431618341</c:v>
                </c:pt>
                <c:pt idx="116">
                  <c:v>-101.05608962230275</c:v>
                </c:pt>
                <c:pt idx="117">
                  <c:v>-102.67608381298716</c:v>
                </c:pt>
                <c:pt idx="118">
                  <c:v>-104.29607800367157</c:v>
                </c:pt>
                <c:pt idx="119">
                  <c:v>-105.91607219435598</c:v>
                </c:pt>
                <c:pt idx="120">
                  <c:v>-107.53606638504039</c:v>
                </c:pt>
                <c:pt idx="121">
                  <c:v>-109.15606057572479</c:v>
                </c:pt>
                <c:pt idx="122">
                  <c:v>-110.7760547664092</c:v>
                </c:pt>
                <c:pt idx="123">
                  <c:v>-112.39604895709361</c:v>
                </c:pt>
                <c:pt idx="124">
                  <c:v>-114.01604314777802</c:v>
                </c:pt>
                <c:pt idx="125">
                  <c:v>-115.63603733846243</c:v>
                </c:pt>
                <c:pt idx="126">
                  <c:v>-117.25603152914684</c:v>
                </c:pt>
                <c:pt idx="127">
                  <c:v>-118.87602571983125</c:v>
                </c:pt>
                <c:pt idx="128">
                  <c:v>-120.49601991051566</c:v>
                </c:pt>
                <c:pt idx="129">
                  <c:v>-122.11601410120007</c:v>
                </c:pt>
                <c:pt idx="130">
                  <c:v>-123.73600829188447</c:v>
                </c:pt>
                <c:pt idx="131">
                  <c:v>-125.35600248256888</c:v>
                </c:pt>
                <c:pt idx="132">
                  <c:v>-126.97599667325329</c:v>
                </c:pt>
                <c:pt idx="133">
                  <c:v>-128.59599086393769</c:v>
                </c:pt>
                <c:pt idx="134">
                  <c:v>-130.21598505462208</c:v>
                </c:pt>
                <c:pt idx="135">
                  <c:v>-131.83597924530648</c:v>
                </c:pt>
                <c:pt idx="136">
                  <c:v>-133.45597343599087</c:v>
                </c:pt>
                <c:pt idx="137">
                  <c:v>-135.07596762667526</c:v>
                </c:pt>
                <c:pt idx="138">
                  <c:v>-136.69596181735966</c:v>
                </c:pt>
                <c:pt idx="139">
                  <c:v>-138.31595600804405</c:v>
                </c:pt>
                <c:pt idx="140">
                  <c:v>-139.93595019872845</c:v>
                </c:pt>
                <c:pt idx="141">
                  <c:v>-141.55594438941284</c:v>
                </c:pt>
                <c:pt idx="142">
                  <c:v>-143.17593858009724</c:v>
                </c:pt>
                <c:pt idx="143">
                  <c:v>-144.79593277078163</c:v>
                </c:pt>
                <c:pt idx="144">
                  <c:v>-146.41592696146603</c:v>
                </c:pt>
                <c:pt idx="145">
                  <c:v>-148.03592115215042</c:v>
                </c:pt>
                <c:pt idx="146">
                  <c:v>-149.65591534283482</c:v>
                </c:pt>
                <c:pt idx="147">
                  <c:v>-151.27590953351921</c:v>
                </c:pt>
                <c:pt idx="148">
                  <c:v>-152.89590372420361</c:v>
                </c:pt>
                <c:pt idx="149">
                  <c:v>-154.515897914888</c:v>
                </c:pt>
                <c:pt idx="150">
                  <c:v>-156.1358921055724</c:v>
                </c:pt>
                <c:pt idx="151">
                  <c:v>-157.75588629625679</c:v>
                </c:pt>
                <c:pt idx="152">
                  <c:v>-159.37588048694118</c:v>
                </c:pt>
                <c:pt idx="153">
                  <c:v>-160.99587467762558</c:v>
                </c:pt>
                <c:pt idx="154">
                  <c:v>-162.61586886830997</c:v>
                </c:pt>
                <c:pt idx="155">
                  <c:v>-164.23586305899437</c:v>
                </c:pt>
                <c:pt idx="156">
                  <c:v>-165.85585724967876</c:v>
                </c:pt>
                <c:pt idx="157">
                  <c:v>-167.47585144036316</c:v>
                </c:pt>
                <c:pt idx="158">
                  <c:v>-169.09584563104755</c:v>
                </c:pt>
                <c:pt idx="159">
                  <c:v>-170.71583982173195</c:v>
                </c:pt>
                <c:pt idx="160">
                  <c:v>-172.33583401241634</c:v>
                </c:pt>
                <c:pt idx="161">
                  <c:v>-173.95582820310074</c:v>
                </c:pt>
                <c:pt idx="162">
                  <c:v>-175.57582239378513</c:v>
                </c:pt>
                <c:pt idx="163">
                  <c:v>-177.19581658446953</c:v>
                </c:pt>
                <c:pt idx="164">
                  <c:v>-178.81581077515392</c:v>
                </c:pt>
                <c:pt idx="165">
                  <c:v>-180.43580496583832</c:v>
                </c:pt>
                <c:pt idx="166">
                  <c:v>-182.05579915652271</c:v>
                </c:pt>
                <c:pt idx="167">
                  <c:v>-183.6757933472071</c:v>
                </c:pt>
                <c:pt idx="168">
                  <c:v>-185.2957875378915</c:v>
                </c:pt>
                <c:pt idx="169">
                  <c:v>-186.91578172857589</c:v>
                </c:pt>
                <c:pt idx="170">
                  <c:v>-188.53577591926029</c:v>
                </c:pt>
                <c:pt idx="171">
                  <c:v>-190.15577010994468</c:v>
                </c:pt>
                <c:pt idx="172">
                  <c:v>-191.77576430062908</c:v>
                </c:pt>
                <c:pt idx="173">
                  <c:v>-193.39575849131347</c:v>
                </c:pt>
                <c:pt idx="174">
                  <c:v>-195.01575268199787</c:v>
                </c:pt>
                <c:pt idx="175">
                  <c:v>-196.63574687268226</c:v>
                </c:pt>
                <c:pt idx="176">
                  <c:v>-198.25574106336666</c:v>
                </c:pt>
                <c:pt idx="177">
                  <c:v>-199.87573525405105</c:v>
                </c:pt>
                <c:pt idx="178">
                  <c:v>-201.49572944473545</c:v>
                </c:pt>
                <c:pt idx="179">
                  <c:v>-203.11572363541984</c:v>
                </c:pt>
                <c:pt idx="180">
                  <c:v>-204.73571782610423</c:v>
                </c:pt>
                <c:pt idx="181">
                  <c:v>-206.35571201678863</c:v>
                </c:pt>
                <c:pt idx="182">
                  <c:v>-207.97570620747302</c:v>
                </c:pt>
                <c:pt idx="183">
                  <c:v>-209.59570039815742</c:v>
                </c:pt>
                <c:pt idx="184">
                  <c:v>-211.21569458884181</c:v>
                </c:pt>
                <c:pt idx="185">
                  <c:v>-212.83568877952621</c:v>
                </c:pt>
                <c:pt idx="186">
                  <c:v>-214.4556829702106</c:v>
                </c:pt>
                <c:pt idx="187">
                  <c:v>-216.075677160895</c:v>
                </c:pt>
                <c:pt idx="188">
                  <c:v>-217.69567135157939</c:v>
                </c:pt>
                <c:pt idx="189">
                  <c:v>-219.31566554226379</c:v>
                </c:pt>
                <c:pt idx="190">
                  <c:v>-220.93565973294818</c:v>
                </c:pt>
                <c:pt idx="191">
                  <c:v>-222.55565392363258</c:v>
                </c:pt>
                <c:pt idx="192">
                  <c:v>-224.17564811431697</c:v>
                </c:pt>
                <c:pt idx="193">
                  <c:v>-225.79564230500137</c:v>
                </c:pt>
                <c:pt idx="194">
                  <c:v>-227.41563649568576</c:v>
                </c:pt>
                <c:pt idx="195">
                  <c:v>-229.03563068637015</c:v>
                </c:pt>
                <c:pt idx="196">
                  <c:v>-230.65562487705455</c:v>
                </c:pt>
                <c:pt idx="197">
                  <c:v>-232.27561906773894</c:v>
                </c:pt>
                <c:pt idx="198">
                  <c:v>-233.89561325842334</c:v>
                </c:pt>
                <c:pt idx="199">
                  <c:v>-235.51560744910773</c:v>
                </c:pt>
                <c:pt idx="200">
                  <c:v>-237.13560163979213</c:v>
                </c:pt>
              </c:numCache>
            </c:numRef>
          </c:cat>
          <c:val>
            <c:numRef>
              <c:f>'Sim 2.0 50mm'!$T$4:$T$204</c:f>
              <c:numCache>
                <c:formatCode>0.00\ "m/s"</c:formatCode>
                <c:ptCount val="201"/>
                <c:pt idx="0">
                  <c:v>27.98</c:v>
                </c:pt>
                <c:pt idx="1">
                  <c:v>27.98</c:v>
                </c:pt>
                <c:pt idx="2">
                  <c:v>27.98</c:v>
                </c:pt>
                <c:pt idx="3">
                  <c:v>27.98</c:v>
                </c:pt>
                <c:pt idx="4">
                  <c:v>27.98</c:v>
                </c:pt>
                <c:pt idx="5">
                  <c:v>27.98</c:v>
                </c:pt>
                <c:pt idx="6">
                  <c:v>27.98</c:v>
                </c:pt>
                <c:pt idx="7">
                  <c:v>27.98</c:v>
                </c:pt>
                <c:pt idx="8">
                  <c:v>27.98</c:v>
                </c:pt>
                <c:pt idx="9">
                  <c:v>27.98</c:v>
                </c:pt>
                <c:pt idx="10">
                  <c:v>27.98</c:v>
                </c:pt>
                <c:pt idx="11">
                  <c:v>27.98</c:v>
                </c:pt>
                <c:pt idx="12">
                  <c:v>27.98</c:v>
                </c:pt>
                <c:pt idx="13">
                  <c:v>27.98</c:v>
                </c:pt>
                <c:pt idx="14">
                  <c:v>27.98</c:v>
                </c:pt>
                <c:pt idx="15">
                  <c:v>27.98</c:v>
                </c:pt>
                <c:pt idx="16">
                  <c:v>27.98</c:v>
                </c:pt>
                <c:pt idx="17">
                  <c:v>27.98</c:v>
                </c:pt>
                <c:pt idx="18">
                  <c:v>27.980560341946848</c:v>
                </c:pt>
                <c:pt idx="19">
                  <c:v>27.981133236141403</c:v>
                </c:pt>
                <c:pt idx="20">
                  <c:v>27.981814422802941</c:v>
                </c:pt>
                <c:pt idx="21">
                  <c:v>27.982803434563586</c:v>
                </c:pt>
                <c:pt idx="22">
                  <c:v>27.984006628848526</c:v>
                </c:pt>
                <c:pt idx="23">
                  <c:v>27.985629390791534</c:v>
                </c:pt>
                <c:pt idx="24">
                  <c:v>27.987677112767432</c:v>
                </c:pt>
                <c:pt idx="25">
                  <c:v>27.990669118547888</c:v>
                </c:pt>
                <c:pt idx="26">
                  <c:v>27.994820893929273</c:v>
                </c:pt>
                <c:pt idx="27">
                  <c:v>28.001180928156248</c:v>
                </c:pt>
                <c:pt idx="28">
                  <c:v>28.011012398022874</c:v>
                </c:pt>
                <c:pt idx="29">
                  <c:v>28.024634703685035</c:v>
                </c:pt>
                <c:pt idx="30">
                  <c:v>28.047495134885501</c:v>
                </c:pt>
                <c:pt idx="31">
                  <c:v>28.084605798883313</c:v>
                </c:pt>
                <c:pt idx="32">
                  <c:v>28.142087497083448</c:v>
                </c:pt>
                <c:pt idx="33">
                  <c:v>28.22567822428066</c:v>
                </c:pt>
                <c:pt idx="34">
                  <c:v>28.340303498286509</c:v>
                </c:pt>
                <c:pt idx="35">
                  <c:v>28.489041713344054</c:v>
                </c:pt>
                <c:pt idx="36">
                  <c:v>28.671701674777673</c:v>
                </c:pt>
                <c:pt idx="37">
                  <c:v>28.888183944015616</c:v>
                </c:pt>
                <c:pt idx="38">
                  <c:v>29.140637184739543</c:v>
                </c:pt>
                <c:pt idx="39">
                  <c:v>29.427917153149316</c:v>
                </c:pt>
                <c:pt idx="40">
                  <c:v>29.746046674729513</c:v>
                </c:pt>
                <c:pt idx="41">
                  <c:v>30.096167808057288</c:v>
                </c:pt>
                <c:pt idx="42">
                  <c:v>30.482549791447248</c:v>
                </c:pt>
                <c:pt idx="43">
                  <c:v>30.892868072247698</c:v>
                </c:pt>
                <c:pt idx="44">
                  <c:v>31.321931400585242</c:v>
                </c:pt>
                <c:pt idx="45">
                  <c:v>31.76520925888229</c:v>
                </c:pt>
                <c:pt idx="46">
                  <c:v>32.2021689598674</c:v>
                </c:pt>
                <c:pt idx="47">
                  <c:v>32.605568499035087</c:v>
                </c:pt>
                <c:pt idx="48">
                  <c:v>32.947091289104648</c:v>
                </c:pt>
                <c:pt idx="49">
                  <c:v>33.228380336111101</c:v>
                </c:pt>
                <c:pt idx="50">
                  <c:v>33.431697575935061</c:v>
                </c:pt>
                <c:pt idx="51">
                  <c:v>33.580894934552717</c:v>
                </c:pt>
                <c:pt idx="52">
                  <c:v>33.673450478276429</c:v>
                </c:pt>
                <c:pt idx="53">
                  <c:v>33.728974505966043</c:v>
                </c:pt>
                <c:pt idx="54">
                  <c:v>33.746529866970356</c:v>
                </c:pt>
                <c:pt idx="55">
                  <c:v>33.738456509234524</c:v>
                </c:pt>
                <c:pt idx="56">
                  <c:v>33.702049206218568</c:v>
                </c:pt>
                <c:pt idx="57">
                  <c:v>33.648571798551139</c:v>
                </c:pt>
                <c:pt idx="58">
                  <c:v>33.578828836433956</c:v>
                </c:pt>
                <c:pt idx="59">
                  <c:v>33.489683197981577</c:v>
                </c:pt>
                <c:pt idx="60">
                  <c:v>33.388820608954312</c:v>
                </c:pt>
                <c:pt idx="61">
                  <c:v>33.28106555176398</c:v>
                </c:pt>
                <c:pt idx="62">
                  <c:v>33.170952736889184</c:v>
                </c:pt>
                <c:pt idx="63">
                  <c:v>33.061609260274864</c:v>
                </c:pt>
                <c:pt idx="64">
                  <c:v>32.959451245397176</c:v>
                </c:pt>
                <c:pt idx="65">
                  <c:v>32.865216567936862</c:v>
                </c:pt>
                <c:pt idx="66">
                  <c:v>32.78074772314428</c:v>
                </c:pt>
                <c:pt idx="67">
                  <c:v>32.706088208547875</c:v>
                </c:pt>
                <c:pt idx="68">
                  <c:v>32.642961529069488</c:v>
                </c:pt>
                <c:pt idx="69">
                  <c:v>32.589102531728344</c:v>
                </c:pt>
                <c:pt idx="70">
                  <c:v>32.544044035922838</c:v>
                </c:pt>
                <c:pt idx="71">
                  <c:v>32.506643372871245</c:v>
                </c:pt>
                <c:pt idx="72">
                  <c:v>32.476197598556247</c:v>
                </c:pt>
                <c:pt idx="73">
                  <c:v>32.453405034298974</c:v>
                </c:pt>
                <c:pt idx="74">
                  <c:v>32.43578587516209</c:v>
                </c:pt>
                <c:pt idx="75">
                  <c:v>32.42263816681352</c:v>
                </c:pt>
                <c:pt idx="76">
                  <c:v>32.41334922367917</c:v>
                </c:pt>
                <c:pt idx="77">
                  <c:v>32.407819286623607</c:v>
                </c:pt>
                <c:pt idx="78">
                  <c:v>32.404433300988302</c:v>
                </c:pt>
                <c:pt idx="79">
                  <c:v>32.402429414189179</c:v>
                </c:pt>
                <c:pt idx="80">
                  <c:v>32.40134170593214</c:v>
                </c:pt>
                <c:pt idx="81">
                  <c:v>32.400719227199275</c:v>
                </c:pt>
                <c:pt idx="82">
                  <c:v>32.400407407961289</c:v>
                </c:pt>
                <c:pt idx="83">
                  <c:v>32.400219346573117</c:v>
                </c:pt>
                <c:pt idx="84">
                  <c:v>32.400093944643451</c:v>
                </c:pt>
                <c:pt idx="85">
                  <c:v>32.400014401492186</c:v>
                </c:pt>
                <c:pt idx="86">
                  <c:v>32.399970505929737</c:v>
                </c:pt>
                <c:pt idx="87">
                  <c:v>32.399933497672635</c:v>
                </c:pt>
                <c:pt idx="88">
                  <c:v>32.399908742696631</c:v>
                </c:pt>
                <c:pt idx="89">
                  <c:v>32.399891666531403</c:v>
                </c:pt>
                <c:pt idx="90">
                  <c:v>32.399883813688163</c:v>
                </c:pt>
                <c:pt idx="91">
                  <c:v>32.399883813688163</c:v>
                </c:pt>
                <c:pt idx="92">
                  <c:v>32.399883813688163</c:v>
                </c:pt>
                <c:pt idx="93">
                  <c:v>32.399883813688163</c:v>
                </c:pt>
                <c:pt idx="94">
                  <c:v>32.399883813688163</c:v>
                </c:pt>
                <c:pt idx="95">
                  <c:v>32.399883813688163</c:v>
                </c:pt>
                <c:pt idx="96">
                  <c:v>32.399883813688163</c:v>
                </c:pt>
                <c:pt idx="97">
                  <c:v>32.399883813688163</c:v>
                </c:pt>
                <c:pt idx="98">
                  <c:v>32.399883813688163</c:v>
                </c:pt>
                <c:pt idx="99">
                  <c:v>32.399883813688163</c:v>
                </c:pt>
                <c:pt idx="100">
                  <c:v>32.399883813688163</c:v>
                </c:pt>
                <c:pt idx="101">
                  <c:v>32.399883813688163</c:v>
                </c:pt>
                <c:pt idx="102">
                  <c:v>32.399883813688163</c:v>
                </c:pt>
                <c:pt idx="103">
                  <c:v>32.399883813688163</c:v>
                </c:pt>
                <c:pt idx="104">
                  <c:v>32.399883813688163</c:v>
                </c:pt>
                <c:pt idx="105">
                  <c:v>32.399883813688163</c:v>
                </c:pt>
                <c:pt idx="106">
                  <c:v>32.399883813688163</c:v>
                </c:pt>
                <c:pt idx="107">
                  <c:v>32.399883813688163</c:v>
                </c:pt>
                <c:pt idx="108">
                  <c:v>32.399883813688163</c:v>
                </c:pt>
                <c:pt idx="109">
                  <c:v>32.399883813688163</c:v>
                </c:pt>
                <c:pt idx="110">
                  <c:v>32.399883813688163</c:v>
                </c:pt>
                <c:pt idx="111">
                  <c:v>32.399883813688163</c:v>
                </c:pt>
                <c:pt idx="112">
                  <c:v>32.399883813688163</c:v>
                </c:pt>
                <c:pt idx="113">
                  <c:v>32.399883813688163</c:v>
                </c:pt>
                <c:pt idx="114">
                  <c:v>32.399883813688163</c:v>
                </c:pt>
                <c:pt idx="115">
                  <c:v>32.399883813688163</c:v>
                </c:pt>
                <c:pt idx="116">
                  <c:v>32.399883813688163</c:v>
                </c:pt>
                <c:pt idx="117">
                  <c:v>32.399883813688163</c:v>
                </c:pt>
                <c:pt idx="118">
                  <c:v>32.399883813688163</c:v>
                </c:pt>
                <c:pt idx="119">
                  <c:v>32.399883813688163</c:v>
                </c:pt>
                <c:pt idx="120">
                  <c:v>32.399883813688163</c:v>
                </c:pt>
                <c:pt idx="121">
                  <c:v>32.399883813688163</c:v>
                </c:pt>
                <c:pt idx="122">
                  <c:v>32.399883813688163</c:v>
                </c:pt>
                <c:pt idx="123">
                  <c:v>32.399883813688163</c:v>
                </c:pt>
                <c:pt idx="124">
                  <c:v>32.399883813688163</c:v>
                </c:pt>
                <c:pt idx="125">
                  <c:v>32.399883813688163</c:v>
                </c:pt>
                <c:pt idx="126">
                  <c:v>32.399883813688163</c:v>
                </c:pt>
                <c:pt idx="127">
                  <c:v>32.399883813688163</c:v>
                </c:pt>
                <c:pt idx="128">
                  <c:v>32.399883813688163</c:v>
                </c:pt>
                <c:pt idx="129">
                  <c:v>32.399883813688163</c:v>
                </c:pt>
                <c:pt idx="130">
                  <c:v>32.399883813688163</c:v>
                </c:pt>
                <c:pt idx="131">
                  <c:v>32.399883813688163</c:v>
                </c:pt>
                <c:pt idx="132">
                  <c:v>32.399883813688163</c:v>
                </c:pt>
                <c:pt idx="133">
                  <c:v>32.399883813688163</c:v>
                </c:pt>
                <c:pt idx="134">
                  <c:v>32.399883813688163</c:v>
                </c:pt>
                <c:pt idx="135">
                  <c:v>32.399883813688163</c:v>
                </c:pt>
                <c:pt idx="136">
                  <c:v>32.399883813688163</c:v>
                </c:pt>
                <c:pt idx="137">
                  <c:v>32.399883813688163</c:v>
                </c:pt>
                <c:pt idx="138">
                  <c:v>32.399883813688163</c:v>
                </c:pt>
                <c:pt idx="139">
                  <c:v>32.399883813688163</c:v>
                </c:pt>
                <c:pt idx="140">
                  <c:v>32.399883813688163</c:v>
                </c:pt>
                <c:pt idx="141">
                  <c:v>32.399883813688163</c:v>
                </c:pt>
                <c:pt idx="142">
                  <c:v>32.399883813688163</c:v>
                </c:pt>
                <c:pt idx="143">
                  <c:v>32.399883813688163</c:v>
                </c:pt>
                <c:pt idx="144">
                  <c:v>32.399883813688163</c:v>
                </c:pt>
                <c:pt idx="145">
                  <c:v>32.399883813688163</c:v>
                </c:pt>
                <c:pt idx="146">
                  <c:v>32.399883813688163</c:v>
                </c:pt>
                <c:pt idx="147">
                  <c:v>32.399883813688163</c:v>
                </c:pt>
                <c:pt idx="148">
                  <c:v>32.399883813688163</c:v>
                </c:pt>
                <c:pt idx="149">
                  <c:v>32.399883813688163</c:v>
                </c:pt>
                <c:pt idx="150">
                  <c:v>32.399883813688163</c:v>
                </c:pt>
                <c:pt idx="151">
                  <c:v>32.399883813688163</c:v>
                </c:pt>
                <c:pt idx="152">
                  <c:v>32.399883813688163</c:v>
                </c:pt>
                <c:pt idx="153">
                  <c:v>32.399883813688163</c:v>
                </c:pt>
                <c:pt idx="154">
                  <c:v>32.399883813688163</c:v>
                </c:pt>
                <c:pt idx="155">
                  <c:v>32.399883813688163</c:v>
                </c:pt>
                <c:pt idx="156">
                  <c:v>32.399883813688163</c:v>
                </c:pt>
                <c:pt idx="157">
                  <c:v>32.399883813688163</c:v>
                </c:pt>
                <c:pt idx="158">
                  <c:v>32.399883813688163</c:v>
                </c:pt>
                <c:pt idx="159">
                  <c:v>32.399883813688163</c:v>
                </c:pt>
                <c:pt idx="160">
                  <c:v>32.399883813688163</c:v>
                </c:pt>
                <c:pt idx="161">
                  <c:v>32.399883813688163</c:v>
                </c:pt>
                <c:pt idx="162">
                  <c:v>32.399883813688163</c:v>
                </c:pt>
                <c:pt idx="163">
                  <c:v>32.399883813688163</c:v>
                </c:pt>
                <c:pt idx="164">
                  <c:v>32.399883813688163</c:v>
                </c:pt>
                <c:pt idx="165">
                  <c:v>32.399883813688163</c:v>
                </c:pt>
                <c:pt idx="166">
                  <c:v>32.399883813688163</c:v>
                </c:pt>
                <c:pt idx="167">
                  <c:v>32.399883813688163</c:v>
                </c:pt>
                <c:pt idx="168">
                  <c:v>32.399883813688163</c:v>
                </c:pt>
                <c:pt idx="169">
                  <c:v>32.399883813688163</c:v>
                </c:pt>
                <c:pt idx="170">
                  <c:v>32.399883813688163</c:v>
                </c:pt>
                <c:pt idx="171">
                  <c:v>32.399883813688163</c:v>
                </c:pt>
                <c:pt idx="172">
                  <c:v>32.399883813688163</c:v>
                </c:pt>
                <c:pt idx="173">
                  <c:v>32.399883813688163</c:v>
                </c:pt>
                <c:pt idx="174">
                  <c:v>32.399883813688163</c:v>
                </c:pt>
                <c:pt idx="175">
                  <c:v>32.399883813688163</c:v>
                </c:pt>
                <c:pt idx="176">
                  <c:v>32.399883813688163</c:v>
                </c:pt>
                <c:pt idx="177">
                  <c:v>32.399883813688163</c:v>
                </c:pt>
                <c:pt idx="178">
                  <c:v>32.399883813688163</c:v>
                </c:pt>
                <c:pt idx="179">
                  <c:v>32.399883813688163</c:v>
                </c:pt>
                <c:pt idx="180">
                  <c:v>32.399883813688163</c:v>
                </c:pt>
                <c:pt idx="181">
                  <c:v>32.399883813688163</c:v>
                </c:pt>
                <c:pt idx="182">
                  <c:v>32.399883813688163</c:v>
                </c:pt>
                <c:pt idx="183">
                  <c:v>32.399883813688163</c:v>
                </c:pt>
                <c:pt idx="184">
                  <c:v>32.399883813688163</c:v>
                </c:pt>
                <c:pt idx="185">
                  <c:v>32.399883813688163</c:v>
                </c:pt>
                <c:pt idx="186">
                  <c:v>32.399883813688163</c:v>
                </c:pt>
                <c:pt idx="187">
                  <c:v>32.399883813688163</c:v>
                </c:pt>
                <c:pt idx="188">
                  <c:v>32.399883813688163</c:v>
                </c:pt>
                <c:pt idx="189">
                  <c:v>32.399883813688163</c:v>
                </c:pt>
                <c:pt idx="190">
                  <c:v>32.399883813688163</c:v>
                </c:pt>
                <c:pt idx="191">
                  <c:v>32.399883813688163</c:v>
                </c:pt>
                <c:pt idx="192">
                  <c:v>32.399883813688163</c:v>
                </c:pt>
                <c:pt idx="193">
                  <c:v>32.399883813688163</c:v>
                </c:pt>
                <c:pt idx="194">
                  <c:v>32.399883813688163</c:v>
                </c:pt>
                <c:pt idx="195">
                  <c:v>32.399883813688163</c:v>
                </c:pt>
                <c:pt idx="196">
                  <c:v>32.399883813688163</c:v>
                </c:pt>
                <c:pt idx="197">
                  <c:v>32.399883813688163</c:v>
                </c:pt>
                <c:pt idx="198">
                  <c:v>32.399883813688163</c:v>
                </c:pt>
                <c:pt idx="199">
                  <c:v>32.399883813688163</c:v>
                </c:pt>
                <c:pt idx="200">
                  <c:v>32.399883813688163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CE-426C-8718-DAA5FDCE7363}"/>
            </c:ext>
          </c:extLst>
        </c:ser>
        <c:ser>
          <c:idx val="2"/>
          <c:order val="2"/>
          <c:tx>
            <c:v>Field (%)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'Sim 2.0 50mm'!$U$4:$U$204</c:f>
              <c:numCache>
                <c:formatCode>0.00\ "mm"</c:formatCode>
                <c:ptCount val="201"/>
                <c:pt idx="0">
                  <c:v>81</c:v>
                </c:pt>
                <c:pt idx="1">
                  <c:v>79.600999999999999</c:v>
                </c:pt>
                <c:pt idx="2">
                  <c:v>78.201999999999998</c:v>
                </c:pt>
                <c:pt idx="3">
                  <c:v>76.802999999999997</c:v>
                </c:pt>
                <c:pt idx="4">
                  <c:v>75.403999999999996</c:v>
                </c:pt>
                <c:pt idx="5">
                  <c:v>74.004999999999995</c:v>
                </c:pt>
                <c:pt idx="6">
                  <c:v>72.605999999999995</c:v>
                </c:pt>
                <c:pt idx="7">
                  <c:v>71.206999999999994</c:v>
                </c:pt>
                <c:pt idx="8">
                  <c:v>69.807999999999993</c:v>
                </c:pt>
                <c:pt idx="9">
                  <c:v>68.408999999999992</c:v>
                </c:pt>
                <c:pt idx="10">
                  <c:v>67.009999999999991</c:v>
                </c:pt>
                <c:pt idx="11">
                  <c:v>65.61099999999999</c:v>
                </c:pt>
                <c:pt idx="12">
                  <c:v>64.211999999999989</c:v>
                </c:pt>
                <c:pt idx="13">
                  <c:v>62.812999999999988</c:v>
                </c:pt>
                <c:pt idx="14">
                  <c:v>61.413999999999987</c:v>
                </c:pt>
                <c:pt idx="15">
                  <c:v>60.014999999999986</c:v>
                </c:pt>
                <c:pt idx="16">
                  <c:v>58.615999999999985</c:v>
                </c:pt>
                <c:pt idx="17">
                  <c:v>57.216999999999985</c:v>
                </c:pt>
                <c:pt idx="18">
                  <c:v>55.817719829026558</c:v>
                </c:pt>
                <c:pt idx="19">
                  <c:v>54.418405364831941</c:v>
                </c:pt>
                <c:pt idx="20">
                  <c:v>53.019008109694099</c:v>
                </c:pt>
                <c:pt idx="21">
                  <c:v>51.619422882673632</c:v>
                </c:pt>
                <c:pt idx="22">
                  <c:v>50.219681113802984</c:v>
                </c:pt>
                <c:pt idx="23">
                  <c:v>48.819669401389056</c:v>
                </c:pt>
                <c:pt idx="24">
                  <c:v>47.419364070861533</c:v>
                </c:pt>
                <c:pt idx="25">
                  <c:v>46.018484212332936</c:v>
                </c:pt>
                <c:pt idx="26">
                  <c:v>44.616874868714852</c:v>
                </c:pt>
                <c:pt idx="27">
                  <c:v>43.213953806904904</c:v>
                </c:pt>
                <c:pt idx="28">
                  <c:v>41.808979025563779</c:v>
                </c:pt>
                <c:pt idx="29">
                  <c:v>40.401617252831556</c:v>
                </c:pt>
                <c:pt idx="30">
                  <c:v>38.988955302047074</c:v>
                </c:pt>
                <c:pt idx="31">
                  <c:v>37.568025213303891</c:v>
                </c:pt>
                <c:pt idx="32">
                  <c:v>36.135054074259656</c:v>
                </c:pt>
                <c:pt idx="33">
                  <c:v>34.686154335806876</c:v>
                </c:pt>
                <c:pt idx="34">
                  <c:v>33.217557787589918</c:v>
                </c:pt>
                <c:pt idx="35">
                  <c:v>31.726173505146821</c:v>
                </c:pt>
                <c:pt idx="36">
                  <c:v>30.210391438762809</c:v>
                </c:pt>
                <c:pt idx="37">
                  <c:v>28.668565220404954</c:v>
                </c:pt>
                <c:pt idx="38">
                  <c:v>27.097929402842208</c:v>
                </c:pt>
                <c:pt idx="39">
                  <c:v>25.497257559400346</c:v>
                </c:pt>
                <c:pt idx="40">
                  <c:v>23.866796940952781</c:v>
                </c:pt>
                <c:pt idx="41">
                  <c:v>22.204434040552417</c:v>
                </c:pt>
                <c:pt idx="42">
                  <c:v>20.506434658454573</c:v>
                </c:pt>
                <c:pt idx="43">
                  <c:v>18.777148028481985</c:v>
                </c:pt>
                <c:pt idx="44">
                  <c:v>17.017972960700828</c:v>
                </c:pt>
                <c:pt idx="45">
                  <c:v>15.230237461523041</c:v>
                </c:pt>
                <c:pt idx="46">
                  <c:v>13.423497148086371</c:v>
                </c:pt>
                <c:pt idx="47">
                  <c:v>11.611688930509157</c:v>
                </c:pt>
                <c:pt idx="48">
                  <c:v>9.8106491105226219</c:v>
                </c:pt>
                <c:pt idx="49">
                  <c:v>8.0226500225641626</c:v>
                </c:pt>
                <c:pt idx="50">
                  <c:v>6.2595723858466279</c:v>
                </c:pt>
                <c:pt idx="51">
                  <c:v>4.5133888277410472</c:v>
                </c:pt>
                <c:pt idx="52">
                  <c:v>2.7880663091515552</c:v>
                </c:pt>
                <c:pt idx="53">
                  <c:v>1.0766317713929265</c:v>
                </c:pt>
                <c:pt idx="54">
                  <c:v>-0.61859463440753193</c:v>
                </c:pt>
                <c:pt idx="55">
                  <c:v>-2.301884448888134</c:v>
                </c:pt>
                <c:pt idx="56">
                  <c:v>-3.9706036228418826</c:v>
                </c:pt>
                <c:pt idx="57">
                  <c:v>-5.6289673793190964</c:v>
                </c:pt>
                <c:pt idx="58">
                  <c:v>-7.2765244881880626</c:v>
                </c:pt>
                <c:pt idx="59">
                  <c:v>-8.9108931107835705</c:v>
                </c:pt>
                <c:pt idx="60">
                  <c:v>-10.534945976169016</c:v>
                </c:pt>
                <c:pt idx="61">
                  <c:v>-12.150509478021567</c:v>
                </c:pt>
                <c:pt idx="62">
                  <c:v>-13.759506348172367</c:v>
                </c:pt>
                <c:pt idx="63">
                  <c:v>-15.363382246709666</c:v>
                </c:pt>
                <c:pt idx="64">
                  <c:v>-16.965383702284566</c:v>
                </c:pt>
                <c:pt idx="65">
                  <c:v>-18.566238925824269</c:v>
                </c:pt>
                <c:pt idx="66">
                  <c:v>-20.167265331824822</c:v>
                </c:pt>
                <c:pt idx="67">
                  <c:v>-21.768972960683833</c:v>
                </c:pt>
                <c:pt idx="68">
                  <c:v>-23.372714031372034</c:v>
                </c:pt>
                <c:pt idx="69">
                  <c:v>-24.977932609154937</c:v>
                </c:pt>
                <c:pt idx="70">
                  <c:v>-26.584858487838602</c:v>
                </c:pt>
                <c:pt idx="71">
                  <c:v>-28.193360358108947</c:v>
                </c:pt>
                <c:pt idx="72">
                  <c:v>-29.803469639595011</c:v>
                </c:pt>
                <c:pt idx="73">
                  <c:v>-31.415883237394187</c:v>
                </c:pt>
                <c:pt idx="74">
                  <c:v>-33.029743909540692</c:v>
                </c:pt>
                <c:pt idx="75">
                  <c:v>-34.644959349124512</c:v>
                </c:pt>
                <c:pt idx="76">
                  <c:v>-36.261446785898016</c:v>
                </c:pt>
                <c:pt idx="77">
                  <c:v>-37.879349278554194</c:v>
                </c:pt>
                <c:pt idx="78">
                  <c:v>-39.498047250067721</c:v>
                </c:pt>
                <c:pt idx="79">
                  <c:v>-41.117266971717576</c:v>
                </c:pt>
                <c:pt idx="80">
                  <c:v>-42.736844588298517</c:v>
                </c:pt>
                <c:pt idx="81">
                  <c:v>-44.356600434228689</c:v>
                </c:pt>
                <c:pt idx="82">
                  <c:v>-45.97648048596966</c:v>
                </c:pt>
                <c:pt idx="83">
                  <c:v>-47.59640682567364</c:v>
                </c:pt>
                <c:pt idx="84">
                  <c:v>-49.21635509203746</c:v>
                </c:pt>
                <c:pt idx="85">
                  <c:v>-50.836320017694</c:v>
                </c:pt>
                <c:pt idx="86">
                  <c:v>-52.456298789987386</c:v>
                </c:pt>
                <c:pt idx="87">
                  <c:v>-54.076278811155319</c:v>
                </c:pt>
                <c:pt idx="88">
                  <c:v>-55.696263108550951</c:v>
                </c:pt>
                <c:pt idx="89">
                  <c:v>-57.316250007603166</c:v>
                </c:pt>
                <c:pt idx="90">
                  <c:v>-58.936240664508119</c:v>
                </c:pt>
                <c:pt idx="91">
                  <c:v>-60.556234855192528</c:v>
                </c:pt>
                <c:pt idx="92">
                  <c:v>-62.176229045876937</c:v>
                </c:pt>
                <c:pt idx="93">
                  <c:v>-63.796223236561346</c:v>
                </c:pt>
                <c:pt idx="94">
                  <c:v>-65.416217427245755</c:v>
                </c:pt>
                <c:pt idx="95">
                  <c:v>-67.036211617930164</c:v>
                </c:pt>
                <c:pt idx="96">
                  <c:v>-68.656205808614573</c:v>
                </c:pt>
                <c:pt idx="97">
                  <c:v>-70.276199999298981</c:v>
                </c:pt>
                <c:pt idx="98">
                  <c:v>-71.89619418998339</c:v>
                </c:pt>
                <c:pt idx="99">
                  <c:v>-73.516188380667799</c:v>
                </c:pt>
                <c:pt idx="100">
                  <c:v>-75.136182571352208</c:v>
                </c:pt>
                <c:pt idx="101">
                  <c:v>-76.756176762036617</c:v>
                </c:pt>
                <c:pt idx="102">
                  <c:v>-78.376170952721026</c:v>
                </c:pt>
                <c:pt idx="103">
                  <c:v>-79.996165143405435</c:v>
                </c:pt>
                <c:pt idx="104">
                  <c:v>-81.616159334089843</c:v>
                </c:pt>
                <c:pt idx="105">
                  <c:v>-83.236153524774252</c:v>
                </c:pt>
                <c:pt idx="106">
                  <c:v>-84.856147715458661</c:v>
                </c:pt>
                <c:pt idx="107">
                  <c:v>-86.47614190614307</c:v>
                </c:pt>
                <c:pt idx="108">
                  <c:v>-88.096136096827479</c:v>
                </c:pt>
                <c:pt idx="109">
                  <c:v>-89.716130287511888</c:v>
                </c:pt>
                <c:pt idx="110">
                  <c:v>-91.336124478196297</c:v>
                </c:pt>
                <c:pt idx="111">
                  <c:v>-92.956118668880706</c:v>
                </c:pt>
                <c:pt idx="112">
                  <c:v>-94.576112859565114</c:v>
                </c:pt>
                <c:pt idx="113">
                  <c:v>-96.196107050249523</c:v>
                </c:pt>
                <c:pt idx="114">
                  <c:v>-97.816101240933932</c:v>
                </c:pt>
                <c:pt idx="115">
                  <c:v>-99.436095431618341</c:v>
                </c:pt>
                <c:pt idx="116">
                  <c:v>-101.05608962230275</c:v>
                </c:pt>
                <c:pt idx="117">
                  <c:v>-102.67608381298716</c:v>
                </c:pt>
                <c:pt idx="118">
                  <c:v>-104.29607800367157</c:v>
                </c:pt>
                <c:pt idx="119">
                  <c:v>-105.91607219435598</c:v>
                </c:pt>
                <c:pt idx="120">
                  <c:v>-107.53606638504039</c:v>
                </c:pt>
                <c:pt idx="121">
                  <c:v>-109.15606057572479</c:v>
                </c:pt>
                <c:pt idx="122">
                  <c:v>-110.7760547664092</c:v>
                </c:pt>
                <c:pt idx="123">
                  <c:v>-112.39604895709361</c:v>
                </c:pt>
                <c:pt idx="124">
                  <c:v>-114.01604314777802</c:v>
                </c:pt>
                <c:pt idx="125">
                  <c:v>-115.63603733846243</c:v>
                </c:pt>
                <c:pt idx="126">
                  <c:v>-117.25603152914684</c:v>
                </c:pt>
                <c:pt idx="127">
                  <c:v>-118.87602571983125</c:v>
                </c:pt>
                <c:pt idx="128">
                  <c:v>-120.49601991051566</c:v>
                </c:pt>
                <c:pt idx="129">
                  <c:v>-122.11601410120007</c:v>
                </c:pt>
                <c:pt idx="130">
                  <c:v>-123.73600829188447</c:v>
                </c:pt>
                <c:pt idx="131">
                  <c:v>-125.35600248256888</c:v>
                </c:pt>
                <c:pt idx="132">
                  <c:v>-126.97599667325329</c:v>
                </c:pt>
                <c:pt idx="133">
                  <c:v>-128.59599086393769</c:v>
                </c:pt>
                <c:pt idx="134">
                  <c:v>-130.21598505462208</c:v>
                </c:pt>
                <c:pt idx="135">
                  <c:v>-131.83597924530648</c:v>
                </c:pt>
                <c:pt idx="136">
                  <c:v>-133.45597343599087</c:v>
                </c:pt>
                <c:pt idx="137">
                  <c:v>-135.07596762667526</c:v>
                </c:pt>
                <c:pt idx="138">
                  <c:v>-136.69596181735966</c:v>
                </c:pt>
                <c:pt idx="139">
                  <c:v>-138.31595600804405</c:v>
                </c:pt>
                <c:pt idx="140">
                  <c:v>-139.93595019872845</c:v>
                </c:pt>
                <c:pt idx="141">
                  <c:v>-141.55594438941284</c:v>
                </c:pt>
                <c:pt idx="142">
                  <c:v>-143.17593858009724</c:v>
                </c:pt>
                <c:pt idx="143">
                  <c:v>-144.79593277078163</c:v>
                </c:pt>
                <c:pt idx="144">
                  <c:v>-146.41592696146603</c:v>
                </c:pt>
                <c:pt idx="145">
                  <c:v>-148.03592115215042</c:v>
                </c:pt>
                <c:pt idx="146">
                  <c:v>-149.65591534283482</c:v>
                </c:pt>
                <c:pt idx="147">
                  <c:v>-151.27590953351921</c:v>
                </c:pt>
                <c:pt idx="148">
                  <c:v>-152.89590372420361</c:v>
                </c:pt>
                <c:pt idx="149">
                  <c:v>-154.515897914888</c:v>
                </c:pt>
                <c:pt idx="150">
                  <c:v>-156.1358921055724</c:v>
                </c:pt>
                <c:pt idx="151">
                  <c:v>-157.75588629625679</c:v>
                </c:pt>
                <c:pt idx="152">
                  <c:v>-159.37588048694118</c:v>
                </c:pt>
                <c:pt idx="153">
                  <c:v>-160.99587467762558</c:v>
                </c:pt>
                <c:pt idx="154">
                  <c:v>-162.61586886830997</c:v>
                </c:pt>
                <c:pt idx="155">
                  <c:v>-164.23586305899437</c:v>
                </c:pt>
                <c:pt idx="156">
                  <c:v>-165.85585724967876</c:v>
                </c:pt>
                <c:pt idx="157">
                  <c:v>-167.47585144036316</c:v>
                </c:pt>
                <c:pt idx="158">
                  <c:v>-169.09584563104755</c:v>
                </c:pt>
                <c:pt idx="159">
                  <c:v>-170.71583982173195</c:v>
                </c:pt>
                <c:pt idx="160">
                  <c:v>-172.33583401241634</c:v>
                </c:pt>
                <c:pt idx="161">
                  <c:v>-173.95582820310074</c:v>
                </c:pt>
                <c:pt idx="162">
                  <c:v>-175.57582239378513</c:v>
                </c:pt>
                <c:pt idx="163">
                  <c:v>-177.19581658446953</c:v>
                </c:pt>
                <c:pt idx="164">
                  <c:v>-178.81581077515392</c:v>
                </c:pt>
                <c:pt idx="165">
                  <c:v>-180.43580496583832</c:v>
                </c:pt>
                <c:pt idx="166">
                  <c:v>-182.05579915652271</c:v>
                </c:pt>
                <c:pt idx="167">
                  <c:v>-183.6757933472071</c:v>
                </c:pt>
                <c:pt idx="168">
                  <c:v>-185.2957875378915</c:v>
                </c:pt>
                <c:pt idx="169">
                  <c:v>-186.91578172857589</c:v>
                </c:pt>
                <c:pt idx="170">
                  <c:v>-188.53577591926029</c:v>
                </c:pt>
                <c:pt idx="171">
                  <c:v>-190.15577010994468</c:v>
                </c:pt>
                <c:pt idx="172">
                  <c:v>-191.77576430062908</c:v>
                </c:pt>
                <c:pt idx="173">
                  <c:v>-193.39575849131347</c:v>
                </c:pt>
                <c:pt idx="174">
                  <c:v>-195.01575268199787</c:v>
                </c:pt>
                <c:pt idx="175">
                  <c:v>-196.63574687268226</c:v>
                </c:pt>
                <c:pt idx="176">
                  <c:v>-198.25574106336666</c:v>
                </c:pt>
                <c:pt idx="177">
                  <c:v>-199.87573525405105</c:v>
                </c:pt>
                <c:pt idx="178">
                  <c:v>-201.49572944473545</c:v>
                </c:pt>
                <c:pt idx="179">
                  <c:v>-203.11572363541984</c:v>
                </c:pt>
                <c:pt idx="180">
                  <c:v>-204.73571782610423</c:v>
                </c:pt>
                <c:pt idx="181">
                  <c:v>-206.35571201678863</c:v>
                </c:pt>
                <c:pt idx="182">
                  <c:v>-207.97570620747302</c:v>
                </c:pt>
                <c:pt idx="183">
                  <c:v>-209.59570039815742</c:v>
                </c:pt>
                <c:pt idx="184">
                  <c:v>-211.21569458884181</c:v>
                </c:pt>
                <c:pt idx="185">
                  <c:v>-212.83568877952621</c:v>
                </c:pt>
                <c:pt idx="186">
                  <c:v>-214.4556829702106</c:v>
                </c:pt>
                <c:pt idx="187">
                  <c:v>-216.075677160895</c:v>
                </c:pt>
                <c:pt idx="188">
                  <c:v>-217.69567135157939</c:v>
                </c:pt>
                <c:pt idx="189">
                  <c:v>-219.31566554226379</c:v>
                </c:pt>
                <c:pt idx="190">
                  <c:v>-220.93565973294818</c:v>
                </c:pt>
                <c:pt idx="191">
                  <c:v>-222.55565392363258</c:v>
                </c:pt>
                <c:pt idx="192">
                  <c:v>-224.17564811431697</c:v>
                </c:pt>
                <c:pt idx="193">
                  <c:v>-225.79564230500137</c:v>
                </c:pt>
                <c:pt idx="194">
                  <c:v>-227.41563649568576</c:v>
                </c:pt>
                <c:pt idx="195">
                  <c:v>-229.03563068637015</c:v>
                </c:pt>
                <c:pt idx="196">
                  <c:v>-230.65562487705455</c:v>
                </c:pt>
                <c:pt idx="197">
                  <c:v>-232.27561906773894</c:v>
                </c:pt>
                <c:pt idx="198">
                  <c:v>-233.89561325842334</c:v>
                </c:pt>
                <c:pt idx="199">
                  <c:v>-235.51560744910773</c:v>
                </c:pt>
                <c:pt idx="200">
                  <c:v>-237.13560163979213</c:v>
                </c:pt>
              </c:numCache>
            </c:numRef>
          </c:cat>
          <c:val>
            <c:numRef>
              <c:f>'Sim 2.0 50mm'!$Q$4:$Q$204</c:f>
              <c:numCache>
                <c:formatCode>0.0\ "%"</c:formatCode>
                <c:ptCount val="201"/>
                <c:pt idx="0">
                  <c:v>0</c:v>
                </c:pt>
                <c:pt idx="1">
                  <c:v>5.0541044776119399</c:v>
                </c:pt>
                <c:pt idx="2">
                  <c:v>11.572767737803519</c:v>
                </c:pt>
                <c:pt idx="3">
                  <c:v>18.260385437942414</c:v>
                </c:pt>
                <c:pt idx="4">
                  <c:v>24.664266504420098</c:v>
                </c:pt>
                <c:pt idx="5">
                  <c:v>30.640519613453399</c:v>
                </c:pt>
                <c:pt idx="6">
                  <c:v>36.157507552759519</c:v>
                </c:pt>
                <c:pt idx="7">
                  <c:v>41.223575731639833</c:v>
                </c:pt>
                <c:pt idx="8">
                  <c:v>45.860528305568522</c:v>
                </c:pt>
                <c:pt idx="9">
                  <c:v>50.093941680592899</c:v>
                </c:pt>
                <c:pt idx="10">
                  <c:v>53.949672036558816</c:v>
                </c:pt>
                <c:pt idx="11">
                  <c:v>57.452638678642842</c:v>
                </c:pt>
                <c:pt idx="12">
                  <c:v>60.626440968079919</c:v>
                </c:pt>
                <c:pt idx="13">
                  <c:v>63.493278115814277</c:v>
                </c:pt>
                <c:pt idx="14">
                  <c:v>66.073976699083758</c:v>
                </c:pt>
                <c:pt idx="15">
                  <c:v>68.388054292254196</c:v>
                </c:pt>
                <c:pt idx="16">
                  <c:v>70.453793068334463</c:v>
                </c:pt>
                <c:pt idx="17">
                  <c:v>72.288313952522188</c:v>
                </c:pt>
                <c:pt idx="18">
                  <c:v>73.9076480538168</c:v>
                </c:pt>
                <c:pt idx="19">
                  <c:v>75.324161601808257</c:v>
                </c:pt>
                <c:pt idx="20">
                  <c:v>76.553961085584803</c:v>
                </c:pt>
                <c:pt idx="21">
                  <c:v>77.610543619585243</c:v>
                </c:pt>
                <c:pt idx="22">
                  <c:v>78.505673276281598</c:v>
                </c:pt>
                <c:pt idx="23">
                  <c:v>79.251448109606386</c:v>
                </c:pt>
                <c:pt idx="24">
                  <c:v>79.860245591781791</c:v>
                </c:pt>
                <c:pt idx="25">
                  <c:v>80.341524648687411</c:v>
                </c:pt>
                <c:pt idx="26">
                  <c:v>80.704142784586367</c:v>
                </c:pt>
                <c:pt idx="27">
                  <c:v>80.957448070582132</c:v>
                </c:pt>
                <c:pt idx="28">
                  <c:v>81.109827860828602</c:v>
                </c:pt>
                <c:pt idx="29">
                  <c:v>81.169736368708413</c:v>
                </c:pt>
                <c:pt idx="30">
                  <c:v>81.144983082725403</c:v>
                </c:pt>
                <c:pt idx="31">
                  <c:v>81.044483121530732</c:v>
                </c:pt>
                <c:pt idx="32">
                  <c:v>80.878730815092624</c:v>
                </c:pt>
                <c:pt idx="33">
                  <c:v>80.659200470696447</c:v>
                </c:pt>
                <c:pt idx="34">
                  <c:v>80.398095016327503</c:v>
                </c:pt>
                <c:pt idx="35">
                  <c:v>80.105966190255444</c:v>
                </c:pt>
                <c:pt idx="36">
                  <c:v>79.793818408901913</c:v>
                </c:pt>
                <c:pt idx="37">
                  <c:v>79.467331995395668</c:v>
                </c:pt>
                <c:pt idx="38">
                  <c:v>79.134385729321139</c:v>
                </c:pt>
                <c:pt idx="39">
                  <c:v>78.798901236450277</c:v>
                </c:pt>
                <c:pt idx="40">
                  <c:v>78.462511164668584</c:v>
                </c:pt>
                <c:pt idx="41">
                  <c:v>78.128799201677822</c:v>
                </c:pt>
                <c:pt idx="42">
                  <c:v>77.806177054324863</c:v>
                </c:pt>
                <c:pt idx="43">
                  <c:v>77.4881766462087</c:v>
                </c:pt>
                <c:pt idx="44">
                  <c:v>77.174316460941171</c:v>
                </c:pt>
                <c:pt idx="45">
                  <c:v>76.869652930066508</c:v>
                </c:pt>
                <c:pt idx="46">
                  <c:v>72.649929583648003</c:v>
                </c:pt>
                <c:pt idx="47">
                  <c:v>67.540625685479299</c:v>
                </c:pt>
                <c:pt idx="48">
                  <c:v>62.386928689422575</c:v>
                </c:pt>
                <c:pt idx="49">
                  <c:v>57.478704686451785</c:v>
                </c:pt>
                <c:pt idx="50">
                  <c:v>52.902184993846546</c:v>
                </c:pt>
                <c:pt idx="51">
                  <c:v>48.669942991703039</c:v>
                </c:pt>
                <c:pt idx="52">
                  <c:v>44.768850164876248</c:v>
                </c:pt>
                <c:pt idx="53">
                  <c:v>41.177695316707464</c:v>
                </c:pt>
                <c:pt idx="54">
                  <c:v>37.873589150035635</c:v>
                </c:pt>
                <c:pt idx="55">
                  <c:v>34.834228625762421</c:v>
                </c:pt>
                <c:pt idx="56">
                  <c:v>32.038637893077535</c:v>
                </c:pt>
                <c:pt idx="57">
                  <c:v>29.467353326675504</c:v>
                </c:pt>
                <c:pt idx="58">
                  <c:v>27.102410035001068</c:v>
                </c:pt>
                <c:pt idx="59">
                  <c:v>24.927261490265227</c:v>
                </c:pt>
                <c:pt idx="60">
                  <c:v>22.926680463117872</c:v>
                </c:pt>
                <c:pt idx="61">
                  <c:v>21.086658604123134</c:v>
                </c:pt>
                <c:pt idx="62">
                  <c:v>19.394310642076015</c:v>
                </c:pt>
                <c:pt idx="63">
                  <c:v>17.837784997358515</c:v>
                </c:pt>
                <c:pt idx="64">
                  <c:v>16.406181097914935</c:v>
                </c:pt>
                <c:pt idx="65">
                  <c:v>15.089473156814851</c:v>
                </c:pt>
                <c:pt idx="66">
                  <c:v>13.878440002669912</c:v>
                </c:pt>
                <c:pt idx="67">
                  <c:v>12.76460051776723</c:v>
                </c:pt>
                <c:pt idx="68">
                  <c:v>11.740154248900641</c:v>
                </c:pt>
                <c:pt idx="69">
                  <c:v>10.797926781319942</c:v>
                </c:pt>
                <c:pt idx="70">
                  <c:v>9.9313194955842086</c:v>
                </c:pt>
                <c:pt idx="71">
                  <c:v>9.1342633563229967</c:v>
                </c:pt>
                <c:pt idx="72">
                  <c:v>8.4011764095991701</c:v>
                </c:pt>
                <c:pt idx="73">
                  <c:v>7.7269246913370626</c:v>
                </c:pt>
                <c:pt idx="74">
                  <c:v>7.106786273093296</c:v>
                </c:pt>
                <c:pt idx="75">
                  <c:v>6.5364181933913708</c:v>
                </c:pt>
                <c:pt idx="76">
                  <c:v>6.0118260430391501</c:v>
                </c:pt>
                <c:pt idx="77">
                  <c:v>5.5293359914309521</c:v>
                </c:pt>
                <c:pt idx="78">
                  <c:v>5.0855690579292991</c:v>
                </c:pt>
                <c:pt idx="79">
                  <c:v>4.6774174481436521</c:v>
                </c:pt>
                <c:pt idx="80">
                  <c:v>4.3020227893841341</c:v>
                </c:pt>
                <c:pt idx="81">
                  <c:v>3.9567561128685549</c:v>
                </c:pt>
                <c:pt idx="82">
                  <c:v>3.6391994424938727</c:v>
                </c:pt>
                <c:pt idx="83">
                  <c:v>3.3471288612343324</c:v>
                </c:pt>
                <c:pt idx="84">
                  <c:v>3.0784989365766813</c:v>
                </c:pt>
                <c:pt idx="85">
                  <c:v>2.8314283959204469</c:v>
                </c:pt>
                <c:pt idx="86">
                  <c:v>2.6041869516250657</c:v>
                </c:pt>
                <c:pt idx="87">
                  <c:v>2.3951831834368584</c:v>
                </c:pt>
                <c:pt idx="88">
                  <c:v>2.2029533934339005</c:v>
                </c:pt>
                <c:pt idx="89">
                  <c:v>2.0261513554376003</c:v>
                </c:pt>
                <c:pt idx="90">
                  <c:v>1.8635388871039247</c:v>
                </c:pt>
                <c:pt idx="91">
                  <c:v>1.7139771786686175</c:v>
                </c:pt>
                <c:pt idx="92">
                  <c:v>1.5764188176197718</c:v>
                </c:pt>
                <c:pt idx="93">
                  <c:v>1.4499004534448305</c:v>
                </c:pt>
                <c:pt idx="94">
                  <c:v>1.3335360510816821</c:v>
                </c:pt>
                <c:pt idx="95">
                  <c:v>1.2265106858263304</c:v>
                </c:pt>
                <c:pt idx="96">
                  <c:v>1.1280748362415527</c:v>
                </c:pt>
                <c:pt idx="97">
                  <c:v>1.0375391350985708</c:v>
                </c:pt>
                <c:pt idx="98">
                  <c:v>0.95426954159146238</c:v>
                </c:pt>
                <c:pt idx="99">
                  <c:v>0.87768290101429858</c:v>
                </c:pt>
                <c:pt idx="100">
                  <c:v>0.80724286080448326</c:v>
                </c:pt>
                <c:pt idx="101">
                  <c:v>0.74245611435147507</c:v>
                </c:pt>
                <c:pt idx="102">
                  <c:v>0.682868946265482</c:v>
                </c:pt>
                <c:pt idx="103">
                  <c:v>0.62806405491191208</c:v>
                </c:pt>
                <c:pt idx="104">
                  <c:v>0.57765762995911019</c:v>
                </c:pt>
                <c:pt idx="105">
                  <c:v>0.5312966644728252</c:v>
                </c:pt>
                <c:pt idx="106">
                  <c:v>0.48865648273343315</c:v>
                </c:pt>
                <c:pt idx="107">
                  <c:v>0.4494384664626922</c:v>
                </c:pt>
                <c:pt idx="108">
                  <c:v>0.41336796353631233</c:v>
                </c:pt>
                <c:pt idx="109">
                  <c:v>0.38019236453660837</c:v>
                </c:pt>
                <c:pt idx="110">
                  <c:v>0.34967933367492227</c:v>
                </c:pt>
                <c:pt idx="111">
                  <c:v>0.32161518169459147</c:v>
                </c:pt>
                <c:pt idx="112">
                  <c:v>0.29580336935955198</c:v>
                </c:pt>
                <c:pt idx="113">
                  <c:v>0.27206313104819146</c:v>
                </c:pt>
                <c:pt idx="114">
                  <c:v>0.25022820881318419</c:v>
                </c:pt>
                <c:pt idx="115">
                  <c:v>0.23014568804166058</c:v>
                </c:pt>
                <c:pt idx="116">
                  <c:v>0.21167492656159154</c:v>
                </c:pt>
                <c:pt idx="117">
                  <c:v>0.19468656969469011</c:v>
                </c:pt>
                <c:pt idx="118">
                  <c:v>0.17906164435803762</c:v>
                </c:pt>
                <c:pt idx="119">
                  <c:v>0.16469072587023365</c:v>
                </c:pt>
                <c:pt idx="120">
                  <c:v>0.15147317162703672</c:v>
                </c:pt>
                <c:pt idx="121">
                  <c:v>0.13931641627976254</c:v>
                </c:pt>
                <c:pt idx="122">
                  <c:v>0.12813532348042364</c:v>
                </c:pt>
                <c:pt idx="123">
                  <c:v>0.11785158965374438</c:v>
                </c:pt>
                <c:pt idx="124">
                  <c:v>0.10839319562053859</c:v>
                </c:pt>
                <c:pt idx="125">
                  <c:v>9.969390223205235E-2</c:v>
                </c:pt>
                <c:pt idx="126">
                  <c:v>9.1692786483091482E-2</c:v>
                </c:pt>
                <c:pt idx="127">
                  <c:v>8.4333814855235029E-2</c:v>
                </c:pt>
                <c:pt idx="128">
                  <c:v>7.7565450902166405E-2</c:v>
                </c:pt>
                <c:pt idx="129">
                  <c:v>7.1340294328958845E-2</c:v>
                </c:pt>
                <c:pt idx="130">
                  <c:v>6.5614749037710141E-2</c:v>
                </c:pt>
                <c:pt idx="131">
                  <c:v>6.0348717814779955E-2</c:v>
                </c:pt>
                <c:pt idx="132">
                  <c:v>5.5505321521458935E-2</c:v>
                </c:pt>
                <c:pt idx="133">
                  <c:v>5.105064082150236E-2</c:v>
                </c:pt>
                <c:pt idx="134">
                  <c:v>4.6953478636791099E-2</c:v>
                </c:pt>
                <c:pt idx="135">
                  <c:v>4.318514166754623E-2</c:v>
                </c:pt>
                <c:pt idx="136">
                  <c:v>3.9719239447036897E-2</c:v>
                </c:pt>
                <c:pt idx="137">
                  <c:v>3.6531499523518689E-2</c:v>
                </c:pt>
                <c:pt idx="138">
                  <c:v>3.3599597475082198E-2</c:v>
                </c:pt>
                <c:pt idx="139">
                  <c:v>3.0903000566969662E-2</c:v>
                </c:pt>
                <c:pt idx="140">
                  <c:v>2.8422823956458457E-2</c:v>
                </c:pt>
                <c:pt idx="141">
                  <c:v>2.6141698438283619E-2</c:v>
                </c:pt>
                <c:pt idx="142">
                  <c:v>2.4043648804392477E-2</c:v>
                </c:pt>
                <c:pt idx="143">
                  <c:v>2.2113981966158734E-2</c:v>
                </c:pt>
                <c:pt idx="144">
                  <c:v>2.0339184055552094E-2</c:v>
                </c:pt>
                <c:pt idx="145">
                  <c:v>1.8706825784641015E-2</c:v>
                </c:pt>
                <c:pt idx="146">
                  <c:v>1.7205475400640931E-2</c:v>
                </c:pt>
                <c:pt idx="147">
                  <c:v>1.5824618626913731E-2</c:v>
                </c:pt>
                <c:pt idx="148">
                  <c:v>1.4554585029248102E-2</c:v>
                </c:pt>
                <c:pt idx="149">
                  <c:v>1.3386480291748257E-2</c:v>
                </c:pt>
                <c:pt idx="150">
                  <c:v>1.2312123928044543E-2</c:v>
                </c:pt>
                <c:pt idx="151">
                  <c:v>1.132399199160437E-2</c:v>
                </c:pt>
                <c:pt idx="152">
                  <c:v>1.0415164383931466E-2</c:v>
                </c:pt>
                <c:pt idx="153">
                  <c:v>9.5792763916416213E-3</c:v>
                </c:pt>
                <c:pt idx="154">
                  <c:v>8.8104741130186973E-3</c:v>
                </c:pt>
                <c:pt idx="155">
                  <c:v>8.103373461893602E-3</c:v>
                </c:pt>
                <c:pt idx="156">
                  <c:v>7.4530224617416268E-3</c:v>
                </c:pt>
                <c:pt idx="157">
                  <c:v>6.854866565935717E-3</c:v>
                </c:pt>
                <c:pt idx="158">
                  <c:v>6.3047167612859797E-3</c:v>
                </c:pt>
                <c:pt idx="159">
                  <c:v>5.7987202314877468E-3</c:v>
                </c:pt>
                <c:pt idx="160">
                  <c:v>5.3333333750280555E-3</c:v>
                </c:pt>
                <c:pt idx="161">
                  <c:v>4.9052969885892061E-3</c:v>
                </c:pt>
                <c:pt idx="162">
                  <c:v>4.5116134421534747E-3</c:v>
                </c:pt>
                <c:pt idx="163">
                  <c:v>4.1495256859613817E-3</c:v>
                </c:pt>
                <c:pt idx="164">
                  <c:v>3.8164979423047701E-3</c:v>
                </c:pt>
                <c:pt idx="165">
                  <c:v>3.5101979469352057E-3</c:v>
                </c:pt>
                <c:pt idx="166">
                  <c:v>3.2284806157205016E-3</c:v>
                </c:pt>
                <c:pt idx="167">
                  <c:v>2.9693730221634785E-3</c:v>
                </c:pt>
                <c:pt idx="168">
                  <c:v>2.7310605805773245E-3</c:v>
                </c:pt>
                <c:pt idx="169">
                  <c:v>2.5118743381553886E-3</c:v>
                </c:pt>
                <c:pt idx="170">
                  <c:v>2.3102792869390651E-3</c:v>
                </c:pt>
                <c:pt idx="171">
                  <c:v>2.1248636138299906E-3</c:v>
                </c:pt>
                <c:pt idx="172">
                  <c:v>1.9543288133620934E-3</c:v>
                </c:pt>
                <c:pt idx="173">
                  <c:v>1.7974805939911388E-3</c:v>
                </c:pt>
                <c:pt idx="174">
                  <c:v>1.653220514216569E-3</c:v>
                </c:pt>
                <c:pt idx="175">
                  <c:v>1.5205382899616275E-3</c:v>
                </c:pt>
                <c:pt idx="176">
                  <c:v>1.3985047193387037E-3</c:v>
                </c:pt>
                <c:pt idx="177">
                  <c:v>1.286265175250525E-3</c:v>
                </c:pt>
                <c:pt idx="178">
                  <c:v>1.1830336202544958E-3</c:v>
                </c:pt>
                <c:pt idx="179">
                  <c:v>1.0880871017750014E-3</c:v>
                </c:pt>
                <c:pt idx="180">
                  <c:v>1.0007606891124813E-3</c:v>
                </c:pt>
                <c:pt idx="181">
                  <c:v>9.2044281679205711E-4</c:v>
                </c:pt>
                <c:pt idx="182">
                  <c:v>8.4657100164020659E-4</c:v>
                </c:pt>
                <c:pt idx="183">
                  <c:v>7.7862790359524599E-4</c:v>
                </c:pt>
                <c:pt idx="184">
                  <c:v>7.1613770266464841E-4</c:v>
                </c:pt>
                <c:pt idx="185">
                  <c:v>6.5866276665624962E-4</c:v>
                </c:pt>
                <c:pt idx="186">
                  <c:v>6.0580058634675932E-4</c:v>
                </c:pt>
                <c:pt idx="187">
                  <c:v>5.5718095662390542E-4</c:v>
                </c:pt>
                <c:pt idx="188">
                  <c:v>5.1246338386115218E-4</c:v>
                </c:pt>
                <c:pt idx="189">
                  <c:v>4.7133470136828274E-4</c:v>
                </c:pt>
                <c:pt idx="190">
                  <c:v>4.3350687621834024E-4</c:v>
                </c:pt>
                <c:pt idx="191">
                  <c:v>3.987149920916676E-4</c:v>
                </c:pt>
                <c:pt idx="192">
                  <c:v>3.6671539401047435E-4</c:v>
                </c:pt>
                <c:pt idx="193">
                  <c:v>3.3728398197111045E-4</c:v>
                </c:pt>
                <c:pt idx="194">
                  <c:v>3.1021464152399078E-4</c:v>
                </c:pt>
                <c:pt idx="195">
                  <c:v>2.8531780031018731E-4</c:v>
                </c:pt>
                <c:pt idx="196">
                  <c:v>2.624191004458063E-4</c:v>
                </c:pt>
                <c:pt idx="197">
                  <c:v>2.4135817745657624E-4</c:v>
                </c:pt>
                <c:pt idx="198">
                  <c:v>2.2198753721126512E-4</c:v>
                </c:pt>
                <c:pt idx="199">
                  <c:v>2.0417152298885213E-4</c:v>
                </c:pt>
                <c:pt idx="200">
                  <c:v>1.8778536544560557E-4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CE-426C-8718-DAA5FDCE7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4604458"/>
        <c:axId val="252492974"/>
      </c:lineChart>
      <c:catAx>
        <c:axId val="45460445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de-DE"/>
              </a:p>
            </c:rich>
          </c:tx>
          <c:overlay val="0"/>
        </c:title>
        <c:numFmt formatCode="0.00\ &quot;mm&quot;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252492974"/>
        <c:crosses val="autoZero"/>
        <c:auto val="1"/>
        <c:lblAlgn val="ctr"/>
        <c:lblOffset val="100"/>
        <c:noMultiLvlLbl val="1"/>
      </c:catAx>
      <c:valAx>
        <c:axId val="2524929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de-DE"/>
              </a:p>
            </c:rich>
          </c:tx>
          <c:overlay val="0"/>
        </c:title>
        <c:numFmt formatCode="0.0\ &quot;N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45460445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de-DE" b="0">
                <a:solidFill>
                  <a:srgbClr val="757575"/>
                </a:solidFill>
                <a:latin typeface="+mn-lt"/>
              </a:rPr>
              <a:t>Projectile Force vs Distance @ 5A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50mm Projectile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23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F260-41B8-B583-F628B88748C4}"/>
              </c:ext>
            </c:extLst>
          </c:dPt>
          <c:cat>
            <c:numRef>
              <c:f>'Force mapping'!$B$7:$B$167</c:f>
              <c:numCache>
                <c:formatCode>0.0\ "mm"</c:formatCode>
                <c:ptCount val="16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</c:numCache>
            </c:numRef>
          </c:cat>
          <c:val>
            <c:numRef>
              <c:f>'Force mapping'!$D$7:$D$168</c:f>
              <c:numCache>
                <c:formatCode>0.000\ "N"</c:formatCode>
                <c:ptCount val="162"/>
                <c:pt idx="0">
                  <c:v>0</c:v>
                </c:pt>
                <c:pt idx="1">
                  <c:v>8.0849999999999991E-2</c:v>
                </c:pt>
                <c:pt idx="2">
                  <c:v>0.16169999999999998</c:v>
                </c:pt>
                <c:pt idx="3">
                  <c:v>0.24206</c:v>
                </c:pt>
                <c:pt idx="4">
                  <c:v>0.32241999999999998</c:v>
                </c:pt>
                <c:pt idx="5">
                  <c:v>0.39640999999999998</c:v>
                </c:pt>
                <c:pt idx="6">
                  <c:v>0.47039999999999998</c:v>
                </c:pt>
                <c:pt idx="7">
                  <c:v>0.55174000000000001</c:v>
                </c:pt>
                <c:pt idx="8">
                  <c:v>0.63307999999999998</c:v>
                </c:pt>
                <c:pt idx="9">
                  <c:v>0.72127999999999992</c:v>
                </c:pt>
                <c:pt idx="10">
                  <c:v>0.80947999999999987</c:v>
                </c:pt>
                <c:pt idx="11">
                  <c:v>0.89767999999999981</c:v>
                </c:pt>
                <c:pt idx="12">
                  <c:v>0.98587999999999987</c:v>
                </c:pt>
                <c:pt idx="13">
                  <c:v>1.0696699999999999</c:v>
                </c:pt>
                <c:pt idx="14">
                  <c:v>1.1534599999999999</c:v>
                </c:pt>
                <c:pt idx="15">
                  <c:v>1.2475399999999999</c:v>
                </c:pt>
                <c:pt idx="16">
                  <c:v>1.34162</c:v>
                </c:pt>
                <c:pt idx="17">
                  <c:v>1.4381499999999998</c:v>
                </c:pt>
                <c:pt idx="18">
                  <c:v>1.5346799999999998</c:v>
                </c:pt>
                <c:pt idx="19">
                  <c:v>1.6223899999999998</c:v>
                </c:pt>
                <c:pt idx="20">
                  <c:v>1.7101</c:v>
                </c:pt>
                <c:pt idx="21">
                  <c:v>1.7826200000000001</c:v>
                </c:pt>
                <c:pt idx="22">
                  <c:v>1.85514</c:v>
                </c:pt>
                <c:pt idx="23">
                  <c:v>1.9178599999999999</c:v>
                </c:pt>
                <c:pt idx="24">
                  <c:v>1.9805799999999998</c:v>
                </c:pt>
                <c:pt idx="25">
                  <c:v>2.0271299999999997</c:v>
                </c:pt>
                <c:pt idx="26">
                  <c:v>2.07368</c:v>
                </c:pt>
                <c:pt idx="27">
                  <c:v>2.10602</c:v>
                </c:pt>
                <c:pt idx="28">
                  <c:v>2.13836</c:v>
                </c:pt>
                <c:pt idx="29">
                  <c:v>2.1471800000000001</c:v>
                </c:pt>
                <c:pt idx="30">
                  <c:v>2.1560000000000001</c:v>
                </c:pt>
                <c:pt idx="31">
                  <c:v>2.1721700000000004</c:v>
                </c:pt>
                <c:pt idx="32">
                  <c:v>2.1883400000000002</c:v>
                </c:pt>
                <c:pt idx="33">
                  <c:v>2.18344</c:v>
                </c:pt>
                <c:pt idx="34">
                  <c:v>2.1785399999999999</c:v>
                </c:pt>
                <c:pt idx="35">
                  <c:v>2.1623700000000001</c:v>
                </c:pt>
                <c:pt idx="36">
                  <c:v>2.1461999999999999</c:v>
                </c:pt>
                <c:pt idx="37">
                  <c:v>2.12317</c:v>
                </c:pt>
                <c:pt idx="38">
                  <c:v>2.1001400000000001</c:v>
                </c:pt>
                <c:pt idx="39">
                  <c:v>2.0702499999999997</c:v>
                </c:pt>
                <c:pt idx="40">
                  <c:v>2.0403599999999997</c:v>
                </c:pt>
                <c:pt idx="41">
                  <c:v>2.0001799999999998</c:v>
                </c:pt>
                <c:pt idx="42">
                  <c:v>1.96</c:v>
                </c:pt>
                <c:pt idx="43">
                  <c:v>1.9178600000000001</c:v>
                </c:pt>
                <c:pt idx="44">
                  <c:v>1.8757200000000001</c:v>
                </c:pt>
                <c:pt idx="45">
                  <c:v>1.83162</c:v>
                </c:pt>
                <c:pt idx="46">
                  <c:v>1.78752</c:v>
                </c:pt>
                <c:pt idx="47">
                  <c:v>1.7399899999999999</c:v>
                </c:pt>
                <c:pt idx="48">
                  <c:v>1.6924599999999999</c:v>
                </c:pt>
                <c:pt idx="49">
                  <c:v>1.6375799999999998</c:v>
                </c:pt>
                <c:pt idx="50">
                  <c:v>1.5827</c:v>
                </c:pt>
                <c:pt idx="51">
                  <c:v>1.53125</c:v>
                </c:pt>
                <c:pt idx="52">
                  <c:v>1.4798</c:v>
                </c:pt>
                <c:pt idx="53">
                  <c:v>1.42835</c:v>
                </c:pt>
                <c:pt idx="54">
                  <c:v>1.3769</c:v>
                </c:pt>
                <c:pt idx="55">
                  <c:v>1.3205499999999999</c:v>
                </c:pt>
                <c:pt idx="56">
                  <c:v>1.2642</c:v>
                </c:pt>
                <c:pt idx="57">
                  <c:v>1.2049099999999999</c:v>
                </c:pt>
                <c:pt idx="58">
                  <c:v>1.1456200000000001</c:v>
                </c:pt>
                <c:pt idx="59">
                  <c:v>1.08731</c:v>
                </c:pt>
                <c:pt idx="60">
                  <c:v>1.0289999999999999</c:v>
                </c:pt>
                <c:pt idx="61">
                  <c:v>0.97460999999999998</c:v>
                </c:pt>
                <c:pt idx="62">
                  <c:v>0.92022000000000004</c:v>
                </c:pt>
                <c:pt idx="63">
                  <c:v>0.8648499999999999</c:v>
                </c:pt>
                <c:pt idx="64">
                  <c:v>0.80947999999999987</c:v>
                </c:pt>
                <c:pt idx="65">
                  <c:v>0.75557999999999992</c:v>
                </c:pt>
                <c:pt idx="66">
                  <c:v>0.70167999999999997</c:v>
                </c:pt>
                <c:pt idx="67">
                  <c:v>0.64483999999999997</c:v>
                </c:pt>
                <c:pt idx="68">
                  <c:v>0.58799999999999997</c:v>
                </c:pt>
                <c:pt idx="69">
                  <c:v>0.53899999999999992</c:v>
                </c:pt>
                <c:pt idx="70">
                  <c:v>0.49</c:v>
                </c:pt>
                <c:pt idx="71">
                  <c:v>0.441</c:v>
                </c:pt>
                <c:pt idx="72">
                  <c:v>0.39200000000000002</c:v>
                </c:pt>
                <c:pt idx="73">
                  <c:v>0.34887999999999997</c:v>
                </c:pt>
                <c:pt idx="74">
                  <c:v>0.30575999999999998</c:v>
                </c:pt>
                <c:pt idx="75">
                  <c:v>0.26900999999999997</c:v>
                </c:pt>
                <c:pt idx="76">
                  <c:v>0.23225999999999999</c:v>
                </c:pt>
                <c:pt idx="77">
                  <c:v>0.20285999999999998</c:v>
                </c:pt>
                <c:pt idx="78">
                  <c:v>0.17345999999999998</c:v>
                </c:pt>
                <c:pt idx="79">
                  <c:v>0.14944999999999997</c:v>
                </c:pt>
                <c:pt idx="80">
                  <c:v>0.12544</c:v>
                </c:pt>
                <c:pt idx="81">
                  <c:v>0.10682</c:v>
                </c:pt>
                <c:pt idx="82">
                  <c:v>8.8200000000000001E-2</c:v>
                </c:pt>
                <c:pt idx="83">
                  <c:v>7.594999999999999E-2</c:v>
                </c:pt>
                <c:pt idx="84">
                  <c:v>6.3699999999999993E-2</c:v>
                </c:pt>
                <c:pt idx="85">
                  <c:v>5.4879999999999998E-2</c:v>
                </c:pt>
                <c:pt idx="86">
                  <c:v>4.6060000000000004E-2</c:v>
                </c:pt>
                <c:pt idx="87">
                  <c:v>4.018E-2</c:v>
                </c:pt>
                <c:pt idx="88">
                  <c:v>3.4299999999999997E-2</c:v>
                </c:pt>
                <c:pt idx="89">
                  <c:v>2.989E-2</c:v>
                </c:pt>
                <c:pt idx="90">
                  <c:v>2.5479999999999999E-2</c:v>
                </c:pt>
                <c:pt idx="91">
                  <c:v>2.2539999999999998E-2</c:v>
                </c:pt>
                <c:pt idx="92">
                  <c:v>1.9599999999999999E-2</c:v>
                </c:pt>
                <c:pt idx="93">
                  <c:v>1.7639999999999999E-2</c:v>
                </c:pt>
                <c:pt idx="94">
                  <c:v>1.5679999999999999E-2</c:v>
                </c:pt>
                <c:pt idx="95">
                  <c:v>1.421E-2</c:v>
                </c:pt>
                <c:pt idx="96">
                  <c:v>1.274E-2</c:v>
                </c:pt>
                <c:pt idx="97">
                  <c:v>1.1269999999999999E-2</c:v>
                </c:pt>
                <c:pt idx="98">
                  <c:v>9.7999999999999997E-3</c:v>
                </c:pt>
                <c:pt idx="99">
                  <c:v>8.8199999999999997E-3</c:v>
                </c:pt>
                <c:pt idx="100">
                  <c:v>7.8399999999999997E-3</c:v>
                </c:pt>
                <c:pt idx="101">
                  <c:v>6.8599999999999998E-3</c:v>
                </c:pt>
                <c:pt idx="102">
                  <c:v>5.8799999999999998E-3</c:v>
                </c:pt>
                <c:pt idx="103">
                  <c:v>5.8799999999999998E-3</c:v>
                </c:pt>
                <c:pt idx="104">
                  <c:v>5.8799999999999998E-3</c:v>
                </c:pt>
                <c:pt idx="105">
                  <c:v>5.3899999999999998E-3</c:v>
                </c:pt>
                <c:pt idx="106">
                  <c:v>4.8999999999999998E-3</c:v>
                </c:pt>
                <c:pt idx="107">
                  <c:v>4.4099999999999999E-3</c:v>
                </c:pt>
                <c:pt idx="108">
                  <c:v>3.9199999999999999E-3</c:v>
                </c:pt>
                <c:pt idx="109">
                  <c:v>3.4299999999999999E-3</c:v>
                </c:pt>
                <c:pt idx="110">
                  <c:v>2.9399999999999999E-3</c:v>
                </c:pt>
                <c:pt idx="111">
                  <c:v>2.9399999999999999E-3</c:v>
                </c:pt>
                <c:pt idx="112">
                  <c:v>2.9399999999999999E-3</c:v>
                </c:pt>
                <c:pt idx="113">
                  <c:v>2.9399999999999999E-3</c:v>
                </c:pt>
                <c:pt idx="114">
                  <c:v>2.9399999999999999E-3</c:v>
                </c:pt>
                <c:pt idx="115">
                  <c:v>1.47E-3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260-41B8-B583-F628B88748C4}"/>
            </c:ext>
          </c:extLst>
        </c:ser>
        <c:ser>
          <c:idx val="1"/>
          <c:order val="1"/>
          <c:tx>
            <c:v>100mm Projectile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dPt>
            <c:idx val="51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2-F260-41B8-B583-F628B88748C4}"/>
              </c:ext>
            </c:extLst>
          </c:dPt>
          <c:dPt>
            <c:idx val="54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3-F260-41B8-B583-F628B88748C4}"/>
              </c:ext>
            </c:extLst>
          </c:dPt>
          <c:cat>
            <c:numRef>
              <c:f>'Force mapping'!$B$7:$B$167</c:f>
              <c:numCache>
                <c:formatCode>0.0\ "mm"</c:formatCode>
                <c:ptCount val="16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</c:numCache>
            </c:numRef>
          </c:cat>
          <c:val>
            <c:numRef>
              <c:f>'Force mapping'!$I$7:$I$168</c:f>
              <c:numCache>
                <c:formatCode>0.000\ "N"</c:formatCode>
                <c:ptCount val="162"/>
                <c:pt idx="0">
                  <c:v>0</c:v>
                </c:pt>
                <c:pt idx="1">
                  <c:v>1.3719999999999998E-2</c:v>
                </c:pt>
                <c:pt idx="2">
                  <c:v>2.7439999999999996E-2</c:v>
                </c:pt>
                <c:pt idx="3">
                  <c:v>4.018E-2</c:v>
                </c:pt>
                <c:pt idx="4">
                  <c:v>5.2920000000000002E-2</c:v>
                </c:pt>
                <c:pt idx="5">
                  <c:v>6.5170000000000006E-2</c:v>
                </c:pt>
                <c:pt idx="6">
                  <c:v>7.7420000000000003E-2</c:v>
                </c:pt>
                <c:pt idx="7">
                  <c:v>8.967E-2</c:v>
                </c:pt>
                <c:pt idx="8">
                  <c:v>0.10192</c:v>
                </c:pt>
                <c:pt idx="9">
                  <c:v>0.11563999999999999</c:v>
                </c:pt>
                <c:pt idx="10">
                  <c:v>0.12935999999999998</c:v>
                </c:pt>
                <c:pt idx="11">
                  <c:v>0.14356999999999998</c:v>
                </c:pt>
                <c:pt idx="12">
                  <c:v>0.15778</c:v>
                </c:pt>
                <c:pt idx="13">
                  <c:v>0.17052</c:v>
                </c:pt>
                <c:pt idx="14">
                  <c:v>0.18325999999999998</c:v>
                </c:pt>
                <c:pt idx="15">
                  <c:v>0.19746999999999998</c:v>
                </c:pt>
                <c:pt idx="16">
                  <c:v>0.21168000000000001</c:v>
                </c:pt>
                <c:pt idx="17">
                  <c:v>0.22687000000000002</c:v>
                </c:pt>
                <c:pt idx="18">
                  <c:v>0.24206</c:v>
                </c:pt>
                <c:pt idx="19">
                  <c:v>0.25969999999999999</c:v>
                </c:pt>
                <c:pt idx="20">
                  <c:v>0.27733999999999998</c:v>
                </c:pt>
                <c:pt idx="21">
                  <c:v>0.29056999999999999</c:v>
                </c:pt>
                <c:pt idx="22">
                  <c:v>0.30380000000000001</c:v>
                </c:pt>
                <c:pt idx="23">
                  <c:v>0.32241999999999998</c:v>
                </c:pt>
                <c:pt idx="24">
                  <c:v>0.34103999999999995</c:v>
                </c:pt>
                <c:pt idx="25">
                  <c:v>0.35868</c:v>
                </c:pt>
                <c:pt idx="26">
                  <c:v>0.37631999999999999</c:v>
                </c:pt>
                <c:pt idx="27">
                  <c:v>0.39444999999999997</c:v>
                </c:pt>
                <c:pt idx="28">
                  <c:v>0.41258</c:v>
                </c:pt>
                <c:pt idx="29">
                  <c:v>0.43070999999999998</c:v>
                </c:pt>
                <c:pt idx="30">
                  <c:v>0.44883999999999996</c:v>
                </c:pt>
                <c:pt idx="31">
                  <c:v>0.46941999999999995</c:v>
                </c:pt>
                <c:pt idx="32">
                  <c:v>0.49</c:v>
                </c:pt>
                <c:pt idx="33">
                  <c:v>0.51351999999999998</c:v>
                </c:pt>
                <c:pt idx="34">
                  <c:v>0.53703999999999996</c:v>
                </c:pt>
                <c:pt idx="35">
                  <c:v>0.56006999999999996</c:v>
                </c:pt>
                <c:pt idx="36">
                  <c:v>0.58309999999999995</c:v>
                </c:pt>
                <c:pt idx="37">
                  <c:v>0.60613000000000006</c:v>
                </c:pt>
                <c:pt idx="38">
                  <c:v>0.62916000000000005</c:v>
                </c:pt>
                <c:pt idx="39">
                  <c:v>0.65219000000000005</c:v>
                </c:pt>
                <c:pt idx="40">
                  <c:v>0.67522000000000004</c:v>
                </c:pt>
                <c:pt idx="41">
                  <c:v>0.70511000000000001</c:v>
                </c:pt>
                <c:pt idx="42">
                  <c:v>0.73499999999999999</c:v>
                </c:pt>
                <c:pt idx="43">
                  <c:v>0.76586999999999994</c:v>
                </c:pt>
                <c:pt idx="44">
                  <c:v>0.79673999999999989</c:v>
                </c:pt>
                <c:pt idx="45">
                  <c:v>0.82858999999999994</c:v>
                </c:pt>
                <c:pt idx="46">
                  <c:v>0.86043999999999998</c:v>
                </c:pt>
                <c:pt idx="47">
                  <c:v>0.89670000000000005</c:v>
                </c:pt>
                <c:pt idx="48">
                  <c:v>0.93296000000000001</c:v>
                </c:pt>
                <c:pt idx="49">
                  <c:v>0.97950999999999999</c:v>
                </c:pt>
                <c:pt idx="50">
                  <c:v>1.02606</c:v>
                </c:pt>
                <c:pt idx="51">
                  <c:v>1.0706500000000001</c:v>
                </c:pt>
                <c:pt idx="52">
                  <c:v>1.11524</c:v>
                </c:pt>
                <c:pt idx="53">
                  <c:v>1.1588500000000002</c:v>
                </c:pt>
                <c:pt idx="54">
                  <c:v>1.2024600000000001</c:v>
                </c:pt>
                <c:pt idx="55">
                  <c:v>1.25146</c:v>
                </c:pt>
                <c:pt idx="56">
                  <c:v>1.3004599999999999</c:v>
                </c:pt>
                <c:pt idx="57">
                  <c:v>1.3636699999999999</c:v>
                </c:pt>
                <c:pt idx="58">
                  <c:v>1.4268799999999999</c:v>
                </c:pt>
                <c:pt idx="59">
                  <c:v>1.4891100000000002</c:v>
                </c:pt>
                <c:pt idx="60">
                  <c:v>1.5513400000000002</c:v>
                </c:pt>
                <c:pt idx="61">
                  <c:v>1.6165099999999999</c:v>
                </c:pt>
                <c:pt idx="62">
                  <c:v>1.6816799999999998</c:v>
                </c:pt>
                <c:pt idx="63">
                  <c:v>1.7556699999999998</c:v>
                </c:pt>
                <c:pt idx="64">
                  <c:v>1.8296599999999998</c:v>
                </c:pt>
                <c:pt idx="65">
                  <c:v>1.9168799999999999</c:v>
                </c:pt>
                <c:pt idx="66">
                  <c:v>2.0040999999999998</c:v>
                </c:pt>
                <c:pt idx="67">
                  <c:v>2.0859299999999998</c:v>
                </c:pt>
                <c:pt idx="68">
                  <c:v>2.1677599999999999</c:v>
                </c:pt>
                <c:pt idx="69">
                  <c:v>2.2417499999999997</c:v>
                </c:pt>
                <c:pt idx="70">
                  <c:v>2.3157399999999999</c:v>
                </c:pt>
                <c:pt idx="71">
                  <c:v>2.38679</c:v>
                </c:pt>
                <c:pt idx="72">
                  <c:v>2.45784</c:v>
                </c:pt>
                <c:pt idx="73">
                  <c:v>2.5225200000000001</c:v>
                </c:pt>
                <c:pt idx="74">
                  <c:v>2.5871999999999997</c:v>
                </c:pt>
                <c:pt idx="75">
                  <c:v>2.6288499999999999</c:v>
                </c:pt>
                <c:pt idx="76">
                  <c:v>2.6705000000000001</c:v>
                </c:pt>
                <c:pt idx="77">
                  <c:v>2.6950000000000003</c:v>
                </c:pt>
                <c:pt idx="78">
                  <c:v>2.7195</c:v>
                </c:pt>
                <c:pt idx="79">
                  <c:v>2.7356699999999998</c:v>
                </c:pt>
                <c:pt idx="80">
                  <c:v>2.7518400000000001</c:v>
                </c:pt>
                <c:pt idx="81">
                  <c:v>2.7626200000000001</c:v>
                </c:pt>
                <c:pt idx="82">
                  <c:v>2.7734000000000001</c:v>
                </c:pt>
                <c:pt idx="83">
                  <c:v>2.7572299999999998</c:v>
                </c:pt>
                <c:pt idx="84">
                  <c:v>2.7410599999999996</c:v>
                </c:pt>
                <c:pt idx="85">
                  <c:v>2.7199899999999997</c:v>
                </c:pt>
                <c:pt idx="86">
                  <c:v>2.6989199999999998</c:v>
                </c:pt>
                <c:pt idx="87">
                  <c:v>2.6685399999999997</c:v>
                </c:pt>
                <c:pt idx="88">
                  <c:v>2.6381599999999996</c:v>
                </c:pt>
                <c:pt idx="89">
                  <c:v>2.5984699999999998</c:v>
                </c:pt>
                <c:pt idx="90">
                  <c:v>2.5587800000000001</c:v>
                </c:pt>
                <c:pt idx="91">
                  <c:v>2.5107600000000003</c:v>
                </c:pt>
                <c:pt idx="92">
                  <c:v>2.4627400000000002</c:v>
                </c:pt>
                <c:pt idx="93">
                  <c:v>2.40639</c:v>
                </c:pt>
                <c:pt idx="94">
                  <c:v>2.3500399999999999</c:v>
                </c:pt>
                <c:pt idx="95">
                  <c:v>2.2843799999999996</c:v>
                </c:pt>
                <c:pt idx="96">
                  <c:v>2.2187199999999998</c:v>
                </c:pt>
                <c:pt idx="97">
                  <c:v>2.1466899999999995</c:v>
                </c:pt>
                <c:pt idx="98">
                  <c:v>2.0746599999999997</c:v>
                </c:pt>
                <c:pt idx="99">
                  <c:v>1.9977299999999998</c:v>
                </c:pt>
                <c:pt idx="100">
                  <c:v>1.9207999999999998</c:v>
                </c:pt>
                <c:pt idx="101">
                  <c:v>1.86592</c:v>
                </c:pt>
                <c:pt idx="102">
                  <c:v>1.81104</c:v>
                </c:pt>
                <c:pt idx="103">
                  <c:v>1.7257799999999999</c:v>
                </c:pt>
                <c:pt idx="104">
                  <c:v>1.64052</c:v>
                </c:pt>
                <c:pt idx="105">
                  <c:v>1.57192</c:v>
                </c:pt>
                <c:pt idx="106">
                  <c:v>1.50332</c:v>
                </c:pt>
                <c:pt idx="107">
                  <c:v>1.42835</c:v>
                </c:pt>
                <c:pt idx="108">
                  <c:v>1.3533799999999998</c:v>
                </c:pt>
                <c:pt idx="109">
                  <c:v>1.2833099999999997</c:v>
                </c:pt>
                <c:pt idx="110">
                  <c:v>1.2132399999999999</c:v>
                </c:pt>
                <c:pt idx="111">
                  <c:v>1.1490499999999999</c:v>
                </c:pt>
                <c:pt idx="112">
                  <c:v>1.0848599999999999</c:v>
                </c:pt>
                <c:pt idx="113">
                  <c:v>1.0182199999999999</c:v>
                </c:pt>
                <c:pt idx="114">
                  <c:v>0.95157999999999987</c:v>
                </c:pt>
                <c:pt idx="115">
                  <c:v>0.89277999999999991</c:v>
                </c:pt>
                <c:pt idx="116">
                  <c:v>0.83397999999999994</c:v>
                </c:pt>
                <c:pt idx="117">
                  <c:v>0.78498000000000001</c:v>
                </c:pt>
                <c:pt idx="118">
                  <c:v>0.73597999999999997</c:v>
                </c:pt>
                <c:pt idx="119">
                  <c:v>0.67276999999999998</c:v>
                </c:pt>
                <c:pt idx="120">
                  <c:v>0.60955999999999999</c:v>
                </c:pt>
                <c:pt idx="121">
                  <c:v>0.55516999999999994</c:v>
                </c:pt>
                <c:pt idx="122">
                  <c:v>0.50078</c:v>
                </c:pt>
                <c:pt idx="123">
                  <c:v>0.45324999999999999</c:v>
                </c:pt>
                <c:pt idx="124">
                  <c:v>0.40571999999999997</c:v>
                </c:pt>
                <c:pt idx="125">
                  <c:v>0.36407</c:v>
                </c:pt>
                <c:pt idx="126">
                  <c:v>0.32241999999999998</c:v>
                </c:pt>
                <c:pt idx="127">
                  <c:v>0.28517999999999999</c:v>
                </c:pt>
                <c:pt idx="128">
                  <c:v>0.24793999999999999</c:v>
                </c:pt>
                <c:pt idx="129">
                  <c:v>0.21609</c:v>
                </c:pt>
                <c:pt idx="130">
                  <c:v>0.18424000000000001</c:v>
                </c:pt>
                <c:pt idx="131">
                  <c:v>0.15925</c:v>
                </c:pt>
                <c:pt idx="132">
                  <c:v>0.13425999999999999</c:v>
                </c:pt>
                <c:pt idx="133">
                  <c:v>0.11809</c:v>
                </c:pt>
                <c:pt idx="134">
                  <c:v>0.10192</c:v>
                </c:pt>
                <c:pt idx="135">
                  <c:v>8.8200000000000001E-2</c:v>
                </c:pt>
                <c:pt idx="136">
                  <c:v>7.4479999999999991E-2</c:v>
                </c:pt>
                <c:pt idx="137">
                  <c:v>6.5169999999999992E-2</c:v>
                </c:pt>
                <c:pt idx="138">
                  <c:v>5.586E-2</c:v>
                </c:pt>
                <c:pt idx="139">
                  <c:v>4.9490000000000006E-2</c:v>
                </c:pt>
                <c:pt idx="140">
                  <c:v>4.3120000000000006E-2</c:v>
                </c:pt>
                <c:pt idx="141">
                  <c:v>3.8710000000000001E-2</c:v>
                </c:pt>
                <c:pt idx="142">
                  <c:v>3.4299999999999997E-2</c:v>
                </c:pt>
                <c:pt idx="143">
                  <c:v>3.0379999999999997E-2</c:v>
                </c:pt>
                <c:pt idx="144">
                  <c:v>2.6460000000000001E-2</c:v>
                </c:pt>
                <c:pt idx="145">
                  <c:v>2.4010000000000004E-2</c:v>
                </c:pt>
                <c:pt idx="146">
                  <c:v>2.1560000000000003E-2</c:v>
                </c:pt>
                <c:pt idx="147">
                  <c:v>1.9599999999999999E-2</c:v>
                </c:pt>
                <c:pt idx="148">
                  <c:v>1.7639999999999999E-2</c:v>
                </c:pt>
                <c:pt idx="149">
                  <c:v>1.617E-2</c:v>
                </c:pt>
                <c:pt idx="150">
                  <c:v>1.47E-2</c:v>
                </c:pt>
                <c:pt idx="151">
                  <c:v>1.372E-2</c:v>
                </c:pt>
                <c:pt idx="152">
                  <c:v>1.274E-2</c:v>
                </c:pt>
                <c:pt idx="153">
                  <c:v>1.1269999999999999E-2</c:v>
                </c:pt>
                <c:pt idx="154">
                  <c:v>9.7999999999999997E-3</c:v>
                </c:pt>
                <c:pt idx="155">
                  <c:v>8.3299999999999989E-3</c:v>
                </c:pt>
                <c:pt idx="156">
                  <c:v>6.8599999999999989E-3</c:v>
                </c:pt>
                <c:pt idx="157">
                  <c:v>4.8999999999999998E-3</c:v>
                </c:pt>
                <c:pt idx="158">
                  <c:v>2.9399999999999999E-3</c:v>
                </c:pt>
                <c:pt idx="159">
                  <c:v>1.47E-3</c:v>
                </c:pt>
                <c:pt idx="16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F260-41B8-B583-F628B8874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4824163"/>
        <c:axId val="1450776274"/>
      </c:lineChart>
      <c:catAx>
        <c:axId val="7848241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de-DE" b="0">
                    <a:solidFill>
                      <a:srgbClr val="000000"/>
                    </a:solidFill>
                    <a:latin typeface="+mn-lt"/>
                  </a:rPr>
                  <a:t>Distance</a:t>
                </a:r>
              </a:p>
            </c:rich>
          </c:tx>
          <c:overlay val="0"/>
        </c:title>
        <c:numFmt formatCode="0.0\ &quot;mm&quot;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1450776274"/>
        <c:crosses val="autoZero"/>
        <c:auto val="1"/>
        <c:lblAlgn val="ctr"/>
        <c:lblOffset val="100"/>
        <c:noMultiLvlLbl val="1"/>
      </c:catAx>
      <c:valAx>
        <c:axId val="145077627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de-DE" b="0">
                    <a:solidFill>
                      <a:srgbClr val="000000"/>
                    </a:solidFill>
                    <a:latin typeface="+mn-lt"/>
                  </a:rPr>
                  <a:t>Force</a:t>
                </a:r>
              </a:p>
            </c:rich>
          </c:tx>
          <c:overlay val="0"/>
        </c:title>
        <c:numFmt formatCode="0.000\ &quot;N&quot;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78482416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de-DE" b="0">
                <a:solidFill>
                  <a:srgbClr val="757575"/>
                </a:solidFill>
                <a:latin typeface="+mn-lt"/>
              </a:rPr>
              <a:t>Coil Inductance vs Projectile Distance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50mm Projectile</c:v>
          </c:tx>
          <c:spPr>
            <a:ln cmpd="sng">
              <a:solidFill>
                <a:srgbClr val="4285F4"/>
              </a:solidFill>
            </a:ln>
          </c:spPr>
          <c:marker>
            <c:symbol val="circle"/>
            <c:size val="2"/>
            <c:spPr>
              <a:solidFill>
                <a:srgbClr val="4285F4"/>
              </a:solidFill>
              <a:ln cmpd="sng">
                <a:solidFill>
                  <a:srgbClr val="4285F4"/>
                </a:solidFill>
              </a:ln>
            </c:spPr>
          </c:marker>
          <c:dPt>
            <c:idx val="25"/>
            <c:marker>
              <c:symbol val="none"/>
            </c:marker>
            <c:bubble3D val="0"/>
            <c:extLst>
              <c:ext xmlns:c16="http://schemas.microsoft.com/office/drawing/2014/chart" uri="{C3380CC4-5D6E-409C-BE32-E72D297353CC}">
                <c16:uniqueId val="{00000000-A520-4EA8-9633-160F1451D59A}"/>
              </c:ext>
            </c:extLst>
          </c:dPt>
          <c:cat>
            <c:numRef>
              <c:f>'Force mapping'!$B$9:$B$167</c:f>
              <c:numCache>
                <c:formatCode>0.0\ "mm"</c:formatCode>
                <c:ptCount val="15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  <c:pt idx="19">
                  <c:v>10.5</c:v>
                </c:pt>
                <c:pt idx="20">
                  <c:v>11</c:v>
                </c:pt>
                <c:pt idx="21">
                  <c:v>11.5</c:v>
                </c:pt>
                <c:pt idx="22">
                  <c:v>12</c:v>
                </c:pt>
                <c:pt idx="23">
                  <c:v>12.5</c:v>
                </c:pt>
                <c:pt idx="24">
                  <c:v>13</c:v>
                </c:pt>
                <c:pt idx="25">
                  <c:v>13.5</c:v>
                </c:pt>
                <c:pt idx="26">
                  <c:v>14</c:v>
                </c:pt>
                <c:pt idx="27">
                  <c:v>14.5</c:v>
                </c:pt>
                <c:pt idx="28">
                  <c:v>15</c:v>
                </c:pt>
                <c:pt idx="29">
                  <c:v>15.5</c:v>
                </c:pt>
                <c:pt idx="30">
                  <c:v>16</c:v>
                </c:pt>
                <c:pt idx="31">
                  <c:v>16.5</c:v>
                </c:pt>
                <c:pt idx="32">
                  <c:v>17</c:v>
                </c:pt>
                <c:pt idx="33">
                  <c:v>17.5</c:v>
                </c:pt>
                <c:pt idx="34">
                  <c:v>18</c:v>
                </c:pt>
                <c:pt idx="35">
                  <c:v>18.5</c:v>
                </c:pt>
                <c:pt idx="36">
                  <c:v>19</c:v>
                </c:pt>
                <c:pt idx="37">
                  <c:v>19.5</c:v>
                </c:pt>
                <c:pt idx="38">
                  <c:v>20</c:v>
                </c:pt>
                <c:pt idx="39">
                  <c:v>20.5</c:v>
                </c:pt>
                <c:pt idx="40">
                  <c:v>21</c:v>
                </c:pt>
                <c:pt idx="41">
                  <c:v>21.5</c:v>
                </c:pt>
                <c:pt idx="42">
                  <c:v>22</c:v>
                </c:pt>
                <c:pt idx="43">
                  <c:v>22.5</c:v>
                </c:pt>
                <c:pt idx="44">
                  <c:v>23</c:v>
                </c:pt>
                <c:pt idx="45">
                  <c:v>23.5</c:v>
                </c:pt>
                <c:pt idx="46">
                  <c:v>24</c:v>
                </c:pt>
                <c:pt idx="47">
                  <c:v>24.5</c:v>
                </c:pt>
                <c:pt idx="48">
                  <c:v>25</c:v>
                </c:pt>
                <c:pt idx="49">
                  <c:v>25.5</c:v>
                </c:pt>
                <c:pt idx="50">
                  <c:v>26</c:v>
                </c:pt>
                <c:pt idx="51">
                  <c:v>26.5</c:v>
                </c:pt>
                <c:pt idx="52">
                  <c:v>27</c:v>
                </c:pt>
                <c:pt idx="53">
                  <c:v>27.5</c:v>
                </c:pt>
                <c:pt idx="54">
                  <c:v>28</c:v>
                </c:pt>
                <c:pt idx="55">
                  <c:v>28.5</c:v>
                </c:pt>
                <c:pt idx="56">
                  <c:v>29</c:v>
                </c:pt>
                <c:pt idx="57">
                  <c:v>29.5</c:v>
                </c:pt>
                <c:pt idx="58">
                  <c:v>30</c:v>
                </c:pt>
                <c:pt idx="59">
                  <c:v>30.5</c:v>
                </c:pt>
                <c:pt idx="60">
                  <c:v>31</c:v>
                </c:pt>
                <c:pt idx="61">
                  <c:v>31.5</c:v>
                </c:pt>
                <c:pt idx="62">
                  <c:v>32</c:v>
                </c:pt>
                <c:pt idx="63">
                  <c:v>32.5</c:v>
                </c:pt>
                <c:pt idx="64">
                  <c:v>33</c:v>
                </c:pt>
                <c:pt idx="65">
                  <c:v>33.5</c:v>
                </c:pt>
                <c:pt idx="66">
                  <c:v>34</c:v>
                </c:pt>
                <c:pt idx="67">
                  <c:v>34.5</c:v>
                </c:pt>
                <c:pt idx="68">
                  <c:v>35</c:v>
                </c:pt>
                <c:pt idx="69">
                  <c:v>35.5</c:v>
                </c:pt>
                <c:pt idx="70">
                  <c:v>36</c:v>
                </c:pt>
                <c:pt idx="71">
                  <c:v>36.5</c:v>
                </c:pt>
                <c:pt idx="72">
                  <c:v>37</c:v>
                </c:pt>
                <c:pt idx="73">
                  <c:v>37.5</c:v>
                </c:pt>
                <c:pt idx="74">
                  <c:v>38</c:v>
                </c:pt>
                <c:pt idx="75">
                  <c:v>38.5</c:v>
                </c:pt>
                <c:pt idx="76">
                  <c:v>39</c:v>
                </c:pt>
                <c:pt idx="77">
                  <c:v>39.5</c:v>
                </c:pt>
                <c:pt idx="78">
                  <c:v>40</c:v>
                </c:pt>
                <c:pt idx="79">
                  <c:v>40.5</c:v>
                </c:pt>
                <c:pt idx="80">
                  <c:v>41</c:v>
                </c:pt>
                <c:pt idx="81">
                  <c:v>41.5</c:v>
                </c:pt>
                <c:pt idx="82">
                  <c:v>42</c:v>
                </c:pt>
                <c:pt idx="83">
                  <c:v>42.5</c:v>
                </c:pt>
                <c:pt idx="84">
                  <c:v>43</c:v>
                </c:pt>
                <c:pt idx="85">
                  <c:v>43.5</c:v>
                </c:pt>
                <c:pt idx="86">
                  <c:v>44</c:v>
                </c:pt>
                <c:pt idx="87">
                  <c:v>44.5</c:v>
                </c:pt>
                <c:pt idx="88">
                  <c:v>45</c:v>
                </c:pt>
                <c:pt idx="89">
                  <c:v>45.5</c:v>
                </c:pt>
                <c:pt idx="90">
                  <c:v>46</c:v>
                </c:pt>
                <c:pt idx="91">
                  <c:v>46.5</c:v>
                </c:pt>
                <c:pt idx="92">
                  <c:v>47</c:v>
                </c:pt>
                <c:pt idx="93">
                  <c:v>47.5</c:v>
                </c:pt>
                <c:pt idx="94">
                  <c:v>48</c:v>
                </c:pt>
                <c:pt idx="95">
                  <c:v>48.5</c:v>
                </c:pt>
                <c:pt idx="96">
                  <c:v>49</c:v>
                </c:pt>
                <c:pt idx="97">
                  <c:v>49.5</c:v>
                </c:pt>
                <c:pt idx="98">
                  <c:v>50</c:v>
                </c:pt>
                <c:pt idx="99">
                  <c:v>50.5</c:v>
                </c:pt>
                <c:pt idx="100">
                  <c:v>51</c:v>
                </c:pt>
                <c:pt idx="101">
                  <c:v>51.5</c:v>
                </c:pt>
                <c:pt idx="102">
                  <c:v>52</c:v>
                </c:pt>
                <c:pt idx="103">
                  <c:v>52.5</c:v>
                </c:pt>
                <c:pt idx="104">
                  <c:v>53</c:v>
                </c:pt>
                <c:pt idx="105">
                  <c:v>53.5</c:v>
                </c:pt>
                <c:pt idx="106">
                  <c:v>54</c:v>
                </c:pt>
                <c:pt idx="107">
                  <c:v>54.5</c:v>
                </c:pt>
                <c:pt idx="108">
                  <c:v>55</c:v>
                </c:pt>
                <c:pt idx="109">
                  <c:v>55.5</c:v>
                </c:pt>
                <c:pt idx="110">
                  <c:v>56</c:v>
                </c:pt>
                <c:pt idx="111">
                  <c:v>56.5</c:v>
                </c:pt>
                <c:pt idx="112">
                  <c:v>57</c:v>
                </c:pt>
                <c:pt idx="113">
                  <c:v>57.5</c:v>
                </c:pt>
                <c:pt idx="114">
                  <c:v>58</c:v>
                </c:pt>
                <c:pt idx="115">
                  <c:v>58.5</c:v>
                </c:pt>
                <c:pt idx="116">
                  <c:v>59</c:v>
                </c:pt>
                <c:pt idx="117">
                  <c:v>59.5</c:v>
                </c:pt>
                <c:pt idx="118">
                  <c:v>60</c:v>
                </c:pt>
                <c:pt idx="119">
                  <c:v>60.5</c:v>
                </c:pt>
                <c:pt idx="120">
                  <c:v>61</c:v>
                </c:pt>
                <c:pt idx="121">
                  <c:v>61.5</c:v>
                </c:pt>
                <c:pt idx="122">
                  <c:v>62</c:v>
                </c:pt>
                <c:pt idx="123">
                  <c:v>62.5</c:v>
                </c:pt>
                <c:pt idx="124">
                  <c:v>63</c:v>
                </c:pt>
                <c:pt idx="125">
                  <c:v>63.5</c:v>
                </c:pt>
                <c:pt idx="126">
                  <c:v>64</c:v>
                </c:pt>
                <c:pt idx="127">
                  <c:v>64.5</c:v>
                </c:pt>
                <c:pt idx="128">
                  <c:v>65</c:v>
                </c:pt>
                <c:pt idx="129">
                  <c:v>65.5</c:v>
                </c:pt>
                <c:pt idx="130">
                  <c:v>66</c:v>
                </c:pt>
                <c:pt idx="131">
                  <c:v>66.5</c:v>
                </c:pt>
                <c:pt idx="132">
                  <c:v>67</c:v>
                </c:pt>
                <c:pt idx="133">
                  <c:v>67.5</c:v>
                </c:pt>
                <c:pt idx="134">
                  <c:v>68</c:v>
                </c:pt>
                <c:pt idx="135">
                  <c:v>68.5</c:v>
                </c:pt>
                <c:pt idx="136">
                  <c:v>69</c:v>
                </c:pt>
                <c:pt idx="137">
                  <c:v>69.5</c:v>
                </c:pt>
                <c:pt idx="138">
                  <c:v>70</c:v>
                </c:pt>
                <c:pt idx="139">
                  <c:v>70.5</c:v>
                </c:pt>
                <c:pt idx="140">
                  <c:v>71</c:v>
                </c:pt>
                <c:pt idx="141">
                  <c:v>71.5</c:v>
                </c:pt>
                <c:pt idx="142">
                  <c:v>72</c:v>
                </c:pt>
                <c:pt idx="143">
                  <c:v>72.5</c:v>
                </c:pt>
                <c:pt idx="144">
                  <c:v>73</c:v>
                </c:pt>
                <c:pt idx="145">
                  <c:v>73.5</c:v>
                </c:pt>
                <c:pt idx="146">
                  <c:v>74</c:v>
                </c:pt>
                <c:pt idx="147">
                  <c:v>74.5</c:v>
                </c:pt>
                <c:pt idx="148">
                  <c:v>75</c:v>
                </c:pt>
                <c:pt idx="149">
                  <c:v>75.5</c:v>
                </c:pt>
                <c:pt idx="150">
                  <c:v>76</c:v>
                </c:pt>
                <c:pt idx="151">
                  <c:v>76.5</c:v>
                </c:pt>
                <c:pt idx="152">
                  <c:v>77</c:v>
                </c:pt>
                <c:pt idx="153">
                  <c:v>77.5</c:v>
                </c:pt>
                <c:pt idx="154">
                  <c:v>78</c:v>
                </c:pt>
                <c:pt idx="155">
                  <c:v>78.5</c:v>
                </c:pt>
                <c:pt idx="156">
                  <c:v>79</c:v>
                </c:pt>
                <c:pt idx="157">
                  <c:v>79.5</c:v>
                </c:pt>
                <c:pt idx="158">
                  <c:v>80</c:v>
                </c:pt>
              </c:numCache>
            </c:numRef>
          </c:cat>
          <c:val>
            <c:numRef>
              <c:f>'Force mapping'!$F$9:$F$167</c:f>
              <c:numCache>
                <c:formatCode>"x"\ 0.000</c:formatCode>
                <c:ptCount val="159"/>
                <c:pt idx="0">
                  <c:v>4.2164179104477615</c:v>
                </c:pt>
                <c:pt idx="1">
                  <c:v>4.2070895522388057</c:v>
                </c:pt>
                <c:pt idx="2">
                  <c:v>4.1977611940298507</c:v>
                </c:pt>
                <c:pt idx="3">
                  <c:v>4.1884328358208958</c:v>
                </c:pt>
                <c:pt idx="4">
                  <c:v>4.1791044776119399</c:v>
                </c:pt>
                <c:pt idx="5">
                  <c:v>4.169776119402985</c:v>
                </c:pt>
                <c:pt idx="6">
                  <c:v>4.16044776119403</c:v>
                </c:pt>
                <c:pt idx="7">
                  <c:v>4.1417910447761201</c:v>
                </c:pt>
                <c:pt idx="8">
                  <c:v>4.1231343283582094</c:v>
                </c:pt>
                <c:pt idx="9">
                  <c:v>4.0951492537313436</c:v>
                </c:pt>
                <c:pt idx="10">
                  <c:v>4.0671641791044779</c:v>
                </c:pt>
                <c:pt idx="11">
                  <c:v>4.0485074626865671</c:v>
                </c:pt>
                <c:pt idx="12">
                  <c:v>4.0298507462686564</c:v>
                </c:pt>
                <c:pt idx="13">
                  <c:v>3.9925373134328357</c:v>
                </c:pt>
                <c:pt idx="14">
                  <c:v>3.955223880597015</c:v>
                </c:pt>
                <c:pt idx="15">
                  <c:v>3.9179104477611943</c:v>
                </c:pt>
                <c:pt idx="16">
                  <c:v>3.8805970149253732</c:v>
                </c:pt>
                <c:pt idx="17">
                  <c:v>3.8432835820895521</c:v>
                </c:pt>
                <c:pt idx="18">
                  <c:v>3.8059701492537314</c:v>
                </c:pt>
                <c:pt idx="19">
                  <c:v>3.7593283582089549</c:v>
                </c:pt>
                <c:pt idx="20">
                  <c:v>3.7126865671641789</c:v>
                </c:pt>
                <c:pt idx="21">
                  <c:v>3.6912313432835822</c:v>
                </c:pt>
                <c:pt idx="22">
                  <c:v>3.669776119402985</c:v>
                </c:pt>
                <c:pt idx="23">
                  <c:v>3.6100746268656714</c:v>
                </c:pt>
                <c:pt idx="24">
                  <c:v>3.5503731343283582</c:v>
                </c:pt>
                <c:pt idx="25">
                  <c:v>3.4897388059701493</c:v>
                </c:pt>
                <c:pt idx="26">
                  <c:v>3.4291044776119404</c:v>
                </c:pt>
                <c:pt idx="27">
                  <c:v>3.3684701492537314</c:v>
                </c:pt>
                <c:pt idx="28">
                  <c:v>3.3078358208955225</c:v>
                </c:pt>
                <c:pt idx="29">
                  <c:v>3.2406716417910451</c:v>
                </c:pt>
                <c:pt idx="30">
                  <c:v>3.1735074626865671</c:v>
                </c:pt>
                <c:pt idx="31">
                  <c:v>3.1035447761194028</c:v>
                </c:pt>
                <c:pt idx="32">
                  <c:v>3.033582089552239</c:v>
                </c:pt>
                <c:pt idx="33">
                  <c:v>2.9664179104477615</c:v>
                </c:pt>
                <c:pt idx="34">
                  <c:v>2.8992537313432836</c:v>
                </c:pt>
                <c:pt idx="35">
                  <c:v>2.8358208955223878</c:v>
                </c:pt>
                <c:pt idx="36">
                  <c:v>2.7723880597014925</c:v>
                </c:pt>
                <c:pt idx="37">
                  <c:v>2.705223880597015</c:v>
                </c:pt>
                <c:pt idx="38">
                  <c:v>2.6380597014925371</c:v>
                </c:pt>
                <c:pt idx="39">
                  <c:v>2.5662313432835822</c:v>
                </c:pt>
                <c:pt idx="40">
                  <c:v>2.4944029850746268</c:v>
                </c:pt>
                <c:pt idx="41">
                  <c:v>2.4281716417910451</c:v>
                </c:pt>
                <c:pt idx="42">
                  <c:v>2.3619402985074629</c:v>
                </c:pt>
                <c:pt idx="43">
                  <c:v>2.3050373134328357</c:v>
                </c:pt>
                <c:pt idx="44">
                  <c:v>2.2481343283582089</c:v>
                </c:pt>
                <c:pt idx="45">
                  <c:v>2.1856343283582089</c:v>
                </c:pt>
                <c:pt idx="46">
                  <c:v>2.1231343283582089</c:v>
                </c:pt>
                <c:pt idx="47">
                  <c:v>2.0634328358208958</c:v>
                </c:pt>
                <c:pt idx="48">
                  <c:v>2.0037313432835822</c:v>
                </c:pt>
                <c:pt idx="49">
                  <c:v>1.9468283582089554</c:v>
                </c:pt>
                <c:pt idx="50">
                  <c:v>1.8899253731343284</c:v>
                </c:pt>
                <c:pt idx="51">
                  <c:v>1.8404850746268657</c:v>
                </c:pt>
                <c:pt idx="52">
                  <c:v>1.791044776119403</c:v>
                </c:pt>
                <c:pt idx="53">
                  <c:v>1.7406716417910448</c:v>
                </c:pt>
                <c:pt idx="54">
                  <c:v>1.6902985074626866</c:v>
                </c:pt>
                <c:pt idx="55">
                  <c:v>1.6408582089552239</c:v>
                </c:pt>
                <c:pt idx="56">
                  <c:v>1.5914179104477613</c:v>
                </c:pt>
                <c:pt idx="57">
                  <c:v>1.5475746268656718</c:v>
                </c:pt>
                <c:pt idx="58">
                  <c:v>1.5037313432835822</c:v>
                </c:pt>
                <c:pt idx="59">
                  <c:v>1.4654850746268657</c:v>
                </c:pt>
                <c:pt idx="60">
                  <c:v>1.4272388059701493</c:v>
                </c:pt>
                <c:pt idx="61">
                  <c:v>1.3908582089552239</c:v>
                </c:pt>
                <c:pt idx="62">
                  <c:v>1.3544776119402986</c:v>
                </c:pt>
                <c:pt idx="63">
                  <c:v>1.3199626865671643</c:v>
                </c:pt>
                <c:pt idx="64">
                  <c:v>1.2854477611940298</c:v>
                </c:pt>
                <c:pt idx="65">
                  <c:v>1.2565298507462686</c:v>
                </c:pt>
                <c:pt idx="66">
                  <c:v>1.2276119402985075</c:v>
                </c:pt>
                <c:pt idx="67">
                  <c:v>1.2033582089552239</c:v>
                </c:pt>
                <c:pt idx="68">
                  <c:v>1.1791044776119404</c:v>
                </c:pt>
                <c:pt idx="69">
                  <c:v>1.1576492537313432</c:v>
                </c:pt>
                <c:pt idx="70">
                  <c:v>1.1361940298507462</c:v>
                </c:pt>
                <c:pt idx="71">
                  <c:v>1.1184701492537314</c:v>
                </c:pt>
                <c:pt idx="72">
                  <c:v>1.1007462686567164</c:v>
                </c:pt>
                <c:pt idx="73">
                  <c:v>1.0876865671641791</c:v>
                </c:pt>
                <c:pt idx="74">
                  <c:v>1.0746268656716418</c:v>
                </c:pt>
                <c:pt idx="75">
                  <c:v>1.0643656716417911</c:v>
                </c:pt>
                <c:pt idx="76">
                  <c:v>1.0541044776119404</c:v>
                </c:pt>
                <c:pt idx="77">
                  <c:v>1.0475746268656718</c:v>
                </c:pt>
                <c:pt idx="78">
                  <c:v>1.041044776119403</c:v>
                </c:pt>
                <c:pt idx="79">
                  <c:v>1.03544776119403</c:v>
                </c:pt>
                <c:pt idx="80">
                  <c:v>1.0298507462686568</c:v>
                </c:pt>
                <c:pt idx="81">
                  <c:v>1.0261194029850746</c:v>
                </c:pt>
                <c:pt idx="82">
                  <c:v>1.0223880597014925</c:v>
                </c:pt>
                <c:pt idx="83">
                  <c:v>1.0205223880597014</c:v>
                </c:pt>
                <c:pt idx="84">
                  <c:v>1.0186567164179106</c:v>
                </c:pt>
                <c:pt idx="85">
                  <c:v>1.0167910447761195</c:v>
                </c:pt>
                <c:pt idx="86">
                  <c:v>1.0149253731343284</c:v>
                </c:pt>
                <c:pt idx="87">
                  <c:v>1.0139925373134329</c:v>
                </c:pt>
                <c:pt idx="88">
                  <c:v>1.0130597014925373</c:v>
                </c:pt>
                <c:pt idx="89">
                  <c:v>1.0121268656716418</c:v>
                </c:pt>
                <c:pt idx="90">
                  <c:v>1.0111940298507462</c:v>
                </c:pt>
                <c:pt idx="91">
                  <c:v>1.0102611940298507</c:v>
                </c:pt>
                <c:pt idx="92">
                  <c:v>1.0093283582089552</c:v>
                </c:pt>
                <c:pt idx="93">
                  <c:v>1.0083955223880596</c:v>
                </c:pt>
                <c:pt idx="94">
                  <c:v>1.0074626865671641</c:v>
                </c:pt>
                <c:pt idx="95">
                  <c:v>1.0074626865671641</c:v>
                </c:pt>
                <c:pt idx="96">
                  <c:v>1.0074626865671641</c:v>
                </c:pt>
                <c:pt idx="97">
                  <c:v>1.0074626865671641</c:v>
                </c:pt>
                <c:pt idx="98">
                  <c:v>1.0074626865671641</c:v>
                </c:pt>
                <c:pt idx="99">
                  <c:v>1.0065298507462686</c:v>
                </c:pt>
                <c:pt idx="100">
                  <c:v>1.0055970149253732</c:v>
                </c:pt>
                <c:pt idx="101">
                  <c:v>1.0055970149253732</c:v>
                </c:pt>
                <c:pt idx="102">
                  <c:v>1.0055970149253732</c:v>
                </c:pt>
                <c:pt idx="103">
                  <c:v>1.0046641791044777</c:v>
                </c:pt>
                <c:pt idx="104">
                  <c:v>1.0037313432835822</c:v>
                </c:pt>
                <c:pt idx="105">
                  <c:v>1.0037313432835822</c:v>
                </c:pt>
                <c:pt idx="106">
                  <c:v>1.0037313432835822</c:v>
                </c:pt>
                <c:pt idx="107">
                  <c:v>1.0027985074626866</c:v>
                </c:pt>
                <c:pt idx="108">
                  <c:v>1.0018656716417911</c:v>
                </c:pt>
                <c:pt idx="109">
                  <c:v>1.0018656716417911</c:v>
                </c:pt>
                <c:pt idx="110">
                  <c:v>1.0018656716417911</c:v>
                </c:pt>
                <c:pt idx="111">
                  <c:v>1.0009328358208955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520-4EA8-9633-160F1451D59A}"/>
            </c:ext>
          </c:extLst>
        </c:ser>
        <c:ser>
          <c:idx val="1"/>
          <c:order val="1"/>
          <c:tx>
            <c:v>100mm Projectile</c:v>
          </c:tx>
          <c:spPr>
            <a:ln cmpd="sng">
              <a:solidFill>
                <a:srgbClr val="EA4335"/>
              </a:solidFill>
            </a:ln>
          </c:spPr>
          <c:marker>
            <c:symbol val="circle"/>
            <c:size val="2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trendline>
            <c:spPr>
              <a:ln w="19050">
                <a:solidFill>
                  <a:srgbClr val="000000"/>
                </a:solidFill>
              </a:ln>
            </c:spPr>
            <c:trendlineType val="exp"/>
            <c:dispRSqr val="1"/>
            <c:dispEq val="1"/>
            <c:trendlineLbl>
              <c:numFmt formatCode="General" sourceLinked="0"/>
            </c:trendlineLbl>
          </c:trendline>
          <c:cat>
            <c:numRef>
              <c:f>'Force mapping'!$B$9:$B$167</c:f>
              <c:numCache>
                <c:formatCode>0.0\ "mm"</c:formatCode>
                <c:ptCount val="159"/>
                <c:pt idx="0">
                  <c:v>1</c:v>
                </c:pt>
                <c:pt idx="1">
                  <c:v>1.5</c:v>
                </c:pt>
                <c:pt idx="2">
                  <c:v>2</c:v>
                </c:pt>
                <c:pt idx="3">
                  <c:v>2.5</c:v>
                </c:pt>
                <c:pt idx="4">
                  <c:v>3</c:v>
                </c:pt>
                <c:pt idx="5">
                  <c:v>3.5</c:v>
                </c:pt>
                <c:pt idx="6">
                  <c:v>4</c:v>
                </c:pt>
                <c:pt idx="7">
                  <c:v>4.5</c:v>
                </c:pt>
                <c:pt idx="8">
                  <c:v>5</c:v>
                </c:pt>
                <c:pt idx="9">
                  <c:v>5.5</c:v>
                </c:pt>
                <c:pt idx="10">
                  <c:v>6</c:v>
                </c:pt>
                <c:pt idx="11">
                  <c:v>6.5</c:v>
                </c:pt>
                <c:pt idx="12">
                  <c:v>7</c:v>
                </c:pt>
                <c:pt idx="13">
                  <c:v>7.5</c:v>
                </c:pt>
                <c:pt idx="14">
                  <c:v>8</c:v>
                </c:pt>
                <c:pt idx="15">
                  <c:v>8.5</c:v>
                </c:pt>
                <c:pt idx="16">
                  <c:v>9</c:v>
                </c:pt>
                <c:pt idx="17">
                  <c:v>9.5</c:v>
                </c:pt>
                <c:pt idx="18">
                  <c:v>10</c:v>
                </c:pt>
                <c:pt idx="19">
                  <c:v>10.5</c:v>
                </c:pt>
                <c:pt idx="20">
                  <c:v>11</c:v>
                </c:pt>
                <c:pt idx="21">
                  <c:v>11.5</c:v>
                </c:pt>
                <c:pt idx="22">
                  <c:v>12</c:v>
                </c:pt>
                <c:pt idx="23">
                  <c:v>12.5</c:v>
                </c:pt>
                <c:pt idx="24">
                  <c:v>13</c:v>
                </c:pt>
                <c:pt idx="25">
                  <c:v>13.5</c:v>
                </c:pt>
                <c:pt idx="26">
                  <c:v>14</c:v>
                </c:pt>
                <c:pt idx="27">
                  <c:v>14.5</c:v>
                </c:pt>
                <c:pt idx="28">
                  <c:v>15</c:v>
                </c:pt>
                <c:pt idx="29">
                  <c:v>15.5</c:v>
                </c:pt>
                <c:pt idx="30">
                  <c:v>16</c:v>
                </c:pt>
                <c:pt idx="31">
                  <c:v>16.5</c:v>
                </c:pt>
                <c:pt idx="32">
                  <c:v>17</c:v>
                </c:pt>
                <c:pt idx="33">
                  <c:v>17.5</c:v>
                </c:pt>
                <c:pt idx="34">
                  <c:v>18</c:v>
                </c:pt>
                <c:pt idx="35">
                  <c:v>18.5</c:v>
                </c:pt>
                <c:pt idx="36">
                  <c:v>19</c:v>
                </c:pt>
                <c:pt idx="37">
                  <c:v>19.5</c:v>
                </c:pt>
                <c:pt idx="38">
                  <c:v>20</c:v>
                </c:pt>
                <c:pt idx="39">
                  <c:v>20.5</c:v>
                </c:pt>
                <c:pt idx="40">
                  <c:v>21</c:v>
                </c:pt>
                <c:pt idx="41">
                  <c:v>21.5</c:v>
                </c:pt>
                <c:pt idx="42">
                  <c:v>22</c:v>
                </c:pt>
                <c:pt idx="43">
                  <c:v>22.5</c:v>
                </c:pt>
                <c:pt idx="44">
                  <c:v>23</c:v>
                </c:pt>
                <c:pt idx="45">
                  <c:v>23.5</c:v>
                </c:pt>
                <c:pt idx="46">
                  <c:v>24</c:v>
                </c:pt>
                <c:pt idx="47">
                  <c:v>24.5</c:v>
                </c:pt>
                <c:pt idx="48">
                  <c:v>25</c:v>
                </c:pt>
                <c:pt idx="49">
                  <c:v>25.5</c:v>
                </c:pt>
                <c:pt idx="50">
                  <c:v>26</c:v>
                </c:pt>
                <c:pt idx="51">
                  <c:v>26.5</c:v>
                </c:pt>
                <c:pt idx="52">
                  <c:v>27</c:v>
                </c:pt>
                <c:pt idx="53">
                  <c:v>27.5</c:v>
                </c:pt>
                <c:pt idx="54">
                  <c:v>28</c:v>
                </c:pt>
                <c:pt idx="55">
                  <c:v>28.5</c:v>
                </c:pt>
                <c:pt idx="56">
                  <c:v>29</c:v>
                </c:pt>
                <c:pt idx="57">
                  <c:v>29.5</c:v>
                </c:pt>
                <c:pt idx="58">
                  <c:v>30</c:v>
                </c:pt>
                <c:pt idx="59">
                  <c:v>30.5</c:v>
                </c:pt>
                <c:pt idx="60">
                  <c:v>31</c:v>
                </c:pt>
                <c:pt idx="61">
                  <c:v>31.5</c:v>
                </c:pt>
                <c:pt idx="62">
                  <c:v>32</c:v>
                </c:pt>
                <c:pt idx="63">
                  <c:v>32.5</c:v>
                </c:pt>
                <c:pt idx="64">
                  <c:v>33</c:v>
                </c:pt>
                <c:pt idx="65">
                  <c:v>33.5</c:v>
                </c:pt>
                <c:pt idx="66">
                  <c:v>34</c:v>
                </c:pt>
                <c:pt idx="67">
                  <c:v>34.5</c:v>
                </c:pt>
                <c:pt idx="68">
                  <c:v>35</c:v>
                </c:pt>
                <c:pt idx="69">
                  <c:v>35.5</c:v>
                </c:pt>
                <c:pt idx="70">
                  <c:v>36</c:v>
                </c:pt>
                <c:pt idx="71">
                  <c:v>36.5</c:v>
                </c:pt>
                <c:pt idx="72">
                  <c:v>37</c:v>
                </c:pt>
                <c:pt idx="73">
                  <c:v>37.5</c:v>
                </c:pt>
                <c:pt idx="74">
                  <c:v>38</c:v>
                </c:pt>
                <c:pt idx="75">
                  <c:v>38.5</c:v>
                </c:pt>
                <c:pt idx="76">
                  <c:v>39</c:v>
                </c:pt>
                <c:pt idx="77">
                  <c:v>39.5</c:v>
                </c:pt>
                <c:pt idx="78">
                  <c:v>40</c:v>
                </c:pt>
                <c:pt idx="79">
                  <c:v>40.5</c:v>
                </c:pt>
                <c:pt idx="80">
                  <c:v>41</c:v>
                </c:pt>
                <c:pt idx="81">
                  <c:v>41.5</c:v>
                </c:pt>
                <c:pt idx="82">
                  <c:v>42</c:v>
                </c:pt>
                <c:pt idx="83">
                  <c:v>42.5</c:v>
                </c:pt>
                <c:pt idx="84">
                  <c:v>43</c:v>
                </c:pt>
                <c:pt idx="85">
                  <c:v>43.5</c:v>
                </c:pt>
                <c:pt idx="86">
                  <c:v>44</c:v>
                </c:pt>
                <c:pt idx="87">
                  <c:v>44.5</c:v>
                </c:pt>
                <c:pt idx="88">
                  <c:v>45</c:v>
                </c:pt>
                <c:pt idx="89">
                  <c:v>45.5</c:v>
                </c:pt>
                <c:pt idx="90">
                  <c:v>46</c:v>
                </c:pt>
                <c:pt idx="91">
                  <c:v>46.5</c:v>
                </c:pt>
                <c:pt idx="92">
                  <c:v>47</c:v>
                </c:pt>
                <c:pt idx="93">
                  <c:v>47.5</c:v>
                </c:pt>
                <c:pt idx="94">
                  <c:v>48</c:v>
                </c:pt>
                <c:pt idx="95">
                  <c:v>48.5</c:v>
                </c:pt>
                <c:pt idx="96">
                  <c:v>49</c:v>
                </c:pt>
                <c:pt idx="97">
                  <c:v>49.5</c:v>
                </c:pt>
                <c:pt idx="98">
                  <c:v>50</c:v>
                </c:pt>
                <c:pt idx="99">
                  <c:v>50.5</c:v>
                </c:pt>
                <c:pt idx="100">
                  <c:v>51</c:v>
                </c:pt>
                <c:pt idx="101">
                  <c:v>51.5</c:v>
                </c:pt>
                <c:pt idx="102">
                  <c:v>52</c:v>
                </c:pt>
                <c:pt idx="103">
                  <c:v>52.5</c:v>
                </c:pt>
                <c:pt idx="104">
                  <c:v>53</c:v>
                </c:pt>
                <c:pt idx="105">
                  <c:v>53.5</c:v>
                </c:pt>
                <c:pt idx="106">
                  <c:v>54</c:v>
                </c:pt>
                <c:pt idx="107">
                  <c:v>54.5</c:v>
                </c:pt>
                <c:pt idx="108">
                  <c:v>55</c:v>
                </c:pt>
                <c:pt idx="109">
                  <c:v>55.5</c:v>
                </c:pt>
                <c:pt idx="110">
                  <c:v>56</c:v>
                </c:pt>
                <c:pt idx="111">
                  <c:v>56.5</c:v>
                </c:pt>
                <c:pt idx="112">
                  <c:v>57</c:v>
                </c:pt>
                <c:pt idx="113">
                  <c:v>57.5</c:v>
                </c:pt>
                <c:pt idx="114">
                  <c:v>58</c:v>
                </c:pt>
                <c:pt idx="115">
                  <c:v>58.5</c:v>
                </c:pt>
                <c:pt idx="116">
                  <c:v>59</c:v>
                </c:pt>
                <c:pt idx="117">
                  <c:v>59.5</c:v>
                </c:pt>
                <c:pt idx="118">
                  <c:v>60</c:v>
                </c:pt>
                <c:pt idx="119">
                  <c:v>60.5</c:v>
                </c:pt>
                <c:pt idx="120">
                  <c:v>61</c:v>
                </c:pt>
                <c:pt idx="121">
                  <c:v>61.5</c:v>
                </c:pt>
                <c:pt idx="122">
                  <c:v>62</c:v>
                </c:pt>
                <c:pt idx="123">
                  <c:v>62.5</c:v>
                </c:pt>
                <c:pt idx="124">
                  <c:v>63</c:v>
                </c:pt>
                <c:pt idx="125">
                  <c:v>63.5</c:v>
                </c:pt>
                <c:pt idx="126">
                  <c:v>64</c:v>
                </c:pt>
                <c:pt idx="127">
                  <c:v>64.5</c:v>
                </c:pt>
                <c:pt idx="128">
                  <c:v>65</c:v>
                </c:pt>
                <c:pt idx="129">
                  <c:v>65.5</c:v>
                </c:pt>
                <c:pt idx="130">
                  <c:v>66</c:v>
                </c:pt>
                <c:pt idx="131">
                  <c:v>66.5</c:v>
                </c:pt>
                <c:pt idx="132">
                  <c:v>67</c:v>
                </c:pt>
                <c:pt idx="133">
                  <c:v>67.5</c:v>
                </c:pt>
                <c:pt idx="134">
                  <c:v>68</c:v>
                </c:pt>
                <c:pt idx="135">
                  <c:v>68.5</c:v>
                </c:pt>
                <c:pt idx="136">
                  <c:v>69</c:v>
                </c:pt>
                <c:pt idx="137">
                  <c:v>69.5</c:v>
                </c:pt>
                <c:pt idx="138">
                  <c:v>70</c:v>
                </c:pt>
                <c:pt idx="139">
                  <c:v>70.5</c:v>
                </c:pt>
                <c:pt idx="140">
                  <c:v>71</c:v>
                </c:pt>
                <c:pt idx="141">
                  <c:v>71.5</c:v>
                </c:pt>
                <c:pt idx="142">
                  <c:v>72</c:v>
                </c:pt>
                <c:pt idx="143">
                  <c:v>72.5</c:v>
                </c:pt>
                <c:pt idx="144">
                  <c:v>73</c:v>
                </c:pt>
                <c:pt idx="145">
                  <c:v>73.5</c:v>
                </c:pt>
                <c:pt idx="146">
                  <c:v>74</c:v>
                </c:pt>
                <c:pt idx="147">
                  <c:v>74.5</c:v>
                </c:pt>
                <c:pt idx="148">
                  <c:v>75</c:v>
                </c:pt>
                <c:pt idx="149">
                  <c:v>75.5</c:v>
                </c:pt>
                <c:pt idx="150">
                  <c:v>76</c:v>
                </c:pt>
                <c:pt idx="151">
                  <c:v>76.5</c:v>
                </c:pt>
                <c:pt idx="152">
                  <c:v>77</c:v>
                </c:pt>
                <c:pt idx="153">
                  <c:v>77.5</c:v>
                </c:pt>
                <c:pt idx="154">
                  <c:v>78</c:v>
                </c:pt>
                <c:pt idx="155">
                  <c:v>78.5</c:v>
                </c:pt>
                <c:pt idx="156">
                  <c:v>79</c:v>
                </c:pt>
                <c:pt idx="157">
                  <c:v>79.5</c:v>
                </c:pt>
                <c:pt idx="158">
                  <c:v>80</c:v>
                </c:pt>
              </c:numCache>
            </c:numRef>
          </c:cat>
          <c:val>
            <c:numRef>
              <c:f>'Force mapping'!$K$9:$K$167</c:f>
              <c:numCache>
                <c:formatCode>"x"\ 0.000</c:formatCode>
                <c:ptCount val="159"/>
                <c:pt idx="0">
                  <c:v>4.6641791044776122</c:v>
                </c:pt>
                <c:pt idx="1">
                  <c:v>4.6641791044776122</c:v>
                </c:pt>
                <c:pt idx="2">
                  <c:v>4.6641791044776122</c:v>
                </c:pt>
                <c:pt idx="3">
                  <c:v>4.6641791044776122</c:v>
                </c:pt>
                <c:pt idx="4">
                  <c:v>4.6641791044776122</c:v>
                </c:pt>
                <c:pt idx="5">
                  <c:v>4.6735074626865671</c:v>
                </c:pt>
                <c:pt idx="6">
                  <c:v>4.6828358208955221</c:v>
                </c:pt>
                <c:pt idx="7">
                  <c:v>4.6828358208955221</c:v>
                </c:pt>
                <c:pt idx="8">
                  <c:v>4.6828358208955221</c:v>
                </c:pt>
                <c:pt idx="9">
                  <c:v>4.692164179104477</c:v>
                </c:pt>
                <c:pt idx="10">
                  <c:v>4.7014925373134329</c:v>
                </c:pt>
                <c:pt idx="11">
                  <c:v>4.7014925373134329</c:v>
                </c:pt>
                <c:pt idx="12">
                  <c:v>4.7014925373134329</c:v>
                </c:pt>
                <c:pt idx="13">
                  <c:v>4.692164179104477</c:v>
                </c:pt>
                <c:pt idx="14">
                  <c:v>4.6828358208955221</c:v>
                </c:pt>
                <c:pt idx="15">
                  <c:v>4.6828358208955221</c:v>
                </c:pt>
                <c:pt idx="16">
                  <c:v>4.6828358208955221</c:v>
                </c:pt>
                <c:pt idx="17">
                  <c:v>4.6828358208955221</c:v>
                </c:pt>
                <c:pt idx="18">
                  <c:v>4.6828358208955221</c:v>
                </c:pt>
                <c:pt idx="19">
                  <c:v>4.6828358208955221</c:v>
                </c:pt>
                <c:pt idx="20">
                  <c:v>4.6828358208955221</c:v>
                </c:pt>
                <c:pt idx="21">
                  <c:v>4.6735074626865671</c:v>
                </c:pt>
                <c:pt idx="22">
                  <c:v>4.6641791044776122</c:v>
                </c:pt>
                <c:pt idx="23">
                  <c:v>4.6641791044776122</c:v>
                </c:pt>
                <c:pt idx="24">
                  <c:v>4.6641791044776122</c:v>
                </c:pt>
                <c:pt idx="25">
                  <c:v>4.6641791044776122</c:v>
                </c:pt>
                <c:pt idx="26">
                  <c:v>4.6641791044776122</c:v>
                </c:pt>
                <c:pt idx="27">
                  <c:v>4.6641791044776122</c:v>
                </c:pt>
                <c:pt idx="28">
                  <c:v>4.6641791044776122</c:v>
                </c:pt>
                <c:pt idx="29">
                  <c:v>4.6641791044776122</c:v>
                </c:pt>
                <c:pt idx="30">
                  <c:v>4.6641791044776122</c:v>
                </c:pt>
                <c:pt idx="31">
                  <c:v>4.6548507462686572</c:v>
                </c:pt>
                <c:pt idx="32">
                  <c:v>4.6455223880597014</c:v>
                </c:pt>
                <c:pt idx="33">
                  <c:v>4.6455223880597014</c:v>
                </c:pt>
                <c:pt idx="34">
                  <c:v>4.6455223880597014</c:v>
                </c:pt>
                <c:pt idx="35">
                  <c:v>4.6361940298507456</c:v>
                </c:pt>
                <c:pt idx="36">
                  <c:v>4.6268656716417906</c:v>
                </c:pt>
                <c:pt idx="37">
                  <c:v>4.6268656716417906</c:v>
                </c:pt>
                <c:pt idx="38">
                  <c:v>4.6268656716417906</c:v>
                </c:pt>
                <c:pt idx="39">
                  <c:v>4.6175373134328357</c:v>
                </c:pt>
                <c:pt idx="40">
                  <c:v>4.6082089552238807</c:v>
                </c:pt>
                <c:pt idx="41">
                  <c:v>4.6082089552238807</c:v>
                </c:pt>
                <c:pt idx="42">
                  <c:v>4.6082089552238807</c:v>
                </c:pt>
                <c:pt idx="43">
                  <c:v>4.58955223880597</c:v>
                </c:pt>
                <c:pt idx="44">
                  <c:v>4.5708955223880601</c:v>
                </c:pt>
                <c:pt idx="45">
                  <c:v>4.5615671641791042</c:v>
                </c:pt>
                <c:pt idx="46">
                  <c:v>4.5522388059701493</c:v>
                </c:pt>
                <c:pt idx="47">
                  <c:v>4.5335820895522385</c:v>
                </c:pt>
                <c:pt idx="48">
                  <c:v>4.5149253731343286</c:v>
                </c:pt>
                <c:pt idx="49">
                  <c:v>4.5149253731343286</c:v>
                </c:pt>
                <c:pt idx="50">
                  <c:v>4.5149253731343286</c:v>
                </c:pt>
                <c:pt idx="51">
                  <c:v>4.4869402985074629</c:v>
                </c:pt>
                <c:pt idx="52">
                  <c:v>4.4589552238805972</c:v>
                </c:pt>
                <c:pt idx="53">
                  <c:v>4.4496268656716413</c:v>
                </c:pt>
                <c:pt idx="54">
                  <c:v>4.4402985074626864</c:v>
                </c:pt>
                <c:pt idx="55">
                  <c:v>4.4029850746268657</c:v>
                </c:pt>
                <c:pt idx="56">
                  <c:v>4.3656716417910451</c:v>
                </c:pt>
                <c:pt idx="57">
                  <c:v>4.3470149253731343</c:v>
                </c:pt>
                <c:pt idx="58">
                  <c:v>4.3283582089552235</c:v>
                </c:pt>
                <c:pt idx="59">
                  <c:v>4.3003731343283587</c:v>
                </c:pt>
                <c:pt idx="60">
                  <c:v>4.2723880597014929</c:v>
                </c:pt>
                <c:pt idx="61">
                  <c:v>4.2350746268656714</c:v>
                </c:pt>
                <c:pt idx="62">
                  <c:v>4.1977611940298507</c:v>
                </c:pt>
                <c:pt idx="63">
                  <c:v>4.169776119402985</c:v>
                </c:pt>
                <c:pt idx="64">
                  <c:v>4.1417910447761193</c:v>
                </c:pt>
                <c:pt idx="65">
                  <c:v>4.1044776119402986</c:v>
                </c:pt>
                <c:pt idx="66">
                  <c:v>4.0671641791044779</c:v>
                </c:pt>
                <c:pt idx="67">
                  <c:v>4.0111940298507465</c:v>
                </c:pt>
                <c:pt idx="68">
                  <c:v>3.955223880597015</c:v>
                </c:pt>
                <c:pt idx="69">
                  <c:v>3.8992537313432836</c:v>
                </c:pt>
                <c:pt idx="70">
                  <c:v>3.8432835820895521</c:v>
                </c:pt>
                <c:pt idx="71">
                  <c:v>3.7779850746268657</c:v>
                </c:pt>
                <c:pt idx="72">
                  <c:v>3.7126865671641789</c:v>
                </c:pt>
                <c:pt idx="73">
                  <c:v>3.6819029850746268</c:v>
                </c:pt>
                <c:pt idx="74">
                  <c:v>3.6511194029850746</c:v>
                </c:pt>
                <c:pt idx="75">
                  <c:v>3.5960820895522385</c:v>
                </c:pt>
                <c:pt idx="76">
                  <c:v>3.5410447761194028</c:v>
                </c:pt>
                <c:pt idx="77">
                  <c:v>3.46455223880597</c:v>
                </c:pt>
                <c:pt idx="78">
                  <c:v>3.3880597014925371</c:v>
                </c:pt>
                <c:pt idx="79">
                  <c:v>3.3255597014925371</c:v>
                </c:pt>
                <c:pt idx="80">
                  <c:v>3.2630597014925371</c:v>
                </c:pt>
                <c:pt idx="81">
                  <c:v>3.2005597014925371</c:v>
                </c:pt>
                <c:pt idx="82">
                  <c:v>3.1380597014925371</c:v>
                </c:pt>
                <c:pt idx="83">
                  <c:v>3.0652985074626864</c:v>
                </c:pt>
                <c:pt idx="84">
                  <c:v>2.9925373134328357</c:v>
                </c:pt>
                <c:pt idx="85">
                  <c:v>2.9141791044776122</c:v>
                </c:pt>
                <c:pt idx="86">
                  <c:v>2.8358208955223883</c:v>
                </c:pt>
                <c:pt idx="87">
                  <c:v>2.7630597014925371</c:v>
                </c:pt>
                <c:pt idx="88">
                  <c:v>2.6902985074626864</c:v>
                </c:pt>
                <c:pt idx="89">
                  <c:v>2.6231343283582089</c:v>
                </c:pt>
                <c:pt idx="90">
                  <c:v>2.5559701492537314</c:v>
                </c:pt>
                <c:pt idx="91">
                  <c:v>2.4953358208955225</c:v>
                </c:pt>
                <c:pt idx="92">
                  <c:v>2.4347014925373136</c:v>
                </c:pt>
                <c:pt idx="93">
                  <c:v>2.3759328358208958</c:v>
                </c:pt>
                <c:pt idx="94">
                  <c:v>2.3171641791044775</c:v>
                </c:pt>
                <c:pt idx="95">
                  <c:v>2.2518656716417911</c:v>
                </c:pt>
                <c:pt idx="96">
                  <c:v>2.1865671641791047</c:v>
                </c:pt>
                <c:pt idx="97">
                  <c:v>2.125</c:v>
                </c:pt>
                <c:pt idx="98">
                  <c:v>2.0634328358208953</c:v>
                </c:pt>
                <c:pt idx="99">
                  <c:v>2.0167910447761193</c:v>
                </c:pt>
                <c:pt idx="100">
                  <c:v>1.9701492537313432</c:v>
                </c:pt>
                <c:pt idx="101">
                  <c:v>1.9085820895522387</c:v>
                </c:pt>
                <c:pt idx="102">
                  <c:v>1.8470149253731343</c:v>
                </c:pt>
                <c:pt idx="103">
                  <c:v>1.7882462686567164</c:v>
                </c:pt>
                <c:pt idx="104">
                  <c:v>1.7294776119402986</c:v>
                </c:pt>
                <c:pt idx="105">
                  <c:v>1.6809701492537314</c:v>
                </c:pt>
                <c:pt idx="106">
                  <c:v>1.6324626865671641</c:v>
                </c:pt>
                <c:pt idx="107">
                  <c:v>1.5942164179104479</c:v>
                </c:pt>
                <c:pt idx="108">
                  <c:v>1.5559701492537314</c:v>
                </c:pt>
                <c:pt idx="109">
                  <c:v>1.5102611940298507</c:v>
                </c:pt>
                <c:pt idx="110">
                  <c:v>1.4645522388059702</c:v>
                </c:pt>
                <c:pt idx="111">
                  <c:v>1.4235074626865671</c:v>
                </c:pt>
                <c:pt idx="112">
                  <c:v>1.3824626865671641</c:v>
                </c:pt>
                <c:pt idx="113">
                  <c:v>1.3479477611940298</c:v>
                </c:pt>
                <c:pt idx="114">
                  <c:v>1.3134328358208955</c:v>
                </c:pt>
                <c:pt idx="115">
                  <c:v>1.2845149253731343</c:v>
                </c:pt>
                <c:pt idx="116">
                  <c:v>1.2555970149253732</c:v>
                </c:pt>
                <c:pt idx="117">
                  <c:v>1.2304104477611941</c:v>
                </c:pt>
                <c:pt idx="118">
                  <c:v>1.205223880597015</c:v>
                </c:pt>
                <c:pt idx="119">
                  <c:v>1.1819029850746268</c:v>
                </c:pt>
                <c:pt idx="120">
                  <c:v>1.1585820895522387</c:v>
                </c:pt>
                <c:pt idx="121">
                  <c:v>1.1399253731343282</c:v>
                </c:pt>
                <c:pt idx="122">
                  <c:v>1.1212686567164178</c:v>
                </c:pt>
                <c:pt idx="123">
                  <c:v>1.1063432835820897</c:v>
                </c:pt>
                <c:pt idx="124">
                  <c:v>1.0914179104477613</c:v>
                </c:pt>
                <c:pt idx="125">
                  <c:v>1.080223880597015</c:v>
                </c:pt>
                <c:pt idx="126">
                  <c:v>1.0690298507462686</c:v>
                </c:pt>
                <c:pt idx="127">
                  <c:v>1.0597014925373134</c:v>
                </c:pt>
                <c:pt idx="128">
                  <c:v>1.0503731343283582</c:v>
                </c:pt>
                <c:pt idx="129">
                  <c:v>1.0438432835820897</c:v>
                </c:pt>
                <c:pt idx="130">
                  <c:v>1.0373134328358209</c:v>
                </c:pt>
                <c:pt idx="131">
                  <c:v>1.033582089552239</c:v>
                </c:pt>
                <c:pt idx="132">
                  <c:v>1.0298507462686568</c:v>
                </c:pt>
                <c:pt idx="133">
                  <c:v>1.0270522388059702</c:v>
                </c:pt>
                <c:pt idx="134">
                  <c:v>1.0242537313432836</c:v>
                </c:pt>
                <c:pt idx="135">
                  <c:v>1.0214552238805972</c:v>
                </c:pt>
                <c:pt idx="136">
                  <c:v>1.0186567164179106</c:v>
                </c:pt>
                <c:pt idx="137">
                  <c:v>1.0167910447761195</c:v>
                </c:pt>
                <c:pt idx="138">
                  <c:v>1.0149253731343284</c:v>
                </c:pt>
                <c:pt idx="139">
                  <c:v>1.0139925373134329</c:v>
                </c:pt>
                <c:pt idx="140">
                  <c:v>1.0130597014925373</c:v>
                </c:pt>
                <c:pt idx="141">
                  <c:v>1.0121268656716418</c:v>
                </c:pt>
                <c:pt idx="142">
                  <c:v>1.0111940298507462</c:v>
                </c:pt>
                <c:pt idx="143">
                  <c:v>1.0111940298507462</c:v>
                </c:pt>
                <c:pt idx="144">
                  <c:v>1.0111940298507462</c:v>
                </c:pt>
                <c:pt idx="145">
                  <c:v>1.0102611940298507</c:v>
                </c:pt>
                <c:pt idx="146">
                  <c:v>1.0093283582089552</c:v>
                </c:pt>
                <c:pt idx="147">
                  <c:v>1.0093283582089552</c:v>
                </c:pt>
                <c:pt idx="148">
                  <c:v>1.0093283582089552</c:v>
                </c:pt>
                <c:pt idx="149">
                  <c:v>1.0083955223880596</c:v>
                </c:pt>
                <c:pt idx="150">
                  <c:v>1.0074626865671641</c:v>
                </c:pt>
                <c:pt idx="151">
                  <c:v>1.0065298507462686</c:v>
                </c:pt>
                <c:pt idx="152">
                  <c:v>1.0055970149253732</c:v>
                </c:pt>
                <c:pt idx="153">
                  <c:v>1.0046641791044777</c:v>
                </c:pt>
                <c:pt idx="154">
                  <c:v>1.0037313432835822</c:v>
                </c:pt>
                <c:pt idx="155">
                  <c:v>1.0027985074626866</c:v>
                </c:pt>
                <c:pt idx="156">
                  <c:v>1.0018656716417911</c:v>
                </c:pt>
                <c:pt idx="157">
                  <c:v>1.0009328358208955</c:v>
                </c:pt>
                <c:pt idx="158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520-4EA8-9633-160F1451D5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2079992"/>
        <c:axId val="1046182279"/>
      </c:lineChart>
      <c:catAx>
        <c:axId val="19207999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de-DE" b="0">
                    <a:solidFill>
                      <a:srgbClr val="000000"/>
                    </a:solidFill>
                    <a:latin typeface="+mn-lt"/>
                  </a:rPr>
                  <a:t>Distance</a:t>
                </a:r>
              </a:p>
            </c:rich>
          </c:tx>
          <c:overlay val="0"/>
        </c:title>
        <c:numFmt formatCode="0.0\ &quot;mm&quot;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1046182279"/>
        <c:crosses val="autoZero"/>
        <c:auto val="1"/>
        <c:lblAlgn val="ctr"/>
        <c:lblOffset val="100"/>
        <c:noMultiLvlLbl val="1"/>
      </c:catAx>
      <c:valAx>
        <c:axId val="10461822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de-DE" b="0">
                    <a:solidFill>
                      <a:srgbClr val="000000"/>
                    </a:solidFill>
                    <a:latin typeface="+mn-lt"/>
                  </a:rPr>
                  <a:t>Inductance Multiplier</a:t>
                </a:r>
              </a:p>
            </c:rich>
          </c:tx>
          <c:overlay val="0"/>
        </c:title>
        <c:numFmt formatCode="&quot;x&quot;\ 0.0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19207999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de-DE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'Field Mapping'!$B$167:$B$327</c:f>
              <c:numCache>
                <c:formatCode>General</c:formatCode>
                <c:ptCount val="16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</c:numCache>
            </c:numRef>
          </c:cat>
          <c:val>
            <c:numRef>
              <c:f>'Field Mapping'!$F$167:$F$327</c:f>
              <c:numCache>
                <c:formatCode>General</c:formatCode>
                <c:ptCount val="161"/>
                <c:pt idx="0">
                  <c:v>0</c:v>
                </c:pt>
                <c:pt idx="1">
                  <c:v>1.3719999999999998E-2</c:v>
                </c:pt>
                <c:pt idx="2">
                  <c:v>2.7439999999999996E-2</c:v>
                </c:pt>
                <c:pt idx="3">
                  <c:v>4.018E-2</c:v>
                </c:pt>
                <c:pt idx="4">
                  <c:v>5.2920000000000002E-2</c:v>
                </c:pt>
                <c:pt idx="5">
                  <c:v>6.5170000000000006E-2</c:v>
                </c:pt>
                <c:pt idx="6">
                  <c:v>7.7420000000000003E-2</c:v>
                </c:pt>
                <c:pt idx="7">
                  <c:v>8.967E-2</c:v>
                </c:pt>
                <c:pt idx="8">
                  <c:v>0.10192</c:v>
                </c:pt>
                <c:pt idx="9">
                  <c:v>0.11563999999999999</c:v>
                </c:pt>
                <c:pt idx="10">
                  <c:v>0.12935999999999998</c:v>
                </c:pt>
                <c:pt idx="11">
                  <c:v>0.14356999999999998</c:v>
                </c:pt>
                <c:pt idx="12">
                  <c:v>0.15778</c:v>
                </c:pt>
                <c:pt idx="13">
                  <c:v>0.17052</c:v>
                </c:pt>
                <c:pt idx="14">
                  <c:v>0.18325999999999998</c:v>
                </c:pt>
                <c:pt idx="15">
                  <c:v>0.19746999999999998</c:v>
                </c:pt>
                <c:pt idx="16">
                  <c:v>0.21168000000000001</c:v>
                </c:pt>
                <c:pt idx="17">
                  <c:v>0.22687000000000002</c:v>
                </c:pt>
                <c:pt idx="18">
                  <c:v>0.24206</c:v>
                </c:pt>
                <c:pt idx="19">
                  <c:v>0.25969999999999999</c:v>
                </c:pt>
                <c:pt idx="20">
                  <c:v>0.27733999999999998</c:v>
                </c:pt>
                <c:pt idx="21">
                  <c:v>0.29056999999999999</c:v>
                </c:pt>
                <c:pt idx="22">
                  <c:v>0.30380000000000001</c:v>
                </c:pt>
                <c:pt idx="23">
                  <c:v>0.32241999999999998</c:v>
                </c:pt>
                <c:pt idx="24">
                  <c:v>0.34103999999999995</c:v>
                </c:pt>
                <c:pt idx="25">
                  <c:v>0.35868</c:v>
                </c:pt>
                <c:pt idx="26">
                  <c:v>0.37631999999999999</c:v>
                </c:pt>
                <c:pt idx="27">
                  <c:v>0.39444999999999997</c:v>
                </c:pt>
                <c:pt idx="28">
                  <c:v>0.41258</c:v>
                </c:pt>
                <c:pt idx="29">
                  <c:v>0.43070999999999998</c:v>
                </c:pt>
                <c:pt idx="30">
                  <c:v>0.44883999999999996</c:v>
                </c:pt>
                <c:pt idx="31">
                  <c:v>0.46941999999999995</c:v>
                </c:pt>
                <c:pt idx="32">
                  <c:v>0.49</c:v>
                </c:pt>
                <c:pt idx="33">
                  <c:v>0.51351999999999998</c:v>
                </c:pt>
                <c:pt idx="34">
                  <c:v>0.53703999999999996</c:v>
                </c:pt>
                <c:pt idx="35">
                  <c:v>0.56006999999999996</c:v>
                </c:pt>
                <c:pt idx="36">
                  <c:v>0.58309999999999995</c:v>
                </c:pt>
                <c:pt idx="37">
                  <c:v>0.60613000000000006</c:v>
                </c:pt>
                <c:pt idx="38">
                  <c:v>0.62916000000000005</c:v>
                </c:pt>
                <c:pt idx="39">
                  <c:v>0.65219000000000005</c:v>
                </c:pt>
                <c:pt idx="40">
                  <c:v>0.67522000000000004</c:v>
                </c:pt>
                <c:pt idx="41">
                  <c:v>0.70511000000000001</c:v>
                </c:pt>
                <c:pt idx="42">
                  <c:v>0.73499999999999999</c:v>
                </c:pt>
                <c:pt idx="43">
                  <c:v>0.76586999999999994</c:v>
                </c:pt>
                <c:pt idx="44">
                  <c:v>0.79673999999999989</c:v>
                </c:pt>
                <c:pt idx="45">
                  <c:v>0.82858999999999994</c:v>
                </c:pt>
                <c:pt idx="46">
                  <c:v>0.86043999999999998</c:v>
                </c:pt>
                <c:pt idx="47">
                  <c:v>0.89670000000000005</c:v>
                </c:pt>
                <c:pt idx="48">
                  <c:v>0.93296000000000001</c:v>
                </c:pt>
                <c:pt idx="49">
                  <c:v>0.97950999999999999</c:v>
                </c:pt>
                <c:pt idx="50">
                  <c:v>1.02606</c:v>
                </c:pt>
                <c:pt idx="51">
                  <c:v>1.0706500000000001</c:v>
                </c:pt>
                <c:pt idx="52">
                  <c:v>1.11524</c:v>
                </c:pt>
                <c:pt idx="53">
                  <c:v>1.1588500000000002</c:v>
                </c:pt>
                <c:pt idx="54">
                  <c:v>1.2024600000000001</c:v>
                </c:pt>
                <c:pt idx="55">
                  <c:v>1.25146</c:v>
                </c:pt>
                <c:pt idx="56">
                  <c:v>1.3004599999999999</c:v>
                </c:pt>
                <c:pt idx="57">
                  <c:v>1.3636699999999999</c:v>
                </c:pt>
                <c:pt idx="58">
                  <c:v>1.4268799999999999</c:v>
                </c:pt>
                <c:pt idx="59">
                  <c:v>1.4891100000000002</c:v>
                </c:pt>
                <c:pt idx="60">
                  <c:v>1.5513400000000002</c:v>
                </c:pt>
                <c:pt idx="61">
                  <c:v>1.6165099999999999</c:v>
                </c:pt>
                <c:pt idx="62">
                  <c:v>1.6816799999999998</c:v>
                </c:pt>
                <c:pt idx="63">
                  <c:v>1.7556699999999998</c:v>
                </c:pt>
                <c:pt idx="64">
                  <c:v>1.8296599999999998</c:v>
                </c:pt>
                <c:pt idx="65">
                  <c:v>1.9168799999999999</c:v>
                </c:pt>
                <c:pt idx="66">
                  <c:v>2.0040999999999998</c:v>
                </c:pt>
                <c:pt idx="67">
                  <c:v>2.0859299999999998</c:v>
                </c:pt>
                <c:pt idx="68">
                  <c:v>2.1677599999999999</c:v>
                </c:pt>
                <c:pt idx="69">
                  <c:v>2.2417499999999997</c:v>
                </c:pt>
                <c:pt idx="70">
                  <c:v>2.3157399999999999</c:v>
                </c:pt>
                <c:pt idx="71">
                  <c:v>2.38679</c:v>
                </c:pt>
                <c:pt idx="72">
                  <c:v>2.45784</c:v>
                </c:pt>
                <c:pt idx="73">
                  <c:v>2.5225200000000001</c:v>
                </c:pt>
                <c:pt idx="74">
                  <c:v>2.5871999999999997</c:v>
                </c:pt>
                <c:pt idx="75">
                  <c:v>2.6288499999999999</c:v>
                </c:pt>
                <c:pt idx="76">
                  <c:v>2.6705000000000001</c:v>
                </c:pt>
                <c:pt idx="77">
                  <c:v>2.6950000000000003</c:v>
                </c:pt>
                <c:pt idx="78">
                  <c:v>2.7195</c:v>
                </c:pt>
                <c:pt idx="79">
                  <c:v>2.7356699999999998</c:v>
                </c:pt>
                <c:pt idx="80">
                  <c:v>2.7518400000000001</c:v>
                </c:pt>
                <c:pt idx="81">
                  <c:v>2.7626200000000001</c:v>
                </c:pt>
                <c:pt idx="82">
                  <c:v>2.7734000000000001</c:v>
                </c:pt>
                <c:pt idx="83">
                  <c:v>2.7572299999999998</c:v>
                </c:pt>
                <c:pt idx="84">
                  <c:v>2.7410599999999996</c:v>
                </c:pt>
                <c:pt idx="85">
                  <c:v>2.7199899999999997</c:v>
                </c:pt>
                <c:pt idx="86">
                  <c:v>2.6989199999999998</c:v>
                </c:pt>
                <c:pt idx="87">
                  <c:v>2.6685399999999997</c:v>
                </c:pt>
                <c:pt idx="88">
                  <c:v>2.6381599999999996</c:v>
                </c:pt>
                <c:pt idx="89">
                  <c:v>2.5984699999999998</c:v>
                </c:pt>
                <c:pt idx="90">
                  <c:v>2.5587800000000001</c:v>
                </c:pt>
                <c:pt idx="91">
                  <c:v>2.5107600000000003</c:v>
                </c:pt>
                <c:pt idx="92">
                  <c:v>2.4627400000000002</c:v>
                </c:pt>
                <c:pt idx="93">
                  <c:v>2.40639</c:v>
                </c:pt>
                <c:pt idx="94">
                  <c:v>2.3500399999999999</c:v>
                </c:pt>
                <c:pt idx="95">
                  <c:v>2.2843799999999996</c:v>
                </c:pt>
                <c:pt idx="96">
                  <c:v>2.2187199999999998</c:v>
                </c:pt>
                <c:pt idx="97">
                  <c:v>2.1466899999999995</c:v>
                </c:pt>
                <c:pt idx="98">
                  <c:v>2.0746599999999997</c:v>
                </c:pt>
                <c:pt idx="99">
                  <c:v>1.9977299999999998</c:v>
                </c:pt>
                <c:pt idx="100">
                  <c:v>1.9207999999999998</c:v>
                </c:pt>
                <c:pt idx="101">
                  <c:v>1.86592</c:v>
                </c:pt>
                <c:pt idx="102">
                  <c:v>1.81104</c:v>
                </c:pt>
                <c:pt idx="103">
                  <c:v>1.7257799999999999</c:v>
                </c:pt>
                <c:pt idx="104">
                  <c:v>1.64052</c:v>
                </c:pt>
                <c:pt idx="105">
                  <c:v>1.57192</c:v>
                </c:pt>
                <c:pt idx="106">
                  <c:v>1.50332</c:v>
                </c:pt>
                <c:pt idx="107">
                  <c:v>1.42835</c:v>
                </c:pt>
                <c:pt idx="108">
                  <c:v>1.3533799999999998</c:v>
                </c:pt>
                <c:pt idx="109">
                  <c:v>1.2833099999999997</c:v>
                </c:pt>
                <c:pt idx="110">
                  <c:v>1.2132399999999999</c:v>
                </c:pt>
                <c:pt idx="111">
                  <c:v>1.1490499999999999</c:v>
                </c:pt>
                <c:pt idx="112">
                  <c:v>1.0848599999999999</c:v>
                </c:pt>
                <c:pt idx="113">
                  <c:v>1.0182199999999999</c:v>
                </c:pt>
                <c:pt idx="114">
                  <c:v>0.95157999999999987</c:v>
                </c:pt>
                <c:pt idx="115">
                  <c:v>0.89277999999999991</c:v>
                </c:pt>
                <c:pt idx="116">
                  <c:v>0.83397999999999994</c:v>
                </c:pt>
                <c:pt idx="117">
                  <c:v>0.78498000000000001</c:v>
                </c:pt>
                <c:pt idx="118">
                  <c:v>0.73597999999999997</c:v>
                </c:pt>
                <c:pt idx="119">
                  <c:v>0.67276999999999998</c:v>
                </c:pt>
                <c:pt idx="120">
                  <c:v>0.60955999999999999</c:v>
                </c:pt>
                <c:pt idx="121">
                  <c:v>0.55516999999999994</c:v>
                </c:pt>
                <c:pt idx="122">
                  <c:v>0.50078</c:v>
                </c:pt>
                <c:pt idx="123">
                  <c:v>0.45324999999999999</c:v>
                </c:pt>
                <c:pt idx="124">
                  <c:v>0.40571999999999997</c:v>
                </c:pt>
                <c:pt idx="125">
                  <c:v>0.36407</c:v>
                </c:pt>
                <c:pt idx="126">
                  <c:v>0.32241999999999998</c:v>
                </c:pt>
                <c:pt idx="127">
                  <c:v>0.28517999999999999</c:v>
                </c:pt>
                <c:pt idx="128">
                  <c:v>0.24793999999999999</c:v>
                </c:pt>
                <c:pt idx="129">
                  <c:v>0.21609</c:v>
                </c:pt>
                <c:pt idx="130">
                  <c:v>0.18424000000000001</c:v>
                </c:pt>
                <c:pt idx="131">
                  <c:v>0.15925</c:v>
                </c:pt>
                <c:pt idx="132">
                  <c:v>0.13425999999999999</c:v>
                </c:pt>
                <c:pt idx="133">
                  <c:v>0.11809</c:v>
                </c:pt>
                <c:pt idx="134">
                  <c:v>0.10192</c:v>
                </c:pt>
                <c:pt idx="135">
                  <c:v>8.8200000000000001E-2</c:v>
                </c:pt>
                <c:pt idx="136">
                  <c:v>7.4479999999999991E-2</c:v>
                </c:pt>
                <c:pt idx="137">
                  <c:v>6.5169999999999992E-2</c:v>
                </c:pt>
                <c:pt idx="138">
                  <c:v>5.586E-2</c:v>
                </c:pt>
                <c:pt idx="139">
                  <c:v>4.9490000000000006E-2</c:v>
                </c:pt>
                <c:pt idx="140">
                  <c:v>4.3120000000000006E-2</c:v>
                </c:pt>
                <c:pt idx="141">
                  <c:v>3.8710000000000001E-2</c:v>
                </c:pt>
                <c:pt idx="142">
                  <c:v>3.4299999999999997E-2</c:v>
                </c:pt>
                <c:pt idx="143">
                  <c:v>3.0379999999999997E-2</c:v>
                </c:pt>
                <c:pt idx="144">
                  <c:v>2.6460000000000001E-2</c:v>
                </c:pt>
                <c:pt idx="145">
                  <c:v>2.4010000000000004E-2</c:v>
                </c:pt>
                <c:pt idx="146">
                  <c:v>2.1560000000000003E-2</c:v>
                </c:pt>
                <c:pt idx="147">
                  <c:v>1.9599999999999999E-2</c:v>
                </c:pt>
                <c:pt idx="148">
                  <c:v>1.7639999999999999E-2</c:v>
                </c:pt>
                <c:pt idx="149">
                  <c:v>1.617E-2</c:v>
                </c:pt>
                <c:pt idx="150">
                  <c:v>1.47E-2</c:v>
                </c:pt>
                <c:pt idx="151">
                  <c:v>1.372E-2</c:v>
                </c:pt>
                <c:pt idx="152">
                  <c:v>1.274E-2</c:v>
                </c:pt>
                <c:pt idx="153">
                  <c:v>1.1269999999999999E-2</c:v>
                </c:pt>
                <c:pt idx="154">
                  <c:v>9.7999999999999997E-3</c:v>
                </c:pt>
                <c:pt idx="155">
                  <c:v>8.3299999999999989E-3</c:v>
                </c:pt>
                <c:pt idx="156">
                  <c:v>6.8599999999999989E-3</c:v>
                </c:pt>
                <c:pt idx="157">
                  <c:v>4.8999999999999998E-3</c:v>
                </c:pt>
                <c:pt idx="158">
                  <c:v>2.9399999999999999E-3</c:v>
                </c:pt>
                <c:pt idx="159">
                  <c:v>1.47E-3</c:v>
                </c:pt>
                <c:pt idx="16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8F7-4D00-885B-669CCA76D795}"/>
            </c:ext>
          </c:extLst>
        </c:ser>
        <c:ser>
          <c:idx val="1"/>
          <c:order val="1"/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'Field Mapping'!$B$167:$B$327</c:f>
              <c:numCache>
                <c:formatCode>General</c:formatCode>
                <c:ptCount val="16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  <c:pt idx="67">
                  <c:v>33.5</c:v>
                </c:pt>
                <c:pt idx="68">
                  <c:v>34</c:v>
                </c:pt>
                <c:pt idx="69">
                  <c:v>34.5</c:v>
                </c:pt>
                <c:pt idx="70">
                  <c:v>35</c:v>
                </c:pt>
                <c:pt idx="71">
                  <c:v>35.5</c:v>
                </c:pt>
                <c:pt idx="72">
                  <c:v>36</c:v>
                </c:pt>
                <c:pt idx="73">
                  <c:v>36.5</c:v>
                </c:pt>
                <c:pt idx="74">
                  <c:v>37</c:v>
                </c:pt>
                <c:pt idx="75">
                  <c:v>37.5</c:v>
                </c:pt>
                <c:pt idx="76">
                  <c:v>38</c:v>
                </c:pt>
                <c:pt idx="77">
                  <c:v>38.5</c:v>
                </c:pt>
                <c:pt idx="78">
                  <c:v>39</c:v>
                </c:pt>
                <c:pt idx="79">
                  <c:v>39.5</c:v>
                </c:pt>
                <c:pt idx="80">
                  <c:v>40</c:v>
                </c:pt>
                <c:pt idx="81">
                  <c:v>40.5</c:v>
                </c:pt>
                <c:pt idx="82">
                  <c:v>41</c:v>
                </c:pt>
                <c:pt idx="83">
                  <c:v>41.5</c:v>
                </c:pt>
                <c:pt idx="84">
                  <c:v>42</c:v>
                </c:pt>
                <c:pt idx="85">
                  <c:v>42.5</c:v>
                </c:pt>
                <c:pt idx="86">
                  <c:v>43</c:v>
                </c:pt>
                <c:pt idx="87">
                  <c:v>43.5</c:v>
                </c:pt>
                <c:pt idx="88">
                  <c:v>44</c:v>
                </c:pt>
                <c:pt idx="89">
                  <c:v>44.5</c:v>
                </c:pt>
                <c:pt idx="90">
                  <c:v>45</c:v>
                </c:pt>
                <c:pt idx="91">
                  <c:v>45.5</c:v>
                </c:pt>
                <c:pt idx="92">
                  <c:v>46</c:v>
                </c:pt>
                <c:pt idx="93">
                  <c:v>46.5</c:v>
                </c:pt>
                <c:pt idx="94">
                  <c:v>47</c:v>
                </c:pt>
                <c:pt idx="95">
                  <c:v>47.5</c:v>
                </c:pt>
                <c:pt idx="96">
                  <c:v>48</c:v>
                </c:pt>
                <c:pt idx="97">
                  <c:v>48.5</c:v>
                </c:pt>
                <c:pt idx="98">
                  <c:v>49</c:v>
                </c:pt>
                <c:pt idx="99">
                  <c:v>49.5</c:v>
                </c:pt>
                <c:pt idx="100">
                  <c:v>50</c:v>
                </c:pt>
                <c:pt idx="101">
                  <c:v>50.5</c:v>
                </c:pt>
                <c:pt idx="102">
                  <c:v>51</c:v>
                </c:pt>
                <c:pt idx="103">
                  <c:v>51.5</c:v>
                </c:pt>
                <c:pt idx="104">
                  <c:v>52</c:v>
                </c:pt>
                <c:pt idx="105">
                  <c:v>52.5</c:v>
                </c:pt>
                <c:pt idx="106">
                  <c:v>53</c:v>
                </c:pt>
                <c:pt idx="107">
                  <c:v>53.5</c:v>
                </c:pt>
                <c:pt idx="108">
                  <c:v>54</c:v>
                </c:pt>
                <c:pt idx="109">
                  <c:v>54.5</c:v>
                </c:pt>
                <c:pt idx="110">
                  <c:v>55</c:v>
                </c:pt>
                <c:pt idx="111">
                  <c:v>55.5</c:v>
                </c:pt>
                <c:pt idx="112">
                  <c:v>56</c:v>
                </c:pt>
                <c:pt idx="113">
                  <c:v>56.5</c:v>
                </c:pt>
                <c:pt idx="114">
                  <c:v>57</c:v>
                </c:pt>
                <c:pt idx="115">
                  <c:v>57.5</c:v>
                </c:pt>
                <c:pt idx="116">
                  <c:v>58</c:v>
                </c:pt>
                <c:pt idx="117">
                  <c:v>58.5</c:v>
                </c:pt>
                <c:pt idx="118">
                  <c:v>59</c:v>
                </c:pt>
                <c:pt idx="119">
                  <c:v>59.5</c:v>
                </c:pt>
                <c:pt idx="120">
                  <c:v>60</c:v>
                </c:pt>
                <c:pt idx="121">
                  <c:v>60.5</c:v>
                </c:pt>
                <c:pt idx="122">
                  <c:v>61</c:v>
                </c:pt>
                <c:pt idx="123">
                  <c:v>61.5</c:v>
                </c:pt>
                <c:pt idx="124">
                  <c:v>62</c:v>
                </c:pt>
                <c:pt idx="125">
                  <c:v>62.5</c:v>
                </c:pt>
                <c:pt idx="126">
                  <c:v>63</c:v>
                </c:pt>
                <c:pt idx="127">
                  <c:v>63.5</c:v>
                </c:pt>
                <c:pt idx="128">
                  <c:v>64</c:v>
                </c:pt>
                <c:pt idx="129">
                  <c:v>64.5</c:v>
                </c:pt>
                <c:pt idx="130">
                  <c:v>65</c:v>
                </c:pt>
                <c:pt idx="131">
                  <c:v>65.5</c:v>
                </c:pt>
                <c:pt idx="132">
                  <c:v>66</c:v>
                </c:pt>
                <c:pt idx="133">
                  <c:v>66.5</c:v>
                </c:pt>
                <c:pt idx="134">
                  <c:v>67</c:v>
                </c:pt>
                <c:pt idx="135">
                  <c:v>67.5</c:v>
                </c:pt>
                <c:pt idx="136">
                  <c:v>68</c:v>
                </c:pt>
                <c:pt idx="137">
                  <c:v>68.5</c:v>
                </c:pt>
                <c:pt idx="138">
                  <c:v>69</c:v>
                </c:pt>
                <c:pt idx="139">
                  <c:v>69.5</c:v>
                </c:pt>
                <c:pt idx="140">
                  <c:v>70</c:v>
                </c:pt>
                <c:pt idx="141">
                  <c:v>70.5</c:v>
                </c:pt>
                <c:pt idx="142">
                  <c:v>71</c:v>
                </c:pt>
                <c:pt idx="143">
                  <c:v>71.5</c:v>
                </c:pt>
                <c:pt idx="144">
                  <c:v>72</c:v>
                </c:pt>
                <c:pt idx="145">
                  <c:v>72.5</c:v>
                </c:pt>
                <c:pt idx="146">
                  <c:v>73</c:v>
                </c:pt>
                <c:pt idx="147">
                  <c:v>73.5</c:v>
                </c:pt>
                <c:pt idx="148">
                  <c:v>74</c:v>
                </c:pt>
                <c:pt idx="149">
                  <c:v>74.5</c:v>
                </c:pt>
                <c:pt idx="150">
                  <c:v>75</c:v>
                </c:pt>
                <c:pt idx="151">
                  <c:v>75.5</c:v>
                </c:pt>
                <c:pt idx="152">
                  <c:v>76</c:v>
                </c:pt>
                <c:pt idx="153">
                  <c:v>76.5</c:v>
                </c:pt>
                <c:pt idx="154">
                  <c:v>77</c:v>
                </c:pt>
                <c:pt idx="155">
                  <c:v>77.5</c:v>
                </c:pt>
                <c:pt idx="156">
                  <c:v>78</c:v>
                </c:pt>
                <c:pt idx="157">
                  <c:v>78.5</c:v>
                </c:pt>
                <c:pt idx="158">
                  <c:v>79</c:v>
                </c:pt>
                <c:pt idx="159">
                  <c:v>79.5</c:v>
                </c:pt>
                <c:pt idx="160">
                  <c:v>80</c:v>
                </c:pt>
              </c:numCache>
            </c:numRef>
          </c:cat>
          <c:val>
            <c:numRef>
              <c:f>'Field Mapping'!$G$167:$G$327</c:f>
              <c:numCache>
                <c:formatCode>General</c:formatCode>
                <c:ptCount val="161"/>
                <c:pt idx="0">
                  <c:v>0</c:v>
                </c:pt>
                <c:pt idx="1">
                  <c:v>1.8549529378547255E-2</c:v>
                </c:pt>
                <c:pt idx="2">
                  <c:v>3.7057784146271561E-2</c:v>
                </c:pt>
                <c:pt idx="3">
                  <c:v>5.407696101947182E-2</c:v>
                </c:pt>
                <c:pt idx="4">
                  <c:v>7.0977306056076592E-2</c:v>
                </c:pt>
                <c:pt idx="5">
                  <c:v>8.6881661911466831E-2</c:v>
                </c:pt>
                <c:pt idx="6">
                  <c:v>0.10258517510113105</c:v>
                </c:pt>
                <c:pt idx="7">
                  <c:v>0.11773799485360537</c:v>
                </c:pt>
                <c:pt idx="8">
                  <c:v>0.1325865548567435</c:v>
                </c:pt>
                <c:pt idx="9">
                  <c:v>0.14849742154275891</c:v>
                </c:pt>
                <c:pt idx="10">
                  <c:v>0.16392553493807749</c:v>
                </c:pt>
                <c:pt idx="11">
                  <c:v>0.17872689893272478</c:v>
                </c:pt>
                <c:pt idx="12">
                  <c:v>0.19284356766436428</c:v>
                </c:pt>
                <c:pt idx="13">
                  <c:v>0.20351231981410162</c:v>
                </c:pt>
                <c:pt idx="14">
                  <c:v>0.21334988628762538</c:v>
                </c:pt>
                <c:pt idx="15">
                  <c:v>0.22287740329876601</c:v>
                </c:pt>
                <c:pt idx="16">
                  <c:v>0.23121109892848241</c:v>
                </c:pt>
                <c:pt idx="17">
                  <c:v>0.2383726971230988</c:v>
                </c:pt>
                <c:pt idx="18">
                  <c:v>0.24394968690588809</c:v>
                </c:pt>
                <c:pt idx="19">
                  <c:v>0.24998387147416218</c:v>
                </c:pt>
                <c:pt idx="20">
                  <c:v>0.25389793920082676</c:v>
                </c:pt>
                <c:pt idx="21">
                  <c:v>0.25294456624357747</c:v>
                </c:pt>
                <c:pt idx="22">
                  <c:v>0.25005223166521989</c:v>
                </c:pt>
                <c:pt idx="23">
                  <c:v>0.25231914328680849</c:v>
                </c:pt>
                <c:pt idx="24">
                  <c:v>0.25208595648928456</c:v>
                </c:pt>
                <c:pt idx="25">
                  <c:v>0.25331069501494441</c:v>
                </c:pt>
                <c:pt idx="26">
                  <c:v>0.25221745103604881</c:v>
                </c:pt>
                <c:pt idx="27">
                  <c:v>0.25491153889388485</c:v>
                </c:pt>
                <c:pt idx="28">
                  <c:v>0.25556147229279136</c:v>
                </c:pt>
                <c:pt idx="29">
                  <c:v>0.26025486485627064</c:v>
                </c:pt>
                <c:pt idx="30">
                  <c:v>0.26340250955414013</c:v>
                </c:pt>
                <c:pt idx="31">
                  <c:v>0.27189822715633261</c:v>
                </c:pt>
                <c:pt idx="32">
                  <c:v>0.27943918426802627</c:v>
                </c:pt>
                <c:pt idx="33">
                  <c:v>0.29193667776973209</c:v>
                </c:pt>
                <c:pt idx="34">
                  <c:v>0.30416781608222998</c:v>
                </c:pt>
                <c:pt idx="35">
                  <c:v>0.31851269674790172</c:v>
                </c:pt>
                <c:pt idx="36">
                  <c:v>0.33323811484786092</c:v>
                </c:pt>
                <c:pt idx="37">
                  <c:v>0.34946100933878094</c:v>
                </c:pt>
                <c:pt idx="38">
                  <c:v>0.36657119470247401</c:v>
                </c:pt>
                <c:pt idx="39">
                  <c:v>0.38438185233269123</c:v>
                </c:pt>
                <c:pt idx="40">
                  <c:v>0.40343372543950373</c:v>
                </c:pt>
                <c:pt idx="41">
                  <c:v>0.42673075382755843</c:v>
                </c:pt>
                <c:pt idx="42">
                  <c:v>0.45162238521538739</c:v>
                </c:pt>
                <c:pt idx="43">
                  <c:v>0.47683841357860979</c:v>
                </c:pt>
                <c:pt idx="44">
                  <c:v>0.50381282874213495</c:v>
                </c:pt>
                <c:pt idx="45">
                  <c:v>0.53087264668769718</c:v>
                </c:pt>
                <c:pt idx="46">
                  <c:v>0.55979556683587139</c:v>
                </c:pt>
                <c:pt idx="47">
                  <c:v>0.59079207860409955</c:v>
                </c:pt>
                <c:pt idx="48">
                  <c:v>0.62375098982150756</c:v>
                </c:pt>
                <c:pt idx="49">
                  <c:v>0.66277230752414629</c:v>
                </c:pt>
                <c:pt idx="50">
                  <c:v>0.70394031031807602</c:v>
                </c:pt>
                <c:pt idx="51">
                  <c:v>0.74286104538087527</c:v>
                </c:pt>
                <c:pt idx="52">
                  <c:v>0.78387066039623776</c:v>
                </c:pt>
                <c:pt idx="53">
                  <c:v>0.82307474947752002</c:v>
                </c:pt>
                <c:pt idx="54">
                  <c:v>0.86428113187954314</c:v>
                </c:pt>
                <c:pt idx="55">
                  <c:v>0.90834759196500114</c:v>
                </c:pt>
                <c:pt idx="56">
                  <c:v>0.95445027770431112</c:v>
                </c:pt>
                <c:pt idx="57">
                  <c:v>1.0098591485315869</c:v>
                </c:pt>
                <c:pt idx="58">
                  <c:v>1.06741889407865</c:v>
                </c:pt>
                <c:pt idx="59">
                  <c:v>1.1231786470588236</c:v>
                </c:pt>
                <c:pt idx="60">
                  <c:v>1.180983395356777</c:v>
                </c:pt>
                <c:pt idx="61">
                  <c:v>1.2400213990410713</c:v>
                </c:pt>
                <c:pt idx="62">
                  <c:v>1.3010688221709006</c:v>
                </c:pt>
                <c:pt idx="63">
                  <c:v>1.3680719471863234</c:v>
                </c:pt>
                <c:pt idx="64">
                  <c:v>1.4371384690131719</c:v>
                </c:pt>
                <c:pt idx="65">
                  <c:v>1.5154643181041352</c:v>
                </c:pt>
                <c:pt idx="66">
                  <c:v>1.5958842619392182</c:v>
                </c:pt>
                <c:pt idx="67">
                  <c:v>1.6711550203226218</c:v>
                </c:pt>
                <c:pt idx="68">
                  <c:v>1.7483999356050441</c:v>
                </c:pt>
                <c:pt idx="69">
                  <c:v>1.8183785966149506</c:v>
                </c:pt>
                <c:pt idx="70">
                  <c:v>1.8901892060660126</c:v>
                </c:pt>
                <c:pt idx="71">
                  <c:v>1.9579573139335307</c:v>
                </c:pt>
                <c:pt idx="72">
                  <c:v>2.0273548916611954</c:v>
                </c:pt>
                <c:pt idx="73">
                  <c:v>2.0903855108359135</c:v>
                </c:pt>
                <c:pt idx="74">
                  <c:v>2.1549095375722542</c:v>
                </c:pt>
                <c:pt idx="75">
                  <c:v>2.2000657342657339</c:v>
                </c:pt>
                <c:pt idx="76">
                  <c:v>2.2465859096313907</c:v>
                </c:pt>
                <c:pt idx="77">
                  <c:v>2.2765217391304344</c:v>
                </c:pt>
                <c:pt idx="78">
                  <c:v>2.3075081274382319</c:v>
                </c:pt>
                <c:pt idx="79">
                  <c:v>2.3301449694708278</c:v>
                </c:pt>
                <c:pt idx="80">
                  <c:v>2.3537014468085111</c:v>
                </c:pt>
                <c:pt idx="81">
                  <c:v>2.3716061566888404</c:v>
                </c:pt>
                <c:pt idx="82">
                  <c:v>2.3903455246913583</c:v>
                </c:pt>
                <c:pt idx="83">
                  <c:v>2.3840627269076302</c:v>
                </c:pt>
                <c:pt idx="84">
                  <c:v>2.3783401675041871</c:v>
                </c:pt>
                <c:pt idx="85">
                  <c:v>2.3667701726639581</c:v>
                </c:pt>
                <c:pt idx="86">
                  <c:v>2.3556434682779455</c:v>
                </c:pt>
                <c:pt idx="87">
                  <c:v>2.3361238155004704</c:v>
                </c:pt>
                <c:pt idx="88">
                  <c:v>2.3170001827676234</c:v>
                </c:pt>
                <c:pt idx="89">
                  <c:v>2.2887302641381644</c:v>
                </c:pt>
                <c:pt idx="90">
                  <c:v>2.2607658620689652</c:v>
                </c:pt>
                <c:pt idx="91">
                  <c:v>2.2245095439620579</c:v>
                </c:pt>
                <c:pt idx="92">
                  <c:v>2.188480318181818</c:v>
                </c:pt>
                <c:pt idx="93">
                  <c:v>2.1439433856414278</c:v>
                </c:pt>
                <c:pt idx="94">
                  <c:v>2.0995475345809602</c:v>
                </c:pt>
                <c:pt idx="95">
                  <c:v>2.0449815909090905</c:v>
                </c:pt>
                <c:pt idx="96">
                  <c:v>1.9904645858761985</c:v>
                </c:pt>
                <c:pt idx="97">
                  <c:v>1.929407806582506</c:v>
                </c:pt>
                <c:pt idx="98">
                  <c:v>1.8683562745098037</c:v>
                </c:pt>
                <c:pt idx="99">
                  <c:v>1.8031584185149467</c:v>
                </c:pt>
                <c:pt idx="100">
                  <c:v>1.7379122632103683</c:v>
                </c:pt>
                <c:pt idx="101">
                  <c:v>1.6911400514668036</c:v>
                </c:pt>
                <c:pt idx="102">
                  <c:v>1.6443857872340426</c:v>
                </c:pt>
                <c:pt idx="103">
                  <c:v>1.5699672612513718</c:v>
                </c:pt>
                <c:pt idx="104">
                  <c:v>1.4954400000000001</c:v>
                </c:pt>
                <c:pt idx="105">
                  <c:v>1.4345722267679721</c:v>
                </c:pt>
                <c:pt idx="106">
                  <c:v>1.3736609167671894</c:v>
                </c:pt>
                <c:pt idx="107">
                  <c:v>1.3076193598508392</c:v>
                </c:pt>
                <c:pt idx="108">
                  <c:v>1.2414658846153843</c:v>
                </c:pt>
                <c:pt idx="109">
                  <c:v>1.1791204752475244</c:v>
                </c:pt>
                <c:pt idx="110">
                  <c:v>1.116676</c:v>
                </c:pt>
                <c:pt idx="111">
                  <c:v>1.0589914975507349</c:v>
                </c:pt>
                <c:pt idx="112">
                  <c:v>1.0012288616714697</c:v>
                </c:pt>
                <c:pt idx="113">
                  <c:v>0.94085339510748678</c:v>
                </c:pt>
                <c:pt idx="114">
                  <c:v>0.88039309923664111</c:v>
                </c:pt>
                <c:pt idx="115">
                  <c:v>0.82660924705882333</c:v>
                </c:pt>
                <c:pt idx="116">
                  <c:v>0.77277662903225808</c:v>
                </c:pt>
                <c:pt idx="117">
                  <c:v>0.72872418392709215</c:v>
                </c:pt>
                <c:pt idx="118">
                  <c:v>0.68457424190800686</c:v>
                </c:pt>
                <c:pt idx="119">
                  <c:v>0.62685918635170612</c:v>
                </c:pt>
                <c:pt idx="120">
                  <c:v>0.56899575539568348</c:v>
                </c:pt>
                <c:pt idx="121">
                  <c:v>0.51903012465373954</c:v>
                </c:pt>
                <c:pt idx="122">
                  <c:v>0.46894673624288424</c:v>
                </c:pt>
                <c:pt idx="123">
                  <c:v>0.42459119649805432</c:v>
                </c:pt>
                <c:pt idx="124">
                  <c:v>0.38021065868263471</c:v>
                </c:pt>
                <c:pt idx="125">
                  <c:v>0.34152523541453428</c:v>
                </c:pt>
                <c:pt idx="126">
                  <c:v>0.30277676470588233</c:v>
                </c:pt>
                <c:pt idx="127">
                  <c:v>0.26798938643702908</c:v>
                </c:pt>
                <c:pt idx="128">
                  <c:v>0.23316211920529803</c:v>
                </c:pt>
                <c:pt idx="129">
                  <c:v>0.20350104638009053</c:v>
                </c:pt>
                <c:pt idx="130">
                  <c:v>0.17376696055684457</c:v>
                </c:pt>
                <c:pt idx="131">
                  <c:v>0.15036074821852735</c:v>
                </c:pt>
                <c:pt idx="132">
                  <c:v>0.12691</c:v>
                </c:pt>
                <c:pt idx="133">
                  <c:v>0.11161931506849318</c:v>
                </c:pt>
                <c:pt idx="134">
                  <c:v>9.6329999999999999E-2</c:v>
                </c:pt>
                <c:pt idx="135">
                  <c:v>8.3421540469973882E-2</c:v>
                </c:pt>
                <c:pt idx="136">
                  <c:v>7.0497112299465231E-2</c:v>
                </c:pt>
                <c:pt idx="137">
                  <c:v>6.1782229822161409E-2</c:v>
                </c:pt>
                <c:pt idx="138">
                  <c:v>5.3043529411764698E-2</c:v>
                </c:pt>
                <c:pt idx="139">
                  <c:v>4.7008409742120359E-2</c:v>
                </c:pt>
                <c:pt idx="140">
                  <c:v>4.0970322580645174E-2</c:v>
                </c:pt>
                <c:pt idx="141">
                  <c:v>3.6823830584707652E-2</c:v>
                </c:pt>
                <c:pt idx="142">
                  <c:v>3.2669171779141103E-2</c:v>
                </c:pt>
                <c:pt idx="143">
                  <c:v>2.8927664576802514E-2</c:v>
                </c:pt>
                <c:pt idx="144">
                  <c:v>2.5187884615384619E-2</c:v>
                </c:pt>
                <c:pt idx="145">
                  <c:v>2.2870409165302787E-2</c:v>
                </c:pt>
                <c:pt idx="146">
                  <c:v>2.0550501672240807E-2</c:v>
                </c:pt>
                <c:pt idx="147">
                  <c:v>1.8713651877133107E-2</c:v>
                </c:pt>
                <c:pt idx="148">
                  <c:v>1.6871707317073173E-2</c:v>
                </c:pt>
                <c:pt idx="149">
                  <c:v>1.5450693950177936E-2</c:v>
                </c:pt>
                <c:pt idx="150">
                  <c:v>1.403181818181818E-2</c:v>
                </c:pt>
                <c:pt idx="151">
                  <c:v>1.3096363636363635E-2</c:v>
                </c:pt>
                <c:pt idx="152">
                  <c:v>1.2160909090909087E-2</c:v>
                </c:pt>
                <c:pt idx="153">
                  <c:v>1.0790425531914892E-2</c:v>
                </c:pt>
                <c:pt idx="154">
                  <c:v>9.4126482213438712E-3</c:v>
                </c:pt>
                <c:pt idx="155">
                  <c:v>8.0109072580645136E-3</c:v>
                </c:pt>
                <c:pt idx="156">
                  <c:v>6.6059259259259248E-3</c:v>
                </c:pt>
                <c:pt idx="157">
                  <c:v>4.7150943396226412E-3</c:v>
                </c:pt>
                <c:pt idx="158">
                  <c:v>2.8269230769230767E-3</c:v>
                </c:pt>
                <c:pt idx="159">
                  <c:v>1.4123529411764707E-3</c:v>
                </c:pt>
                <c:pt idx="16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8F7-4D00-885B-669CCA76D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4291424"/>
        <c:axId val="1731136794"/>
      </c:barChart>
      <c:catAx>
        <c:axId val="11942914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1731136794"/>
        <c:crosses val="autoZero"/>
        <c:auto val="1"/>
        <c:lblAlgn val="ctr"/>
        <c:lblOffset val="100"/>
        <c:noMultiLvlLbl val="1"/>
      </c:catAx>
      <c:valAx>
        <c:axId val="173113679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de-DE"/>
          </a:p>
        </c:txPr>
        <c:crossAx val="11942914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de-DE"/>
        </a:p>
      </c:txPr>
    </c:legend>
    <c:plotVisOnly val="1"/>
    <c:dispBlanksAs val="zero"/>
    <c:showDLblsOverMax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53</xdr:row>
      <xdr:rowOff>114300</xdr:rowOff>
    </xdr:from>
    <xdr:ext cx="18573750" cy="125063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3</xdr:col>
      <xdr:colOff>66675</xdr:colOff>
      <xdr:row>0</xdr:row>
      <xdr:rowOff>190500</xdr:rowOff>
    </xdr:from>
    <xdr:ext cx="18573750" cy="1044892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114300</xdr:colOff>
      <xdr:row>5</xdr:row>
      <xdr:rowOff>133350</xdr:rowOff>
    </xdr:from>
    <xdr:ext cx="5181600" cy="320992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22</xdr:col>
      <xdr:colOff>114300</xdr:colOff>
      <xdr:row>21</xdr:row>
      <xdr:rowOff>142875</xdr:rowOff>
    </xdr:from>
    <xdr:ext cx="5181600" cy="320992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152400</xdr:colOff>
      <xdr:row>5</xdr:row>
      <xdr:rowOff>142875</xdr:rowOff>
    </xdr:from>
    <xdr:ext cx="5086350" cy="313372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22</xdr:col>
      <xdr:colOff>152400</xdr:colOff>
      <xdr:row>21</xdr:row>
      <xdr:rowOff>76200</xdr:rowOff>
    </xdr:from>
    <xdr:ext cx="5086350" cy="313372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504825</xdr:colOff>
      <xdr:row>5</xdr:row>
      <xdr:rowOff>66675</xdr:rowOff>
    </xdr:from>
    <xdr:ext cx="9344025" cy="5781675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12</xdr:col>
      <xdr:colOff>504825</xdr:colOff>
      <xdr:row>62</xdr:row>
      <xdr:rowOff>47625</xdr:rowOff>
    </xdr:from>
    <xdr:ext cx="9344025" cy="5781675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57150</xdr:colOff>
      <xdr:row>166</xdr:row>
      <xdr:rowOff>114300</xdr:rowOff>
    </xdr:from>
    <xdr:ext cx="5715000" cy="35337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ccelinstruments.com/Magnetic/Magnetic-field-calculator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59"/>
  <sheetViews>
    <sheetView tabSelected="1" workbookViewId="0">
      <selection activeCell="A28" sqref="A28"/>
    </sheetView>
  </sheetViews>
  <sheetFormatPr baseColWidth="10" defaultColWidth="12.6328125" defaultRowHeight="15.75" customHeight="1" x14ac:dyDescent="0.25"/>
  <sheetData>
    <row r="1" spans="1:19" ht="15.75" customHeight="1" x14ac:dyDescent="0.25">
      <c r="A1" s="1"/>
    </row>
    <row r="2" spans="1:19" ht="15.75" customHeight="1" x14ac:dyDescent="0.25">
      <c r="B2" s="2" t="s">
        <v>0</v>
      </c>
      <c r="C2" s="3"/>
      <c r="D2" s="4"/>
      <c r="E2" s="5"/>
      <c r="F2" s="6"/>
      <c r="G2" s="7" t="s">
        <v>1</v>
      </c>
      <c r="H2" s="8" t="s">
        <v>2</v>
      </c>
      <c r="I2" s="9"/>
      <c r="J2" s="10" t="s">
        <v>3</v>
      </c>
      <c r="K2" s="11"/>
      <c r="M2" s="12" t="s">
        <v>4</v>
      </c>
      <c r="N2" s="13"/>
      <c r="O2" s="13"/>
      <c r="P2" s="13"/>
      <c r="Q2" s="13"/>
      <c r="R2" s="14"/>
      <c r="S2" s="15"/>
    </row>
    <row r="3" spans="1:19" ht="15.75" customHeight="1" x14ac:dyDescent="0.25">
      <c r="B3" s="16"/>
      <c r="C3" s="17" t="s">
        <v>5</v>
      </c>
      <c r="D3" s="18"/>
      <c r="E3" s="19">
        <v>390</v>
      </c>
      <c r="F3" s="20"/>
      <c r="G3" s="21"/>
      <c r="H3" s="22" t="s">
        <v>6</v>
      </c>
      <c r="I3" s="23"/>
      <c r="J3" s="24" t="s">
        <v>7</v>
      </c>
      <c r="K3" s="25"/>
      <c r="M3" s="26" t="s">
        <v>8</v>
      </c>
      <c r="N3" s="27" t="s">
        <v>9</v>
      </c>
      <c r="O3" s="28"/>
      <c r="P3" s="29"/>
      <c r="Q3" s="29"/>
      <c r="R3" s="25"/>
      <c r="S3" s="15"/>
    </row>
    <row r="4" spans="1:19" ht="15.75" customHeight="1" x14ac:dyDescent="0.25">
      <c r="B4" s="16"/>
      <c r="C4" s="30" t="s">
        <v>10</v>
      </c>
      <c r="D4" s="18"/>
      <c r="E4" s="19">
        <v>860</v>
      </c>
      <c r="F4" s="31"/>
      <c r="G4" s="32"/>
      <c r="H4" s="33" t="s">
        <v>11</v>
      </c>
      <c r="I4" s="34"/>
      <c r="J4" s="24" t="s">
        <v>12</v>
      </c>
      <c r="K4" s="25"/>
      <c r="M4" s="35" t="s">
        <v>13</v>
      </c>
      <c r="N4" s="29"/>
      <c r="O4" s="36"/>
      <c r="P4" s="36"/>
      <c r="Q4" s="36"/>
      <c r="R4" s="25"/>
      <c r="S4" s="15"/>
    </row>
    <row r="5" spans="1:19" ht="15.75" customHeight="1" x14ac:dyDescent="0.25">
      <c r="B5" s="16"/>
      <c r="C5" s="37" t="s">
        <v>14</v>
      </c>
      <c r="D5" s="18"/>
      <c r="E5" s="19">
        <v>10</v>
      </c>
      <c r="F5" s="38"/>
      <c r="G5" s="39"/>
      <c r="H5" s="40" t="s">
        <v>15</v>
      </c>
      <c r="I5" s="41"/>
      <c r="J5" s="24" t="s">
        <v>16</v>
      </c>
      <c r="K5" s="25"/>
      <c r="M5" s="35" t="s">
        <v>17</v>
      </c>
      <c r="N5" s="29"/>
      <c r="O5" s="36"/>
      <c r="P5" s="36"/>
      <c r="Q5" s="36"/>
      <c r="R5" s="25"/>
      <c r="S5" s="15"/>
    </row>
    <row r="6" spans="1:19" ht="15.75" customHeight="1" x14ac:dyDescent="0.25">
      <c r="B6" s="16"/>
      <c r="C6" s="17" t="s">
        <v>18</v>
      </c>
      <c r="D6" s="18"/>
      <c r="E6" s="19">
        <v>5000</v>
      </c>
      <c r="F6" s="6"/>
      <c r="G6" s="42" t="s">
        <v>19</v>
      </c>
      <c r="H6" s="43" t="s">
        <v>20</v>
      </c>
      <c r="I6" s="44" t="s">
        <v>21</v>
      </c>
      <c r="J6" s="24" t="s">
        <v>22</v>
      </c>
      <c r="K6" s="25"/>
      <c r="M6" s="45" t="s">
        <v>23</v>
      </c>
      <c r="N6" s="29"/>
      <c r="O6" s="29"/>
      <c r="P6" s="36"/>
      <c r="Q6" s="36"/>
      <c r="R6" s="25"/>
      <c r="S6" s="15"/>
    </row>
    <row r="7" spans="1:19" ht="15.75" customHeight="1" x14ac:dyDescent="0.25">
      <c r="B7" s="1" t="s">
        <v>24</v>
      </c>
      <c r="E7" s="46"/>
      <c r="F7" s="47"/>
      <c r="G7" s="48" t="s">
        <v>25</v>
      </c>
      <c r="H7" s="49" t="s">
        <v>26</v>
      </c>
      <c r="I7" s="50" t="s">
        <v>27</v>
      </c>
      <c r="J7" s="51"/>
      <c r="K7" s="52"/>
      <c r="M7" s="35" t="s">
        <v>28</v>
      </c>
      <c r="N7" s="29"/>
      <c r="O7" s="36"/>
      <c r="P7" s="36"/>
      <c r="Q7" s="36"/>
      <c r="R7" s="25"/>
      <c r="S7" s="15"/>
    </row>
    <row r="8" spans="1:19" ht="15.75" customHeight="1" x14ac:dyDescent="0.25">
      <c r="I8" s="1"/>
      <c r="M8" s="35" t="s">
        <v>29</v>
      </c>
      <c r="N8" s="36"/>
      <c r="O8" s="36"/>
      <c r="P8" s="36"/>
      <c r="Q8" s="36"/>
      <c r="R8" s="25"/>
      <c r="S8" s="15"/>
    </row>
    <row r="9" spans="1:19" ht="15.75" customHeight="1" x14ac:dyDescent="0.25">
      <c r="A9" s="1"/>
      <c r="B9" s="2" t="s">
        <v>30</v>
      </c>
      <c r="C9" s="53"/>
      <c r="D9" s="53"/>
      <c r="E9" s="53"/>
      <c r="F9" s="53"/>
      <c r="G9" s="53"/>
      <c r="H9" s="53"/>
      <c r="I9" s="53"/>
      <c r="J9" s="53"/>
      <c r="K9" s="54"/>
      <c r="L9" s="1"/>
      <c r="M9" s="55" t="s">
        <v>31</v>
      </c>
      <c r="N9" s="56"/>
      <c r="O9" s="56"/>
      <c r="P9" s="56"/>
      <c r="Q9" s="56"/>
      <c r="R9" s="57"/>
      <c r="S9" s="58"/>
    </row>
    <row r="10" spans="1:19" ht="15.75" customHeight="1" x14ac:dyDescent="0.25">
      <c r="A10" s="1"/>
      <c r="B10" s="59" t="s">
        <v>32</v>
      </c>
      <c r="C10" s="60"/>
      <c r="D10" s="60"/>
      <c r="E10" s="60"/>
      <c r="F10" s="60"/>
      <c r="G10" s="60"/>
      <c r="H10" s="60"/>
      <c r="I10" s="60"/>
      <c r="J10" s="60"/>
      <c r="K10" s="61"/>
      <c r="L10" s="1"/>
      <c r="M10" s="55" t="s">
        <v>33</v>
      </c>
      <c r="N10" s="28"/>
      <c r="O10" s="56"/>
      <c r="P10" s="56"/>
      <c r="Q10" s="56"/>
      <c r="R10" s="57"/>
      <c r="S10" s="58"/>
    </row>
    <row r="11" spans="1:19" ht="15.75" customHeight="1" x14ac:dyDescent="0.25">
      <c r="A11" s="1"/>
      <c r="B11" s="62" t="s">
        <v>34</v>
      </c>
      <c r="C11" s="56"/>
      <c r="D11" s="56"/>
      <c r="E11" s="56"/>
      <c r="F11" s="56"/>
      <c r="G11" s="56"/>
      <c r="H11" s="56"/>
      <c r="I11" s="56"/>
      <c r="J11" s="56"/>
      <c r="K11" s="57"/>
      <c r="L11" s="1"/>
      <c r="M11" s="63" t="s">
        <v>35</v>
      </c>
      <c r="N11" s="64"/>
      <c r="O11" s="64"/>
      <c r="P11" s="64"/>
      <c r="Q11" s="64"/>
      <c r="R11" s="41"/>
      <c r="S11" s="58"/>
    </row>
    <row r="12" spans="1:19" ht="15.75" customHeight="1" x14ac:dyDescent="0.25">
      <c r="A12" s="1"/>
      <c r="B12" s="62" t="s">
        <v>36</v>
      </c>
      <c r="C12" s="56"/>
      <c r="D12" s="56"/>
      <c r="E12" s="56"/>
      <c r="F12" s="56"/>
      <c r="G12" s="56"/>
      <c r="H12" s="56"/>
      <c r="I12" s="56"/>
      <c r="J12" s="56"/>
      <c r="K12" s="57"/>
      <c r="L12" s="1"/>
      <c r="M12" s="65" t="s">
        <v>37</v>
      </c>
      <c r="N12" s="66"/>
      <c r="O12" s="66"/>
      <c r="P12" s="66"/>
      <c r="Q12" s="67"/>
      <c r="R12" s="67"/>
      <c r="S12" s="58"/>
    </row>
    <row r="13" spans="1:19" ht="15.75" customHeight="1" x14ac:dyDescent="0.25">
      <c r="A13" s="1"/>
      <c r="B13" s="62" t="s">
        <v>38</v>
      </c>
      <c r="C13" s="56"/>
      <c r="D13" s="56"/>
      <c r="E13" s="56"/>
      <c r="F13" s="56"/>
      <c r="G13" s="56"/>
      <c r="H13" s="56"/>
      <c r="I13" s="56"/>
      <c r="J13" s="56"/>
      <c r="K13" s="57"/>
      <c r="L13" s="1"/>
      <c r="M13" s="1"/>
      <c r="N13" s="1"/>
      <c r="O13" s="1"/>
      <c r="P13" s="1"/>
      <c r="Q13" s="1"/>
      <c r="R13" s="1"/>
      <c r="S13" s="1"/>
    </row>
    <row r="14" spans="1:19" ht="13" x14ac:dyDescent="0.3">
      <c r="A14" s="1"/>
      <c r="B14" s="62" t="s">
        <v>39</v>
      </c>
      <c r="C14" s="56"/>
      <c r="D14" s="56"/>
      <c r="E14" s="56"/>
      <c r="F14" s="56"/>
      <c r="G14" s="56"/>
      <c r="H14" s="56"/>
      <c r="I14" s="56"/>
      <c r="J14" s="56"/>
      <c r="K14" s="57"/>
      <c r="L14" s="1"/>
      <c r="M14" s="68" t="s">
        <v>40</v>
      </c>
      <c r="N14" s="69"/>
      <c r="O14" s="69"/>
      <c r="P14" s="69"/>
      <c r="Q14" s="69"/>
      <c r="R14" s="5"/>
      <c r="S14" s="1"/>
    </row>
    <row r="15" spans="1:19" ht="15.75" customHeight="1" x14ac:dyDescent="0.25">
      <c r="A15" s="1"/>
      <c r="B15" s="62" t="s">
        <v>41</v>
      </c>
      <c r="C15" s="56"/>
      <c r="D15" s="56"/>
      <c r="E15" s="56"/>
      <c r="F15" s="56"/>
      <c r="G15" s="56"/>
      <c r="H15" s="56"/>
      <c r="I15" s="56"/>
      <c r="J15" s="56"/>
      <c r="K15" s="57"/>
      <c r="L15" s="1"/>
      <c r="M15" s="1"/>
      <c r="N15" s="1"/>
      <c r="O15" s="1"/>
      <c r="P15" s="1"/>
      <c r="Q15" s="1"/>
      <c r="R15" s="1"/>
      <c r="S15" s="1"/>
    </row>
    <row r="16" spans="1:19" ht="15.75" customHeight="1" x14ac:dyDescent="0.25">
      <c r="A16" s="1"/>
      <c r="B16" s="62" t="s">
        <v>42</v>
      </c>
      <c r="C16" s="56"/>
      <c r="D16" s="56"/>
      <c r="E16" s="56"/>
      <c r="F16" s="56"/>
      <c r="G16" s="56"/>
      <c r="H16" s="56"/>
      <c r="I16" s="56"/>
      <c r="J16" s="56"/>
      <c r="K16" s="57"/>
      <c r="L16" s="1"/>
      <c r="M16" s="1"/>
      <c r="N16" s="1"/>
      <c r="O16" s="1"/>
      <c r="P16" s="1"/>
      <c r="Q16" s="1"/>
      <c r="R16" s="1"/>
      <c r="S16" s="1"/>
    </row>
    <row r="17" spans="1:21" ht="15.75" customHeight="1" x14ac:dyDescent="0.25">
      <c r="A17" s="1"/>
      <c r="B17" s="70" t="s">
        <v>43</v>
      </c>
      <c r="C17" s="71"/>
      <c r="D17" s="71"/>
      <c r="E17" s="71"/>
      <c r="F17" s="71"/>
      <c r="G17" s="71"/>
      <c r="H17" s="71"/>
      <c r="I17" s="71"/>
      <c r="J17" s="71"/>
      <c r="K17" s="72"/>
      <c r="L17" s="1"/>
      <c r="M17" s="1"/>
      <c r="N17" s="1"/>
      <c r="O17" s="1"/>
      <c r="P17" s="1"/>
      <c r="Q17" s="1"/>
      <c r="R17" s="1"/>
      <c r="S17" s="1"/>
    </row>
    <row r="18" spans="1:21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21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73" t="s">
        <v>44</v>
      </c>
      <c r="M19" s="73" t="s">
        <v>45</v>
      </c>
      <c r="N19" s="73" t="s">
        <v>46</v>
      </c>
      <c r="O19" s="73" t="s">
        <v>47</v>
      </c>
      <c r="P19" s="73" t="s">
        <v>48</v>
      </c>
      <c r="Q19" s="73" t="s">
        <v>49</v>
      </c>
      <c r="R19" s="73" t="s">
        <v>50</v>
      </c>
      <c r="S19" s="73" t="s">
        <v>51</v>
      </c>
    </row>
    <row r="20" spans="1:21" ht="15.75" customHeight="1" x14ac:dyDescent="0.25">
      <c r="A20" s="74"/>
      <c r="B20" s="75" t="s">
        <v>52</v>
      </c>
      <c r="C20" s="75" t="s">
        <v>53</v>
      </c>
      <c r="D20" s="75" t="s">
        <v>54</v>
      </c>
      <c r="E20" s="75" t="s">
        <v>55</v>
      </c>
      <c r="F20" s="75" t="s">
        <v>56</v>
      </c>
      <c r="G20" s="75" t="s">
        <v>57</v>
      </c>
      <c r="H20" s="75" t="s">
        <v>58</v>
      </c>
      <c r="I20" s="75" t="s">
        <v>59</v>
      </c>
      <c r="J20" s="75" t="s">
        <v>60</v>
      </c>
      <c r="K20" s="75" t="s">
        <v>10</v>
      </c>
      <c r="L20" s="75" t="s">
        <v>61</v>
      </c>
      <c r="M20" s="75" t="s">
        <v>62</v>
      </c>
      <c r="N20" s="75" t="s">
        <v>63</v>
      </c>
      <c r="O20" s="75" t="s">
        <v>64</v>
      </c>
      <c r="P20" s="75" t="s">
        <v>65</v>
      </c>
      <c r="Q20" s="75" t="s">
        <v>66</v>
      </c>
      <c r="R20" s="75" t="s">
        <v>67</v>
      </c>
      <c r="S20" s="75" t="s">
        <v>68</v>
      </c>
    </row>
    <row r="21" spans="1:21" ht="15.75" customHeight="1" x14ac:dyDescent="0.25">
      <c r="A21" s="74"/>
      <c r="B21" s="76" t="s">
        <v>69</v>
      </c>
      <c r="C21" s="76" t="s">
        <v>69</v>
      </c>
      <c r="D21" s="76" t="s">
        <v>69</v>
      </c>
      <c r="E21" s="76" t="s">
        <v>70</v>
      </c>
      <c r="F21" s="76" t="s">
        <v>71</v>
      </c>
      <c r="G21" s="76" t="s">
        <v>71</v>
      </c>
      <c r="H21" s="76" t="s">
        <v>71</v>
      </c>
      <c r="I21" s="76" t="s">
        <v>72</v>
      </c>
      <c r="J21" s="76" t="s">
        <v>73</v>
      </c>
      <c r="K21" s="76" t="s">
        <v>74</v>
      </c>
      <c r="L21" s="76" t="s">
        <v>75</v>
      </c>
      <c r="M21" s="76" t="s">
        <v>76</v>
      </c>
      <c r="N21" s="76" t="s">
        <v>75</v>
      </c>
      <c r="O21" s="76" t="s">
        <v>77</v>
      </c>
      <c r="P21" s="76" t="s">
        <v>78</v>
      </c>
      <c r="Q21" s="76" t="s">
        <v>79</v>
      </c>
      <c r="R21" s="76" t="s">
        <v>80</v>
      </c>
      <c r="S21" s="76" t="s">
        <v>81</v>
      </c>
    </row>
    <row r="22" spans="1:21" ht="15.75" customHeight="1" x14ac:dyDescent="0.25">
      <c r="B22" s="19">
        <v>0.7</v>
      </c>
      <c r="C22" s="19">
        <v>50</v>
      </c>
      <c r="D22" s="19">
        <v>50</v>
      </c>
      <c r="E22" s="77">
        <f t="shared" ref="E22:E33" si="0">(((3.14159 * (D22/2)^2) * C22) - (3.14159 * (($E$5/2)^2)) * C22)/1000</f>
        <v>94.247699999999995</v>
      </c>
      <c r="F22" s="78">
        <f t="shared" ref="F22:F33" si="1">((D22-$E$5)/2)/B22</f>
        <v>28.571428571428573</v>
      </c>
      <c r="G22" s="78">
        <f t="shared" ref="G22:G33" si="2">C22/B22</f>
        <v>71.428571428571431</v>
      </c>
      <c r="H22" s="78">
        <f t="shared" ref="H22:H33" si="3">F22*G22</f>
        <v>2040.8163265306125</v>
      </c>
      <c r="I22" s="79">
        <v>7.9240000000000004</v>
      </c>
      <c r="J22" s="80">
        <v>37432.68</v>
      </c>
      <c r="K22" s="81">
        <f t="shared" ref="K22:K33" si="4">$E$3/I22</f>
        <v>49.217566885411408</v>
      </c>
      <c r="L22" s="82">
        <f t="shared" ref="L22:L33" si="5">(K22*$E$3)/1000</f>
        <v>19.19485108531045</v>
      </c>
      <c r="M22" s="78">
        <f t="shared" ref="M22:M33" si="6">((J22/1000000)*K22^2)/2</f>
        <v>45.337879752907547</v>
      </c>
      <c r="N22" s="82">
        <f t="shared" ref="N22:N33" si="7">(M22/(Q22/1000))/1000</f>
        <v>2.3993563856638067</v>
      </c>
      <c r="O22" s="83">
        <v>44.360799999999998</v>
      </c>
      <c r="P22" s="84">
        <f t="shared" ref="P22:P33" si="8">(O22*K22)/1000</f>
        <v>2.1833306410903583</v>
      </c>
      <c r="Q22" s="85">
        <f t="shared" ref="Q22:Q33" si="9">((J22/1000)/I22)*4</f>
        <v>18.895850580514889</v>
      </c>
      <c r="R22" s="86">
        <f t="shared" ref="R22:R33" si="10">P22/(Q22/1000)</f>
        <v>115.54550729469545</v>
      </c>
      <c r="S22" s="86">
        <f t="shared" ref="S22:S33" si="11">R22*O22</f>
        <v>5125.6911399985256</v>
      </c>
    </row>
    <row r="23" spans="1:21" ht="15.75" customHeight="1" x14ac:dyDescent="0.25">
      <c r="B23" s="19">
        <v>0.7</v>
      </c>
      <c r="C23" s="19">
        <v>50</v>
      </c>
      <c r="D23" s="19">
        <v>30</v>
      </c>
      <c r="E23" s="77">
        <f t="shared" si="0"/>
        <v>31.415899999999997</v>
      </c>
      <c r="F23" s="78">
        <f t="shared" si="1"/>
        <v>14.285714285714286</v>
      </c>
      <c r="G23" s="78">
        <f t="shared" si="2"/>
        <v>71.428571428571431</v>
      </c>
      <c r="H23" s="78">
        <f t="shared" si="3"/>
        <v>1020.4081632653063</v>
      </c>
      <c r="I23" s="79">
        <v>2.5609999999999999</v>
      </c>
      <c r="J23" s="80">
        <v>4870.4539999999997</v>
      </c>
      <c r="K23" s="81">
        <f t="shared" si="4"/>
        <v>152.28426395939087</v>
      </c>
      <c r="L23" s="82">
        <f t="shared" si="5"/>
        <v>59.390862944162436</v>
      </c>
      <c r="M23" s="78">
        <f t="shared" si="6"/>
        <v>56.474124558736378</v>
      </c>
      <c r="N23" s="82">
        <f t="shared" si="7"/>
        <v>7.4238578680203053</v>
      </c>
      <c r="O23" s="83">
        <v>23.9815</v>
      </c>
      <c r="P23" s="84">
        <f t="shared" si="8"/>
        <v>3.6520050761421321</v>
      </c>
      <c r="Q23" s="85">
        <f t="shared" si="9"/>
        <v>7.6071128465443181</v>
      </c>
      <c r="R23" s="86">
        <f t="shared" si="10"/>
        <v>480.07767859012739</v>
      </c>
      <c r="S23" s="86">
        <f t="shared" si="11"/>
        <v>11512.982849109139</v>
      </c>
    </row>
    <row r="24" spans="1:21" ht="15.75" customHeight="1" x14ac:dyDescent="0.25">
      <c r="B24" s="19">
        <v>0.7</v>
      </c>
      <c r="C24" s="19">
        <v>50</v>
      </c>
      <c r="D24" s="19">
        <v>20</v>
      </c>
      <c r="E24" s="77">
        <f t="shared" si="0"/>
        <v>11.780962499999999</v>
      </c>
      <c r="F24" s="78">
        <f t="shared" si="1"/>
        <v>7.1428571428571432</v>
      </c>
      <c r="G24" s="78">
        <f t="shared" si="2"/>
        <v>71.428571428571431</v>
      </c>
      <c r="H24" s="78">
        <f t="shared" si="3"/>
        <v>510.20408163265313</v>
      </c>
      <c r="I24" s="79">
        <v>0.93100000000000005</v>
      </c>
      <c r="J24" s="80">
        <v>740.44</v>
      </c>
      <c r="K24" s="81">
        <f t="shared" si="4"/>
        <v>418.90440386680984</v>
      </c>
      <c r="L24" s="82">
        <f t="shared" si="5"/>
        <v>163.37271750805584</v>
      </c>
      <c r="M24" s="78">
        <f t="shared" si="6"/>
        <v>64.966538642140094</v>
      </c>
      <c r="N24" s="82">
        <f t="shared" si="7"/>
        <v>20.421589688506977</v>
      </c>
      <c r="O24" s="83">
        <v>12.371</v>
      </c>
      <c r="P24" s="84">
        <f t="shared" si="8"/>
        <v>5.1822663802363049</v>
      </c>
      <c r="Q24" s="85">
        <f t="shared" si="9"/>
        <v>3.1812674543501616</v>
      </c>
      <c r="R24" s="86">
        <f t="shared" si="10"/>
        <v>1628.9942466641455</v>
      </c>
      <c r="S24" s="86">
        <f t="shared" si="11"/>
        <v>20152.287825482144</v>
      </c>
    </row>
    <row r="25" spans="1:21" ht="15.75" customHeight="1" x14ac:dyDescent="0.25">
      <c r="B25" s="19">
        <v>0.7</v>
      </c>
      <c r="C25" s="19">
        <v>30</v>
      </c>
      <c r="D25" s="19">
        <v>50</v>
      </c>
      <c r="E25" s="77">
        <f t="shared" si="0"/>
        <v>56.548619999999993</v>
      </c>
      <c r="F25" s="78">
        <f t="shared" si="1"/>
        <v>28.571428571428573</v>
      </c>
      <c r="G25" s="78">
        <f t="shared" si="2"/>
        <v>42.857142857142861</v>
      </c>
      <c r="H25" s="78">
        <f t="shared" si="3"/>
        <v>1224.4897959183675</v>
      </c>
      <c r="I25" s="79">
        <v>4.75</v>
      </c>
      <c r="J25" s="80">
        <v>17804.974999999999</v>
      </c>
      <c r="K25" s="81">
        <f t="shared" si="4"/>
        <v>82.10526315789474</v>
      </c>
      <c r="L25" s="82">
        <f t="shared" si="5"/>
        <v>32.021052631578954</v>
      </c>
      <c r="M25" s="78">
        <f t="shared" si="6"/>
        <v>60.014109639889192</v>
      </c>
      <c r="N25" s="82">
        <f t="shared" si="7"/>
        <v>4.0026315789473692</v>
      </c>
      <c r="O25" s="83">
        <v>37.725000000000001</v>
      </c>
      <c r="P25" s="84">
        <f t="shared" si="8"/>
        <v>3.0974210526315793</v>
      </c>
      <c r="Q25" s="85">
        <f t="shared" si="9"/>
        <v>14.993663157894735</v>
      </c>
      <c r="R25" s="86">
        <f t="shared" si="10"/>
        <v>206.58200868015828</v>
      </c>
      <c r="S25" s="86">
        <f t="shared" si="11"/>
        <v>7793.3062774589716</v>
      </c>
    </row>
    <row r="26" spans="1:21" ht="15.75" customHeight="1" x14ac:dyDescent="0.25">
      <c r="A26" s="281"/>
      <c r="B26" s="19">
        <v>0.7</v>
      </c>
      <c r="C26" s="19">
        <v>30</v>
      </c>
      <c r="D26" s="19">
        <v>30</v>
      </c>
      <c r="E26" s="77">
        <f t="shared" si="0"/>
        <v>18.849540000000001</v>
      </c>
      <c r="F26" s="78">
        <f t="shared" si="1"/>
        <v>14.285714285714286</v>
      </c>
      <c r="G26" s="78">
        <f t="shared" si="2"/>
        <v>42.857142857142861</v>
      </c>
      <c r="H26" s="78">
        <f t="shared" si="3"/>
        <v>612.24489795918373</v>
      </c>
      <c r="I26" s="79">
        <v>1.5369999999999999</v>
      </c>
      <c r="J26" s="80">
        <v>2492.576</v>
      </c>
      <c r="K26" s="81">
        <f t="shared" si="4"/>
        <v>253.74105400130125</v>
      </c>
      <c r="L26" s="82">
        <f t="shared" si="5"/>
        <v>98.959011060507493</v>
      </c>
      <c r="M26" s="78">
        <f t="shared" si="6"/>
        <v>80.241657759647197</v>
      </c>
      <c r="N26" s="82">
        <f t="shared" si="7"/>
        <v>12.369876382563433</v>
      </c>
      <c r="O26" s="83">
        <v>21.819900000000001</v>
      </c>
      <c r="P26" s="84">
        <f t="shared" si="8"/>
        <v>5.5366044242029933</v>
      </c>
      <c r="Q26" s="85">
        <f t="shared" si="9"/>
        <v>6.4868601171112568</v>
      </c>
      <c r="R26" s="86">
        <f t="shared" si="10"/>
        <v>853.51068533115927</v>
      </c>
      <c r="S26" s="86">
        <f t="shared" si="11"/>
        <v>18623.517802857361</v>
      </c>
    </row>
    <row r="27" spans="1:21" ht="15.75" customHeight="1" x14ac:dyDescent="0.25">
      <c r="A27" s="281" t="s">
        <v>186</v>
      </c>
      <c r="B27" s="19">
        <v>0.7</v>
      </c>
      <c r="C27" s="19">
        <v>30</v>
      </c>
      <c r="D27" s="19">
        <v>20</v>
      </c>
      <c r="E27" s="77">
        <f t="shared" si="0"/>
        <v>7.0685775</v>
      </c>
      <c r="F27" s="78">
        <f t="shared" si="1"/>
        <v>7.1428571428571432</v>
      </c>
      <c r="G27" s="78">
        <f t="shared" si="2"/>
        <v>42.857142857142861</v>
      </c>
      <c r="H27" s="78">
        <f t="shared" si="3"/>
        <v>306.12244897959187</v>
      </c>
      <c r="I27" s="279">
        <v>0.55900000000000005</v>
      </c>
      <c r="J27" s="280">
        <v>399.11099999999999</v>
      </c>
      <c r="K27" s="81">
        <f t="shared" si="4"/>
        <v>697.67441860465112</v>
      </c>
      <c r="L27" s="82">
        <f t="shared" si="5"/>
        <v>272.09302325581393</v>
      </c>
      <c r="M27" s="78">
        <f t="shared" si="6"/>
        <v>97.133558680367756</v>
      </c>
      <c r="N27" s="82">
        <f t="shared" si="7"/>
        <v>34.011627906976749</v>
      </c>
      <c r="O27" s="83">
        <v>11.6935</v>
      </c>
      <c r="P27" s="84">
        <f t="shared" si="8"/>
        <v>8.1582558139534882</v>
      </c>
      <c r="Q27" s="85">
        <f t="shared" si="9"/>
        <v>2.8558926654740606</v>
      </c>
      <c r="R27" s="86">
        <f t="shared" si="10"/>
        <v>2856.639506302758</v>
      </c>
      <c r="S27" s="86">
        <f t="shared" si="11"/>
        <v>33404.114066951304</v>
      </c>
      <c r="U27" s="87" t="s">
        <v>82</v>
      </c>
    </row>
    <row r="28" spans="1:21" ht="15.75" customHeight="1" x14ac:dyDescent="0.25">
      <c r="B28" s="19">
        <v>0.7</v>
      </c>
      <c r="C28" s="19">
        <v>20</v>
      </c>
      <c r="D28" s="19">
        <v>50</v>
      </c>
      <c r="E28" s="77">
        <f t="shared" si="0"/>
        <v>37.699080000000002</v>
      </c>
      <c r="F28" s="78">
        <f t="shared" si="1"/>
        <v>28.571428571428573</v>
      </c>
      <c r="G28" s="78">
        <f t="shared" si="2"/>
        <v>28.571428571428573</v>
      </c>
      <c r="H28" s="78">
        <f t="shared" si="3"/>
        <v>816.32653061224494</v>
      </c>
      <c r="I28" s="79">
        <v>3.1669999999999998</v>
      </c>
      <c r="J28" s="80">
        <v>9438.7129999999997</v>
      </c>
      <c r="K28" s="81">
        <f t="shared" si="4"/>
        <v>123.14493211240922</v>
      </c>
      <c r="L28" s="82">
        <f t="shared" si="5"/>
        <v>48.0265235238396</v>
      </c>
      <c r="M28" s="78">
        <f t="shared" si="6"/>
        <v>71.567504251542559</v>
      </c>
      <c r="N28" s="82">
        <f t="shared" si="7"/>
        <v>6.0033154404799491</v>
      </c>
      <c r="O28" s="83">
        <v>31.052700000000002</v>
      </c>
      <c r="P28" s="84">
        <f t="shared" si="8"/>
        <v>3.8239826334070099</v>
      </c>
      <c r="Q28" s="85">
        <f t="shared" si="9"/>
        <v>11.921329965266814</v>
      </c>
      <c r="R28" s="86">
        <f t="shared" si="10"/>
        <v>320.76812273029174</v>
      </c>
      <c r="S28" s="86">
        <f t="shared" si="11"/>
        <v>9960.7162847069303</v>
      </c>
    </row>
    <row r="29" spans="1:21" ht="15.75" customHeight="1" x14ac:dyDescent="0.25">
      <c r="B29" s="19">
        <v>0.7</v>
      </c>
      <c r="C29" s="19">
        <v>20</v>
      </c>
      <c r="D29" s="19">
        <v>30</v>
      </c>
      <c r="E29" s="77">
        <f t="shared" si="0"/>
        <v>12.566360000000001</v>
      </c>
      <c r="F29" s="78">
        <f t="shared" si="1"/>
        <v>14.285714285714286</v>
      </c>
      <c r="G29" s="78">
        <f t="shared" si="2"/>
        <v>28.571428571428573</v>
      </c>
      <c r="H29" s="78">
        <f t="shared" si="3"/>
        <v>408.16326530612247</v>
      </c>
      <c r="I29" s="79">
        <v>1.024</v>
      </c>
      <c r="J29" s="80">
        <v>1403.712</v>
      </c>
      <c r="K29" s="81">
        <f t="shared" si="4"/>
        <v>380.859375</v>
      </c>
      <c r="L29" s="82">
        <f t="shared" si="5"/>
        <v>148.53515625</v>
      </c>
      <c r="M29" s="78">
        <f t="shared" si="6"/>
        <v>101.80692443847656</v>
      </c>
      <c r="N29" s="82">
        <f t="shared" si="7"/>
        <v>18.566894531249996</v>
      </c>
      <c r="O29" s="83">
        <v>19.038499999999999</v>
      </c>
      <c r="P29" s="84">
        <f t="shared" si="8"/>
        <v>7.2509912109375003</v>
      </c>
      <c r="Q29" s="85">
        <f t="shared" si="9"/>
        <v>5.48325</v>
      </c>
      <c r="R29" s="86">
        <f t="shared" si="10"/>
        <v>1322.3893149022022</v>
      </c>
      <c r="S29" s="86">
        <f t="shared" si="11"/>
        <v>25176.308971765575</v>
      </c>
    </row>
    <row r="30" spans="1:21" ht="15.75" customHeight="1" x14ac:dyDescent="0.25">
      <c r="B30" s="19">
        <v>0.7</v>
      </c>
      <c r="C30" s="19">
        <v>20</v>
      </c>
      <c r="D30" s="19">
        <v>20</v>
      </c>
      <c r="E30" s="77">
        <f t="shared" si="0"/>
        <v>4.7123850000000003</v>
      </c>
      <c r="F30" s="78">
        <f t="shared" si="1"/>
        <v>7.1428571428571432</v>
      </c>
      <c r="G30" s="78">
        <f t="shared" si="2"/>
        <v>28.571428571428573</v>
      </c>
      <c r="H30" s="78">
        <f t="shared" si="3"/>
        <v>204.08163265306123</v>
      </c>
      <c r="I30" s="79">
        <v>0.372</v>
      </c>
      <c r="J30" s="80">
        <v>236.08099999999999</v>
      </c>
      <c r="K30" s="81">
        <f t="shared" si="4"/>
        <v>1048.3870967741937</v>
      </c>
      <c r="L30" s="82">
        <f t="shared" si="5"/>
        <v>408.87096774193549</v>
      </c>
      <c r="M30" s="78">
        <f t="shared" si="6"/>
        <v>129.74014373048908</v>
      </c>
      <c r="N30" s="82">
        <f t="shared" si="7"/>
        <v>51.108870967741936</v>
      </c>
      <c r="O30" s="83">
        <v>10.663500000000001</v>
      </c>
      <c r="P30" s="84">
        <f t="shared" si="8"/>
        <v>11.179475806451615</v>
      </c>
      <c r="Q30" s="85">
        <f t="shared" si="9"/>
        <v>2.5385053763440859</v>
      </c>
      <c r="R30" s="86">
        <f t="shared" si="10"/>
        <v>4403.9598697057372</v>
      </c>
      <c r="S30" s="86">
        <f t="shared" si="11"/>
        <v>46961.626070607133</v>
      </c>
      <c r="U30" s="87" t="s">
        <v>83</v>
      </c>
    </row>
    <row r="31" spans="1:21" ht="15.75" customHeight="1" x14ac:dyDescent="0.25">
      <c r="B31" s="19">
        <v>0.7</v>
      </c>
      <c r="C31" s="19">
        <v>10</v>
      </c>
      <c r="D31" s="19">
        <v>50</v>
      </c>
      <c r="E31" s="77">
        <f t="shared" si="0"/>
        <v>18.849540000000001</v>
      </c>
      <c r="F31" s="78">
        <f t="shared" si="1"/>
        <v>28.571428571428573</v>
      </c>
      <c r="G31" s="78">
        <f t="shared" si="2"/>
        <v>14.285714285714286</v>
      </c>
      <c r="H31" s="78">
        <f t="shared" si="3"/>
        <v>408.16326530612247</v>
      </c>
      <c r="I31" s="79">
        <v>1.583</v>
      </c>
      <c r="J31" s="80">
        <v>2923.152</v>
      </c>
      <c r="K31" s="81">
        <f t="shared" si="4"/>
        <v>246.367656348705</v>
      </c>
      <c r="L31" s="82">
        <f t="shared" si="5"/>
        <v>96.083385975994958</v>
      </c>
      <c r="M31" s="78">
        <f t="shared" si="6"/>
        <v>88.713310765161594</v>
      </c>
      <c r="N31" s="82">
        <f t="shared" si="7"/>
        <v>12.01042324699937</v>
      </c>
      <c r="O31" s="83">
        <v>19.5153</v>
      </c>
      <c r="P31" s="84">
        <f t="shared" si="8"/>
        <v>4.8079387239418825</v>
      </c>
      <c r="Q31" s="85">
        <f t="shared" si="9"/>
        <v>7.3863600758054329</v>
      </c>
      <c r="R31" s="86">
        <f t="shared" si="10"/>
        <v>650.9212487068753</v>
      </c>
      <c r="S31" s="86">
        <f t="shared" si="11"/>
        <v>12702.923444889284</v>
      </c>
    </row>
    <row r="32" spans="1:21" ht="15.75" customHeight="1" x14ac:dyDescent="0.25">
      <c r="B32" s="19">
        <v>0.7</v>
      </c>
      <c r="C32" s="19">
        <v>10</v>
      </c>
      <c r="D32" s="19">
        <v>30</v>
      </c>
      <c r="E32" s="77">
        <f t="shared" si="0"/>
        <v>6.2831800000000007</v>
      </c>
      <c r="F32" s="78">
        <f t="shared" si="1"/>
        <v>14.285714285714286</v>
      </c>
      <c r="G32" s="78">
        <f t="shared" si="2"/>
        <v>14.285714285714286</v>
      </c>
      <c r="H32" s="78">
        <f t="shared" si="3"/>
        <v>204.08163265306123</v>
      </c>
      <c r="I32" s="79">
        <v>0.51200000000000001</v>
      </c>
      <c r="J32" s="80">
        <v>478.82299999999998</v>
      </c>
      <c r="K32" s="81">
        <f t="shared" si="4"/>
        <v>761.71875</v>
      </c>
      <c r="L32" s="82">
        <f t="shared" si="5"/>
        <v>297.0703125</v>
      </c>
      <c r="M32" s="78">
        <f t="shared" si="6"/>
        <v>138.91025218963622</v>
      </c>
      <c r="N32" s="82">
        <f t="shared" si="7"/>
        <v>37.1337890625</v>
      </c>
      <c r="O32" s="83">
        <v>12.908099999999999</v>
      </c>
      <c r="P32" s="84">
        <f t="shared" si="8"/>
        <v>9.8323417968749993</v>
      </c>
      <c r="Q32" s="85">
        <f t="shared" si="9"/>
        <v>3.7408046874999998</v>
      </c>
      <c r="R32" s="86">
        <f t="shared" si="10"/>
        <v>2628.4028753840144</v>
      </c>
      <c r="S32" s="86">
        <f t="shared" si="11"/>
        <v>33927.687155744396</v>
      </c>
      <c r="U32" s="87" t="s">
        <v>84</v>
      </c>
    </row>
    <row r="33" spans="2:21" ht="15.75" customHeight="1" x14ac:dyDescent="0.25">
      <c r="B33" s="19">
        <v>0.7</v>
      </c>
      <c r="C33" s="19">
        <v>10</v>
      </c>
      <c r="D33" s="19">
        <v>20</v>
      </c>
      <c r="E33" s="77">
        <f t="shared" si="0"/>
        <v>2.3561925000000001</v>
      </c>
      <c r="F33" s="78">
        <f t="shared" si="1"/>
        <v>7.1428571428571432</v>
      </c>
      <c r="G33" s="78">
        <f t="shared" si="2"/>
        <v>14.285714285714286</v>
      </c>
      <c r="H33" s="78">
        <f t="shared" si="3"/>
        <v>102.04081632653062</v>
      </c>
      <c r="I33" s="79">
        <v>0.186</v>
      </c>
      <c r="J33" s="80">
        <v>88.21</v>
      </c>
      <c r="K33" s="81">
        <f t="shared" si="4"/>
        <v>2096.7741935483873</v>
      </c>
      <c r="L33" s="82">
        <f t="shared" si="5"/>
        <v>817.74193548387098</v>
      </c>
      <c r="M33" s="78">
        <f t="shared" si="6"/>
        <v>193.90595733610823</v>
      </c>
      <c r="N33" s="82">
        <f t="shared" si="7"/>
        <v>102.21774193548387</v>
      </c>
      <c r="O33" s="83">
        <v>7.8017000000000003</v>
      </c>
      <c r="P33" s="84">
        <f t="shared" si="8"/>
        <v>16.358403225806455</v>
      </c>
      <c r="Q33" s="85">
        <f t="shared" si="9"/>
        <v>1.8969892473118279</v>
      </c>
      <c r="R33" s="86">
        <f t="shared" si="10"/>
        <v>8623.3505271511185</v>
      </c>
      <c r="S33" s="86">
        <f t="shared" si="11"/>
        <v>67276.793807674883</v>
      </c>
    </row>
    <row r="34" spans="2:21" ht="15.75" customHeight="1" x14ac:dyDescent="0.25">
      <c r="E34" s="88"/>
      <c r="F34" s="89"/>
      <c r="G34" s="89"/>
      <c r="H34" s="89"/>
      <c r="K34" s="90"/>
      <c r="L34" s="91"/>
      <c r="M34" s="89"/>
      <c r="N34" s="92"/>
      <c r="Q34" s="88"/>
      <c r="R34" s="89"/>
      <c r="S34" s="89"/>
    </row>
    <row r="35" spans="2:21" ht="15.75" customHeight="1" x14ac:dyDescent="0.25">
      <c r="B35" s="19">
        <v>1.02</v>
      </c>
      <c r="C35" s="19">
        <v>50</v>
      </c>
      <c r="D35" s="19">
        <v>50</v>
      </c>
      <c r="E35" s="77">
        <f t="shared" ref="E35:E46" si="12">(((3.14159 * (D35/2)^2) * C35) - (3.14159 * (($E$5/2)^2)) * C35)/1000</f>
        <v>94.247699999999995</v>
      </c>
      <c r="F35" s="78">
        <f t="shared" ref="F35:F46" si="13">((D35-$E$5)/2)/B35</f>
        <v>19.607843137254903</v>
      </c>
      <c r="G35" s="78">
        <f t="shared" ref="G35:G46" si="14">C35/B35</f>
        <v>49.019607843137251</v>
      </c>
      <c r="H35" s="78">
        <f t="shared" ref="H35:H46" si="15">F35*G35</f>
        <v>961.1687812379854</v>
      </c>
      <c r="I35" s="79">
        <v>1.7989999999999999</v>
      </c>
      <c r="J35" s="80">
        <v>8842.6</v>
      </c>
      <c r="K35" s="81">
        <f t="shared" ref="K35:K46" si="16">$E$3/I35</f>
        <v>216.78710394663702</v>
      </c>
      <c r="L35" s="82">
        <f t="shared" ref="L35:L46" si="17">(K35*$E$3)/1000</f>
        <v>84.546970539188436</v>
      </c>
      <c r="M35" s="78">
        <f t="shared" ref="M35:M46" si="18">((J35/1000000)*K35^2)/2</f>
        <v>207.78628173702828</v>
      </c>
      <c r="N35" s="82">
        <f t="shared" ref="N35:N46" si="19">(M35/(Q35/1000))/1000</f>
        <v>10.568371317398556</v>
      </c>
      <c r="O35" s="93">
        <v>20.778099999999998</v>
      </c>
      <c r="P35" s="84">
        <f t="shared" ref="P35:P46" si="20">(O35*K35)/1000</f>
        <v>4.5044241245136183</v>
      </c>
      <c r="Q35" s="85">
        <f t="shared" ref="Q35:Q46" si="21">((J35/1000)/I35)*4</f>
        <v>19.661145080600335</v>
      </c>
      <c r="R35" s="86">
        <f t="shared" ref="R35:R46" si="22">P35/(Q35/1000)</f>
        <v>229.10283740076446</v>
      </c>
      <c r="S35" s="86">
        <f t="shared" ref="S35:S46" si="23">R35*O35</f>
        <v>4760.3216657968233</v>
      </c>
    </row>
    <row r="36" spans="2:21" ht="15.75" customHeight="1" x14ac:dyDescent="0.25">
      <c r="B36" s="19">
        <v>1.02</v>
      </c>
      <c r="C36" s="19">
        <v>50</v>
      </c>
      <c r="D36" s="19">
        <v>30</v>
      </c>
      <c r="E36" s="77">
        <f t="shared" si="12"/>
        <v>31.415899999999997</v>
      </c>
      <c r="F36" s="78">
        <f t="shared" si="13"/>
        <v>9.8039215686274517</v>
      </c>
      <c r="G36" s="78">
        <f t="shared" si="14"/>
        <v>49.019607843137251</v>
      </c>
      <c r="H36" s="78">
        <f t="shared" si="15"/>
        <v>480.5843906189927</v>
      </c>
      <c r="I36" s="79">
        <v>0.59</v>
      </c>
      <c r="J36" s="80">
        <v>1195.4000000000001</v>
      </c>
      <c r="K36" s="81">
        <f t="shared" si="16"/>
        <v>661.01694915254245</v>
      </c>
      <c r="L36" s="82">
        <f t="shared" si="17"/>
        <v>257.79661016949154</v>
      </c>
      <c r="M36" s="78">
        <f t="shared" si="18"/>
        <v>261.16107440390704</v>
      </c>
      <c r="N36" s="82">
        <f t="shared" si="19"/>
        <v>32.22457627118645</v>
      </c>
      <c r="O36" s="93">
        <v>11.258900000000001</v>
      </c>
      <c r="P36" s="84">
        <f t="shared" si="20"/>
        <v>7.4423237288135606</v>
      </c>
      <c r="Q36" s="85">
        <f t="shared" si="21"/>
        <v>8.1044067796610175</v>
      </c>
      <c r="R36" s="86">
        <f t="shared" si="22"/>
        <v>918.30579722268703</v>
      </c>
      <c r="S36" s="86">
        <f t="shared" si="23"/>
        <v>10339.113140350511</v>
      </c>
    </row>
    <row r="37" spans="2:21" ht="12.5" x14ac:dyDescent="0.25">
      <c r="B37" s="19">
        <v>1.02</v>
      </c>
      <c r="C37" s="19">
        <v>50</v>
      </c>
      <c r="D37" s="19">
        <v>20</v>
      </c>
      <c r="E37" s="77">
        <f t="shared" si="12"/>
        <v>11.780962499999999</v>
      </c>
      <c r="F37" s="78">
        <f t="shared" si="13"/>
        <v>4.9019607843137258</v>
      </c>
      <c r="G37" s="78">
        <f t="shared" si="14"/>
        <v>49.019607843137251</v>
      </c>
      <c r="H37" s="78">
        <f t="shared" si="15"/>
        <v>240.29219530949635</v>
      </c>
      <c r="I37" s="79">
        <v>0.217</v>
      </c>
      <c r="J37" s="80">
        <v>187.1</v>
      </c>
      <c r="K37" s="81">
        <f t="shared" si="16"/>
        <v>1797.2350230414747</v>
      </c>
      <c r="L37" s="82">
        <f t="shared" si="17"/>
        <v>700.9216589861752</v>
      </c>
      <c r="M37" s="78">
        <f t="shared" si="18"/>
        <v>302.17152625878657</v>
      </c>
      <c r="N37" s="82">
        <f t="shared" si="19"/>
        <v>87.6152073732719</v>
      </c>
      <c r="O37" s="93">
        <v>5.8017000000000003</v>
      </c>
      <c r="P37" s="84">
        <f t="shared" si="20"/>
        <v>10.427018433179725</v>
      </c>
      <c r="Q37" s="85">
        <f t="shared" si="21"/>
        <v>3.4488479262672809</v>
      </c>
      <c r="R37" s="86">
        <f t="shared" si="22"/>
        <v>3023.3337787279538</v>
      </c>
      <c r="S37" s="86">
        <f t="shared" si="23"/>
        <v>17540.475584045969</v>
      </c>
    </row>
    <row r="38" spans="2:21" ht="12.5" x14ac:dyDescent="0.25">
      <c r="B38" s="19">
        <v>1.02</v>
      </c>
      <c r="C38" s="19">
        <v>30</v>
      </c>
      <c r="D38" s="19">
        <v>50</v>
      </c>
      <c r="E38" s="77">
        <f t="shared" si="12"/>
        <v>56.548619999999993</v>
      </c>
      <c r="F38" s="78">
        <f t="shared" si="13"/>
        <v>19.607843137254903</v>
      </c>
      <c r="G38" s="78">
        <f t="shared" si="14"/>
        <v>29.411764705882351</v>
      </c>
      <c r="H38" s="78">
        <f t="shared" si="15"/>
        <v>576.70126874279129</v>
      </c>
      <c r="I38" s="79">
        <v>1.081</v>
      </c>
      <c r="J38" s="80">
        <v>4215</v>
      </c>
      <c r="K38" s="81">
        <f t="shared" si="16"/>
        <v>360.77705827937098</v>
      </c>
      <c r="L38" s="82">
        <f t="shared" si="17"/>
        <v>140.70305272895467</v>
      </c>
      <c r="M38" s="78">
        <f t="shared" si="18"/>
        <v>274.31238078286032</v>
      </c>
      <c r="N38" s="82">
        <f t="shared" si="19"/>
        <v>17.587881591119334</v>
      </c>
      <c r="O38" s="93">
        <v>17.599900000000002</v>
      </c>
      <c r="P38" s="84">
        <f t="shared" si="20"/>
        <v>6.349640148011102</v>
      </c>
      <c r="Q38" s="85">
        <f t="shared" si="21"/>
        <v>15.596669750231268</v>
      </c>
      <c r="R38" s="86">
        <f t="shared" si="22"/>
        <v>407.11512455516021</v>
      </c>
      <c r="S38" s="86">
        <f t="shared" si="23"/>
        <v>7165.1854806583651</v>
      </c>
      <c r="U38" s="94" t="s">
        <v>85</v>
      </c>
    </row>
    <row r="39" spans="2:21" ht="12.5" x14ac:dyDescent="0.25">
      <c r="B39" s="19">
        <v>1.02</v>
      </c>
      <c r="C39" s="19">
        <v>30</v>
      </c>
      <c r="D39" s="19">
        <v>30</v>
      </c>
      <c r="E39" s="77">
        <f t="shared" si="12"/>
        <v>18.849540000000001</v>
      </c>
      <c r="F39" s="78">
        <f t="shared" si="13"/>
        <v>9.8039215686274517</v>
      </c>
      <c r="G39" s="78">
        <f t="shared" si="14"/>
        <v>29.411764705882351</v>
      </c>
      <c r="H39" s="78">
        <f t="shared" si="15"/>
        <v>288.35063437139564</v>
      </c>
      <c r="I39" s="79">
        <v>0.35299999999999998</v>
      </c>
      <c r="J39" s="80">
        <v>607</v>
      </c>
      <c r="K39" s="81">
        <f t="shared" si="16"/>
        <v>1104.8158640226629</v>
      </c>
      <c r="L39" s="82">
        <f t="shared" si="17"/>
        <v>430.87818696883858</v>
      </c>
      <c r="M39" s="78">
        <f t="shared" si="18"/>
        <v>370.4575913457295</v>
      </c>
      <c r="N39" s="82">
        <f t="shared" si="19"/>
        <v>53.859773371104822</v>
      </c>
      <c r="O39" s="93">
        <v>10.1709</v>
      </c>
      <c r="P39" s="84">
        <f t="shared" si="20"/>
        <v>11.236971671388103</v>
      </c>
      <c r="Q39" s="85">
        <f t="shared" si="21"/>
        <v>6.8781869688385271</v>
      </c>
      <c r="R39" s="86">
        <f t="shared" si="22"/>
        <v>1633.7112850082374</v>
      </c>
      <c r="S39" s="86">
        <f t="shared" si="23"/>
        <v>16616.31410869028</v>
      </c>
    </row>
    <row r="40" spans="2:21" ht="12.5" x14ac:dyDescent="0.25">
      <c r="B40" s="19">
        <v>1.02</v>
      </c>
      <c r="C40" s="19">
        <v>30</v>
      </c>
      <c r="D40" s="19">
        <v>20</v>
      </c>
      <c r="E40" s="77">
        <f t="shared" si="12"/>
        <v>7.0685775</v>
      </c>
      <c r="F40" s="78">
        <f t="shared" si="13"/>
        <v>4.9019607843137258</v>
      </c>
      <c r="G40" s="78">
        <f t="shared" si="14"/>
        <v>29.411764705882351</v>
      </c>
      <c r="H40" s="78">
        <f t="shared" si="15"/>
        <v>144.17531718569782</v>
      </c>
      <c r="I40" s="79">
        <v>0.13</v>
      </c>
      <c r="J40" s="80">
        <v>100.6</v>
      </c>
      <c r="K40" s="81">
        <f t="shared" si="16"/>
        <v>3000</v>
      </c>
      <c r="L40" s="82">
        <f t="shared" si="17"/>
        <v>1170</v>
      </c>
      <c r="M40" s="78">
        <f t="shared" si="18"/>
        <v>452.7</v>
      </c>
      <c r="N40" s="82">
        <f t="shared" si="19"/>
        <v>146.25000000000003</v>
      </c>
      <c r="O40" s="93">
        <v>5.4569999999999999</v>
      </c>
      <c r="P40" s="84">
        <f t="shared" si="20"/>
        <v>16.370999999999999</v>
      </c>
      <c r="Q40" s="85">
        <f t="shared" si="21"/>
        <v>3.095384615384615</v>
      </c>
      <c r="R40" s="86">
        <f t="shared" si="22"/>
        <v>5288.8419483101397</v>
      </c>
      <c r="S40" s="86">
        <f t="shared" si="23"/>
        <v>28861.210511928432</v>
      </c>
    </row>
    <row r="41" spans="2:21" ht="12.5" x14ac:dyDescent="0.25">
      <c r="B41" s="19">
        <v>1.02</v>
      </c>
      <c r="C41" s="19">
        <v>20</v>
      </c>
      <c r="D41" s="19">
        <v>50</v>
      </c>
      <c r="E41" s="77">
        <f t="shared" si="12"/>
        <v>37.699080000000002</v>
      </c>
      <c r="F41" s="78">
        <f t="shared" si="13"/>
        <v>19.607843137254903</v>
      </c>
      <c r="G41" s="78">
        <f t="shared" si="14"/>
        <v>19.607843137254903</v>
      </c>
      <c r="H41" s="78">
        <f t="shared" si="15"/>
        <v>384.46751249519423</v>
      </c>
      <c r="I41" s="79">
        <v>0.71899999999999997</v>
      </c>
      <c r="J41" s="80">
        <v>2221.1999999999998</v>
      </c>
      <c r="K41" s="81">
        <f t="shared" si="16"/>
        <v>542.42002781641168</v>
      </c>
      <c r="L41" s="82">
        <f t="shared" si="17"/>
        <v>211.54381084840054</v>
      </c>
      <c r="M41" s="78">
        <f t="shared" si="18"/>
        <v>326.76016179170188</v>
      </c>
      <c r="N41" s="82">
        <f t="shared" si="19"/>
        <v>26.442976356050071</v>
      </c>
      <c r="O41" s="93">
        <v>14.394600000000001</v>
      </c>
      <c r="P41" s="84">
        <f t="shared" si="20"/>
        <v>7.8079193324061196</v>
      </c>
      <c r="Q41" s="85">
        <f t="shared" si="21"/>
        <v>12.357162726008344</v>
      </c>
      <c r="R41" s="86">
        <f t="shared" si="22"/>
        <v>631.85372771474886</v>
      </c>
      <c r="S41" s="86">
        <f t="shared" si="23"/>
        <v>9095.2816689627234</v>
      </c>
    </row>
    <row r="42" spans="2:21" ht="12.5" x14ac:dyDescent="0.25">
      <c r="B42" s="19">
        <v>1.02</v>
      </c>
      <c r="C42" s="19">
        <v>20</v>
      </c>
      <c r="D42" s="19">
        <v>30</v>
      </c>
      <c r="E42" s="77">
        <f t="shared" si="12"/>
        <v>12.566360000000001</v>
      </c>
      <c r="F42" s="78">
        <f t="shared" si="13"/>
        <v>9.8039215686274517</v>
      </c>
      <c r="G42" s="78">
        <f t="shared" si="14"/>
        <v>19.607843137254903</v>
      </c>
      <c r="H42" s="78">
        <f t="shared" si="15"/>
        <v>192.23375624759711</v>
      </c>
      <c r="I42" s="79">
        <v>0.23499999999999999</v>
      </c>
      <c r="J42" s="80">
        <v>341.2</v>
      </c>
      <c r="K42" s="81">
        <f t="shared" si="16"/>
        <v>1659.5744680851064</v>
      </c>
      <c r="L42" s="82">
        <f t="shared" si="17"/>
        <v>647.23404255319156</v>
      </c>
      <c r="M42" s="78">
        <f t="shared" si="18"/>
        <v>469.86437301946586</v>
      </c>
      <c r="N42" s="82">
        <f t="shared" si="19"/>
        <v>80.90425531914893</v>
      </c>
      <c r="O42" s="93">
        <v>8.8178999999999998</v>
      </c>
      <c r="P42" s="84">
        <f t="shared" si="20"/>
        <v>14.633961702127658</v>
      </c>
      <c r="Q42" s="85">
        <f t="shared" si="21"/>
        <v>5.8076595744680857</v>
      </c>
      <c r="R42" s="86">
        <f t="shared" si="22"/>
        <v>2519.7691969519337</v>
      </c>
      <c r="S42" s="86">
        <f t="shared" si="23"/>
        <v>22219.072801802457</v>
      </c>
    </row>
    <row r="43" spans="2:21" ht="12.5" x14ac:dyDescent="0.25">
      <c r="B43" s="19">
        <v>1.02</v>
      </c>
      <c r="C43" s="19">
        <v>20</v>
      </c>
      <c r="D43" s="19">
        <v>20</v>
      </c>
      <c r="E43" s="77">
        <f t="shared" si="12"/>
        <v>4.7123850000000003</v>
      </c>
      <c r="F43" s="78">
        <f t="shared" si="13"/>
        <v>4.9019607843137258</v>
      </c>
      <c r="G43" s="78">
        <f t="shared" si="14"/>
        <v>19.607843137254903</v>
      </c>
      <c r="H43" s="78">
        <f t="shared" si="15"/>
        <v>96.116878123798557</v>
      </c>
      <c r="I43" s="79">
        <v>8.6999999999999994E-2</v>
      </c>
      <c r="J43" s="80">
        <v>59.3</v>
      </c>
      <c r="K43" s="81">
        <f t="shared" si="16"/>
        <v>4482.7586206896558</v>
      </c>
      <c r="L43" s="82">
        <f t="shared" si="17"/>
        <v>1748.2758620689658</v>
      </c>
      <c r="M43" s="78">
        <f t="shared" si="18"/>
        <v>595.82045184304411</v>
      </c>
      <c r="N43" s="82">
        <f t="shared" si="19"/>
        <v>218.5344827586207</v>
      </c>
      <c r="O43" s="93">
        <v>4.9413</v>
      </c>
      <c r="P43" s="84">
        <f t="shared" si="20"/>
        <v>22.150655172413796</v>
      </c>
      <c r="Q43" s="85">
        <f t="shared" si="21"/>
        <v>2.7264367816091957</v>
      </c>
      <c r="R43" s="86">
        <f t="shared" si="22"/>
        <v>8124.3971332209103</v>
      </c>
      <c r="S43" s="86">
        <f t="shared" si="23"/>
        <v>40145.083554384488</v>
      </c>
    </row>
    <row r="44" spans="2:21" ht="12.5" x14ac:dyDescent="0.25">
      <c r="B44" s="19">
        <v>1.02</v>
      </c>
      <c r="C44" s="19">
        <v>10</v>
      </c>
      <c r="D44" s="19">
        <v>50</v>
      </c>
      <c r="E44" s="77">
        <f t="shared" si="12"/>
        <v>18.849540000000001</v>
      </c>
      <c r="F44" s="78">
        <f t="shared" si="13"/>
        <v>19.607843137254903</v>
      </c>
      <c r="G44" s="78">
        <f t="shared" si="14"/>
        <v>9.8039215686274517</v>
      </c>
      <c r="H44" s="78">
        <f t="shared" si="15"/>
        <v>192.23375624759711</v>
      </c>
      <c r="I44" s="79">
        <v>0.35899999999999999</v>
      </c>
      <c r="J44" s="80">
        <v>686.9</v>
      </c>
      <c r="K44" s="81">
        <f t="shared" si="16"/>
        <v>1086.3509749303621</v>
      </c>
      <c r="L44" s="82">
        <f t="shared" si="17"/>
        <v>423.67688022284125</v>
      </c>
      <c r="M44" s="78">
        <f t="shared" si="18"/>
        <v>405.32541646945629</v>
      </c>
      <c r="N44" s="82">
        <f t="shared" si="19"/>
        <v>52.959610027855149</v>
      </c>
      <c r="O44" s="93">
        <v>8.9572000000000003</v>
      </c>
      <c r="P44" s="84">
        <f t="shared" si="20"/>
        <v>9.7306629526462398</v>
      </c>
      <c r="Q44" s="85">
        <f t="shared" si="21"/>
        <v>7.6534818941504179</v>
      </c>
      <c r="R44" s="86">
        <f t="shared" si="22"/>
        <v>1271.4034066094046</v>
      </c>
      <c r="S44" s="86">
        <f t="shared" si="23"/>
        <v>11388.21459368176</v>
      </c>
    </row>
    <row r="45" spans="2:21" ht="12.5" x14ac:dyDescent="0.25">
      <c r="B45" s="19">
        <v>1.02</v>
      </c>
      <c r="C45" s="19">
        <v>10</v>
      </c>
      <c r="D45" s="19">
        <v>30</v>
      </c>
      <c r="E45" s="77">
        <f t="shared" si="12"/>
        <v>6.2831800000000007</v>
      </c>
      <c r="F45" s="78">
        <f t="shared" si="13"/>
        <v>9.8039215686274517</v>
      </c>
      <c r="G45" s="78">
        <f t="shared" si="14"/>
        <v>9.8039215686274517</v>
      </c>
      <c r="H45" s="78">
        <f t="shared" si="15"/>
        <v>96.116878123798557</v>
      </c>
      <c r="I45" s="79">
        <v>0.11799999999999999</v>
      </c>
      <c r="J45" s="80">
        <v>116</v>
      </c>
      <c r="K45" s="81">
        <f t="shared" si="16"/>
        <v>3305.0847457627119</v>
      </c>
      <c r="L45" s="82">
        <f t="shared" si="17"/>
        <v>1288.9830508474577</v>
      </c>
      <c r="M45" s="78">
        <f t="shared" si="18"/>
        <v>633.56794024705539</v>
      </c>
      <c r="N45" s="82">
        <f t="shared" si="19"/>
        <v>161.12288135593215</v>
      </c>
      <c r="O45" s="93">
        <v>5.8985000000000003</v>
      </c>
      <c r="P45" s="84">
        <f t="shared" si="20"/>
        <v>19.495042372881358</v>
      </c>
      <c r="Q45" s="85">
        <f t="shared" si="21"/>
        <v>3.9322033898305091</v>
      </c>
      <c r="R45" s="86">
        <f t="shared" si="22"/>
        <v>4957.7909482758614</v>
      </c>
      <c r="S45" s="86">
        <f t="shared" si="23"/>
        <v>29243.529908405169</v>
      </c>
    </row>
    <row r="46" spans="2:21" ht="12.5" x14ac:dyDescent="0.25">
      <c r="B46" s="19">
        <v>1.02</v>
      </c>
      <c r="C46" s="19">
        <v>10</v>
      </c>
      <c r="D46" s="19">
        <v>20</v>
      </c>
      <c r="E46" s="77">
        <f t="shared" si="12"/>
        <v>2.3561925000000001</v>
      </c>
      <c r="F46" s="78">
        <f t="shared" si="13"/>
        <v>4.9019607843137258</v>
      </c>
      <c r="G46" s="78">
        <f t="shared" si="14"/>
        <v>9.8039215686274517</v>
      </c>
      <c r="H46" s="78">
        <f t="shared" si="15"/>
        <v>48.058439061899278</v>
      </c>
      <c r="I46" s="79">
        <v>4.2999999999999997E-2</v>
      </c>
      <c r="J46" s="80">
        <v>22.1</v>
      </c>
      <c r="K46" s="81">
        <f t="shared" si="16"/>
        <v>9069.7674418604656</v>
      </c>
      <c r="L46" s="82">
        <f t="shared" si="17"/>
        <v>3537.2093023255816</v>
      </c>
      <c r="M46" s="78">
        <f t="shared" si="18"/>
        <v>908.9805300162252</v>
      </c>
      <c r="N46" s="82">
        <f t="shared" si="19"/>
        <v>442.1511627906977</v>
      </c>
      <c r="O46" s="93">
        <v>3.5535999999999999</v>
      </c>
      <c r="P46" s="84">
        <f t="shared" si="20"/>
        <v>32.230325581395348</v>
      </c>
      <c r="Q46" s="85">
        <f t="shared" si="21"/>
        <v>2.0558139534883724</v>
      </c>
      <c r="R46" s="86">
        <f t="shared" si="22"/>
        <v>15677.647058823526</v>
      </c>
      <c r="S46" s="86">
        <f t="shared" si="23"/>
        <v>55712.086588235281</v>
      </c>
    </row>
    <row r="47" spans="2:21" ht="12.5" x14ac:dyDescent="0.25">
      <c r="N47" s="92"/>
    </row>
    <row r="48" spans="2:21" ht="12.5" x14ac:dyDescent="0.25">
      <c r="B48" s="19">
        <v>1.29</v>
      </c>
      <c r="C48" s="19">
        <v>50</v>
      </c>
      <c r="D48" s="19">
        <v>50</v>
      </c>
      <c r="E48" s="77">
        <f t="shared" ref="E48:E59" si="24">(((3.14159 * (D48/2)^2) * C48) - (3.14159 * (($E$5/2)^2)) * C48)/1000</f>
        <v>94.247699999999995</v>
      </c>
      <c r="F48" s="78">
        <f t="shared" ref="F48:F59" si="25">((D48-$E$5)/2)/B48</f>
        <v>15.503875968992247</v>
      </c>
      <c r="G48" s="78">
        <f t="shared" ref="G48:G59" si="26">C48/B48</f>
        <v>38.759689922480618</v>
      </c>
      <c r="H48" s="78">
        <f t="shared" ref="H48:H59" si="27">F48*G48</f>
        <v>600.92542515473826</v>
      </c>
      <c r="I48" s="79">
        <v>0.69699999999999995</v>
      </c>
      <c r="J48" s="80">
        <v>3459.5</v>
      </c>
      <c r="K48" s="81">
        <f t="shared" ref="K48:K59" si="28">$E$3/I48</f>
        <v>559.5408895265424</v>
      </c>
      <c r="L48" s="82">
        <f t="shared" ref="L48:L59" si="29">(K48*$E$3)/1000</f>
        <v>218.22094691535153</v>
      </c>
      <c r="M48" s="78">
        <f t="shared" ref="M48:M59" si="30">((J48/1000000)*K48^2)/2</f>
        <v>541.56052069846396</v>
      </c>
      <c r="N48" s="82">
        <f t="shared" ref="N48:N59" si="31">(M48/(Q48/1000))/1000</f>
        <v>27.277618364418949</v>
      </c>
      <c r="O48" s="93">
        <v>13.018800000000001</v>
      </c>
      <c r="P48" s="84">
        <f t="shared" ref="P48:P59" si="32">(O48*K48)/1000</f>
        <v>7.2845509325681501</v>
      </c>
      <c r="Q48" s="85">
        <f t="shared" ref="Q48:Q59" si="33">((J48/1000)/I48)*4</f>
        <v>19.853658536585368</v>
      </c>
      <c r="R48" s="86">
        <f t="shared" ref="R48:R59" si="34">P48/(Q48/1000)</f>
        <v>366.91227055932944</v>
      </c>
      <c r="S48" s="86">
        <f t="shared" ref="S48:S59" si="35">R48*O48</f>
        <v>4776.7574679577983</v>
      </c>
    </row>
    <row r="49" spans="2:19" ht="12.5" x14ac:dyDescent="0.25">
      <c r="B49" s="19">
        <v>1.29</v>
      </c>
      <c r="C49" s="19">
        <v>50</v>
      </c>
      <c r="D49" s="19">
        <v>30</v>
      </c>
      <c r="E49" s="77">
        <f t="shared" si="24"/>
        <v>31.415899999999997</v>
      </c>
      <c r="F49" s="78">
        <f t="shared" si="25"/>
        <v>7.7519379844961236</v>
      </c>
      <c r="G49" s="78">
        <f t="shared" si="26"/>
        <v>38.759689922480618</v>
      </c>
      <c r="H49" s="78">
        <f t="shared" si="27"/>
        <v>300.46271257736913</v>
      </c>
      <c r="I49" s="79">
        <v>0.22700000000000001</v>
      </c>
      <c r="J49" s="80">
        <v>464.1</v>
      </c>
      <c r="K49" s="81">
        <f t="shared" si="28"/>
        <v>1718.0616740088105</v>
      </c>
      <c r="L49" s="82">
        <f t="shared" si="29"/>
        <v>670.04405286343615</v>
      </c>
      <c r="M49" s="78">
        <f t="shared" si="30"/>
        <v>684.9503192377108</v>
      </c>
      <c r="N49" s="82">
        <f t="shared" si="31"/>
        <v>83.755506607929505</v>
      </c>
      <c r="O49" s="93">
        <v>7.0350999999999999</v>
      </c>
      <c r="P49" s="84">
        <f t="shared" si="32"/>
        <v>12.086735682819382</v>
      </c>
      <c r="Q49" s="85">
        <f t="shared" si="33"/>
        <v>8.1779735682819386</v>
      </c>
      <c r="R49" s="86">
        <f t="shared" si="34"/>
        <v>1477.9621848739494</v>
      </c>
      <c r="S49" s="86">
        <f t="shared" si="35"/>
        <v>10397.611766806722</v>
      </c>
    </row>
    <row r="50" spans="2:19" ht="12.5" x14ac:dyDescent="0.25">
      <c r="B50" s="19">
        <v>1.29</v>
      </c>
      <c r="C50" s="19">
        <v>50</v>
      </c>
      <c r="D50" s="19">
        <v>20</v>
      </c>
      <c r="E50" s="77">
        <f t="shared" si="24"/>
        <v>11.780962499999999</v>
      </c>
      <c r="F50" s="78">
        <f t="shared" si="25"/>
        <v>3.8759689922480618</v>
      </c>
      <c r="G50" s="78">
        <f t="shared" si="26"/>
        <v>38.759689922480618</v>
      </c>
      <c r="H50" s="78">
        <f t="shared" si="27"/>
        <v>150.23135628868457</v>
      </c>
      <c r="I50" s="79">
        <v>8.3000000000000004E-2</v>
      </c>
      <c r="J50" s="80">
        <v>73.099999999999994</v>
      </c>
      <c r="K50" s="81">
        <f t="shared" si="28"/>
        <v>4698.795180722891</v>
      </c>
      <c r="L50" s="82">
        <f t="shared" si="29"/>
        <v>1832.5301204819275</v>
      </c>
      <c r="M50" s="78">
        <f t="shared" si="30"/>
        <v>806.97561329655935</v>
      </c>
      <c r="N50" s="82">
        <f t="shared" si="31"/>
        <v>229.06626506024088</v>
      </c>
      <c r="O50" s="93">
        <v>3.6309</v>
      </c>
      <c r="P50" s="84">
        <f t="shared" si="32"/>
        <v>17.060855421686746</v>
      </c>
      <c r="Q50" s="85">
        <f t="shared" si="33"/>
        <v>3.5228915662650602</v>
      </c>
      <c r="R50" s="86">
        <f t="shared" si="34"/>
        <v>4842.8556771545827</v>
      </c>
      <c r="S50" s="86">
        <f t="shared" si="35"/>
        <v>17583.924678180574</v>
      </c>
    </row>
    <row r="51" spans="2:19" ht="12.5" x14ac:dyDescent="0.25">
      <c r="B51" s="19">
        <v>1.29</v>
      </c>
      <c r="C51" s="19">
        <v>30</v>
      </c>
      <c r="D51" s="19">
        <v>50</v>
      </c>
      <c r="E51" s="77">
        <f t="shared" si="24"/>
        <v>56.548619999999993</v>
      </c>
      <c r="F51" s="78">
        <f t="shared" si="25"/>
        <v>15.503875968992247</v>
      </c>
      <c r="G51" s="78">
        <f t="shared" si="26"/>
        <v>23.255813953488371</v>
      </c>
      <c r="H51" s="78">
        <f t="shared" si="27"/>
        <v>360.55525509284291</v>
      </c>
      <c r="I51" s="79">
        <v>0.41899999999999998</v>
      </c>
      <c r="J51" s="80">
        <v>1650.9</v>
      </c>
      <c r="K51" s="81">
        <f t="shared" si="28"/>
        <v>930.78758949880671</v>
      </c>
      <c r="L51" s="82">
        <f t="shared" si="29"/>
        <v>363.00715990453466</v>
      </c>
      <c r="M51" s="78">
        <f t="shared" si="30"/>
        <v>715.14143232266861</v>
      </c>
      <c r="N51" s="82">
        <f t="shared" si="31"/>
        <v>45.375894988066833</v>
      </c>
      <c r="O51" s="93">
        <v>11.052</v>
      </c>
      <c r="P51" s="84">
        <f t="shared" si="32"/>
        <v>10.287064439140812</v>
      </c>
      <c r="Q51" s="85">
        <f t="shared" si="33"/>
        <v>15.76038186157518</v>
      </c>
      <c r="R51" s="86">
        <f t="shared" si="34"/>
        <v>652.71669998182813</v>
      </c>
      <c r="S51" s="86">
        <f t="shared" si="35"/>
        <v>7213.8249681991638</v>
      </c>
    </row>
    <row r="52" spans="2:19" ht="12.5" x14ac:dyDescent="0.25">
      <c r="B52" s="19">
        <v>1.29</v>
      </c>
      <c r="C52" s="19">
        <v>30</v>
      </c>
      <c r="D52" s="19">
        <v>30</v>
      </c>
      <c r="E52" s="77">
        <f t="shared" si="24"/>
        <v>18.849540000000001</v>
      </c>
      <c r="F52" s="78">
        <f t="shared" si="25"/>
        <v>7.7519379844961236</v>
      </c>
      <c r="G52" s="78">
        <f t="shared" si="26"/>
        <v>23.255813953488371</v>
      </c>
      <c r="H52" s="78">
        <f t="shared" si="27"/>
        <v>180.27762754642146</v>
      </c>
      <c r="I52" s="79">
        <v>0.13600000000000001</v>
      </c>
      <c r="J52" s="80">
        <v>237.1</v>
      </c>
      <c r="K52" s="81">
        <f t="shared" si="28"/>
        <v>2867.6470588235293</v>
      </c>
      <c r="L52" s="82">
        <f t="shared" si="29"/>
        <v>1118.3823529411764</v>
      </c>
      <c r="M52" s="78">
        <f t="shared" si="30"/>
        <v>974.88402897923868</v>
      </c>
      <c r="N52" s="82">
        <f t="shared" si="31"/>
        <v>139.79779411764704</v>
      </c>
      <c r="O52" s="93">
        <v>6.3800999999999997</v>
      </c>
      <c r="P52" s="84">
        <f t="shared" si="32"/>
        <v>18.295874999999995</v>
      </c>
      <c r="Q52" s="85">
        <f t="shared" si="33"/>
        <v>6.973529411764706</v>
      </c>
      <c r="R52" s="86">
        <f t="shared" si="34"/>
        <v>2623.6176718684092</v>
      </c>
      <c r="S52" s="86">
        <f t="shared" si="35"/>
        <v>16738.943108287636</v>
      </c>
    </row>
    <row r="53" spans="2:19" ht="12.5" x14ac:dyDescent="0.25">
      <c r="B53" s="19">
        <v>1.29</v>
      </c>
      <c r="C53" s="19">
        <v>30</v>
      </c>
      <c r="D53" s="19">
        <v>20</v>
      </c>
      <c r="E53" s="77">
        <f t="shared" si="24"/>
        <v>7.0685775</v>
      </c>
      <c r="F53" s="78">
        <f t="shared" si="25"/>
        <v>3.8759689922480618</v>
      </c>
      <c r="G53" s="78">
        <f t="shared" si="26"/>
        <v>23.255813953488371</v>
      </c>
      <c r="H53" s="78">
        <f t="shared" si="27"/>
        <v>90.138813773210728</v>
      </c>
      <c r="I53" s="79">
        <v>0.05</v>
      </c>
      <c r="J53" s="80">
        <v>39.299999999999997</v>
      </c>
      <c r="K53" s="81">
        <f t="shared" si="28"/>
        <v>7800</v>
      </c>
      <c r="L53" s="82">
        <f t="shared" si="29"/>
        <v>3042</v>
      </c>
      <c r="M53" s="78">
        <f t="shared" si="30"/>
        <v>1195.5060000000001</v>
      </c>
      <c r="N53" s="82">
        <f t="shared" si="31"/>
        <v>380.25000000000011</v>
      </c>
      <c r="O53" s="93">
        <v>3.4214000000000002</v>
      </c>
      <c r="P53" s="84">
        <f t="shared" si="32"/>
        <v>26.686920000000001</v>
      </c>
      <c r="Q53" s="85">
        <f t="shared" si="33"/>
        <v>3.1439999999999992</v>
      </c>
      <c r="R53" s="86">
        <f t="shared" si="34"/>
        <v>8488.2061068702315</v>
      </c>
      <c r="S53" s="86">
        <f t="shared" si="35"/>
        <v>29041.548374045811</v>
      </c>
    </row>
    <row r="54" spans="2:19" ht="12.5" x14ac:dyDescent="0.25">
      <c r="B54" s="19">
        <v>1.29</v>
      </c>
      <c r="C54" s="19">
        <v>20</v>
      </c>
      <c r="D54" s="19">
        <v>50</v>
      </c>
      <c r="E54" s="77">
        <f t="shared" si="24"/>
        <v>37.699080000000002</v>
      </c>
      <c r="F54" s="78">
        <f t="shared" si="25"/>
        <v>15.503875968992247</v>
      </c>
      <c r="G54" s="78">
        <f t="shared" si="26"/>
        <v>15.503875968992247</v>
      </c>
      <c r="H54" s="78">
        <f t="shared" si="27"/>
        <v>240.37017006189529</v>
      </c>
      <c r="I54" s="79">
        <v>0.27800000000000002</v>
      </c>
      <c r="J54" s="80">
        <v>867.4</v>
      </c>
      <c r="K54" s="81">
        <f t="shared" si="28"/>
        <v>1402.8776978417266</v>
      </c>
      <c r="L54" s="82">
        <f t="shared" si="29"/>
        <v>547.12230215827344</v>
      </c>
      <c r="M54" s="78">
        <f t="shared" si="30"/>
        <v>853.55015268360842</v>
      </c>
      <c r="N54" s="82">
        <f t="shared" si="31"/>
        <v>68.39028776978418</v>
      </c>
      <c r="O54" s="93">
        <v>9.0515000000000008</v>
      </c>
      <c r="P54" s="84">
        <f t="shared" si="32"/>
        <v>12.698147482014388</v>
      </c>
      <c r="Q54" s="85">
        <f t="shared" si="33"/>
        <v>12.480575539568344</v>
      </c>
      <c r="R54" s="86">
        <f t="shared" si="34"/>
        <v>1017.4328452847591</v>
      </c>
      <c r="S54" s="86">
        <f t="shared" si="35"/>
        <v>9209.2933990949969</v>
      </c>
    </row>
    <row r="55" spans="2:19" ht="12.5" x14ac:dyDescent="0.25">
      <c r="B55" s="19">
        <v>1.29</v>
      </c>
      <c r="C55" s="19">
        <v>20</v>
      </c>
      <c r="D55" s="19">
        <v>30</v>
      </c>
      <c r="E55" s="77">
        <f t="shared" si="24"/>
        <v>12.566360000000001</v>
      </c>
      <c r="F55" s="78">
        <f t="shared" si="25"/>
        <v>7.7519379844961236</v>
      </c>
      <c r="G55" s="78">
        <f t="shared" si="26"/>
        <v>15.503875968992247</v>
      </c>
      <c r="H55" s="78">
        <f t="shared" si="27"/>
        <v>120.18508503094765</v>
      </c>
      <c r="I55" s="79">
        <v>9.0999999999999998E-2</v>
      </c>
      <c r="J55" s="80">
        <v>133.30000000000001</v>
      </c>
      <c r="K55" s="81">
        <f t="shared" si="28"/>
        <v>4285.7142857142862</v>
      </c>
      <c r="L55" s="82">
        <f t="shared" si="29"/>
        <v>1671.4285714285716</v>
      </c>
      <c r="M55" s="78">
        <f t="shared" si="30"/>
        <v>1224.1836734693882</v>
      </c>
      <c r="N55" s="82">
        <f t="shared" si="31"/>
        <v>208.92857142857147</v>
      </c>
      <c r="O55" s="93">
        <v>5.5449000000000002</v>
      </c>
      <c r="P55" s="84">
        <f t="shared" si="32"/>
        <v>23.763857142857145</v>
      </c>
      <c r="Q55" s="85">
        <f t="shared" si="33"/>
        <v>5.8593406593406598</v>
      </c>
      <c r="R55" s="86">
        <f t="shared" si="34"/>
        <v>4055.7220555138788</v>
      </c>
      <c r="S55" s="86">
        <f t="shared" si="35"/>
        <v>22488.573225618908</v>
      </c>
    </row>
    <row r="56" spans="2:19" ht="12.5" x14ac:dyDescent="0.25">
      <c r="B56" s="19">
        <v>1.29</v>
      </c>
      <c r="C56" s="19">
        <v>20</v>
      </c>
      <c r="D56" s="19">
        <v>20</v>
      </c>
      <c r="E56" s="77">
        <f t="shared" si="24"/>
        <v>4.7123850000000003</v>
      </c>
      <c r="F56" s="78">
        <f t="shared" si="25"/>
        <v>3.8759689922480618</v>
      </c>
      <c r="G56" s="78">
        <f t="shared" si="26"/>
        <v>15.503875968992247</v>
      </c>
      <c r="H56" s="78">
        <f t="shared" si="27"/>
        <v>60.092542515473824</v>
      </c>
      <c r="I56" s="79">
        <v>3.3000000000000002E-2</v>
      </c>
      <c r="J56" s="80">
        <v>23.2</v>
      </c>
      <c r="K56" s="81">
        <f t="shared" si="28"/>
        <v>11818.181818181818</v>
      </c>
      <c r="L56" s="82">
        <f t="shared" si="29"/>
        <v>4609.090909090909</v>
      </c>
      <c r="M56" s="78">
        <f t="shared" si="30"/>
        <v>1620.1652892561983</v>
      </c>
      <c r="N56" s="82">
        <f t="shared" si="31"/>
        <v>576.13636363636374</v>
      </c>
      <c r="O56" s="93">
        <v>3.1061999999999999</v>
      </c>
      <c r="P56" s="84">
        <f t="shared" si="32"/>
        <v>36.709636363636363</v>
      </c>
      <c r="Q56" s="85">
        <f t="shared" si="33"/>
        <v>2.8121212121212116</v>
      </c>
      <c r="R56" s="86">
        <f t="shared" si="34"/>
        <v>13054.073275862071</v>
      </c>
      <c r="S56" s="86">
        <f t="shared" si="35"/>
        <v>40548.562409482765</v>
      </c>
    </row>
    <row r="57" spans="2:19" ht="12.5" x14ac:dyDescent="0.25">
      <c r="B57" s="19">
        <v>1.29</v>
      </c>
      <c r="C57" s="19">
        <v>10</v>
      </c>
      <c r="D57" s="19">
        <v>50</v>
      </c>
      <c r="E57" s="77">
        <f t="shared" si="24"/>
        <v>18.849540000000001</v>
      </c>
      <c r="F57" s="78">
        <f t="shared" si="25"/>
        <v>15.503875968992247</v>
      </c>
      <c r="G57" s="78">
        <f t="shared" si="26"/>
        <v>7.7519379844961236</v>
      </c>
      <c r="H57" s="78">
        <f t="shared" si="27"/>
        <v>120.18508503094765</v>
      </c>
      <c r="I57" s="79">
        <v>0.13900000000000001</v>
      </c>
      <c r="J57" s="80">
        <v>268.3</v>
      </c>
      <c r="K57" s="81">
        <f t="shared" si="28"/>
        <v>2805.7553956834531</v>
      </c>
      <c r="L57" s="82">
        <f t="shared" si="29"/>
        <v>1094.2446043165469</v>
      </c>
      <c r="M57" s="78">
        <f t="shared" si="30"/>
        <v>1056.0641271155737</v>
      </c>
      <c r="N57" s="82">
        <f t="shared" si="31"/>
        <v>136.78057553956833</v>
      </c>
      <c r="O57" s="93">
        <v>5.6529999999999996</v>
      </c>
      <c r="P57" s="84">
        <f t="shared" si="32"/>
        <v>15.860935251798558</v>
      </c>
      <c r="Q57" s="85">
        <f t="shared" si="33"/>
        <v>7.7208633093525183</v>
      </c>
      <c r="R57" s="86">
        <f t="shared" si="34"/>
        <v>2054.2955646664177</v>
      </c>
      <c r="S57" s="86">
        <f t="shared" si="35"/>
        <v>11612.932827059258</v>
      </c>
    </row>
    <row r="58" spans="2:19" ht="12.5" x14ac:dyDescent="0.25">
      <c r="B58" s="19">
        <v>1.29</v>
      </c>
      <c r="C58" s="19">
        <v>10</v>
      </c>
      <c r="D58" s="19">
        <v>30</v>
      </c>
      <c r="E58" s="77">
        <f t="shared" si="24"/>
        <v>6.2831800000000007</v>
      </c>
      <c r="F58" s="78">
        <f t="shared" si="25"/>
        <v>7.7519379844961236</v>
      </c>
      <c r="G58" s="78">
        <f t="shared" si="26"/>
        <v>7.7519379844961236</v>
      </c>
      <c r="H58" s="78">
        <f t="shared" si="27"/>
        <v>60.092542515473824</v>
      </c>
      <c r="I58" s="79">
        <v>4.4999999999999998E-2</v>
      </c>
      <c r="J58" s="80">
        <v>45.3</v>
      </c>
      <c r="K58" s="81">
        <f t="shared" si="28"/>
        <v>8666.6666666666679</v>
      </c>
      <c r="L58" s="82">
        <f t="shared" si="29"/>
        <v>3380.0000000000005</v>
      </c>
      <c r="M58" s="78">
        <f t="shared" si="30"/>
        <v>1701.2666666666671</v>
      </c>
      <c r="N58" s="82">
        <f t="shared" si="31"/>
        <v>422.50000000000017</v>
      </c>
      <c r="O58" s="93">
        <v>3.7275999999999998</v>
      </c>
      <c r="P58" s="84">
        <f t="shared" si="32"/>
        <v>32.305866666666667</v>
      </c>
      <c r="Q58" s="85">
        <f t="shared" si="33"/>
        <v>4.0266666666666664</v>
      </c>
      <c r="R58" s="86">
        <f t="shared" si="34"/>
        <v>8022.9801324503323</v>
      </c>
      <c r="S58" s="86">
        <f t="shared" si="35"/>
        <v>29906.460741721858</v>
      </c>
    </row>
    <row r="59" spans="2:19" ht="12.5" x14ac:dyDescent="0.25">
      <c r="B59" s="19">
        <v>1.29</v>
      </c>
      <c r="C59" s="19">
        <v>10</v>
      </c>
      <c r="D59" s="19">
        <v>20</v>
      </c>
      <c r="E59" s="77">
        <f t="shared" si="24"/>
        <v>2.3561925000000001</v>
      </c>
      <c r="F59" s="78">
        <f t="shared" si="25"/>
        <v>3.8759689922480618</v>
      </c>
      <c r="G59" s="78">
        <f t="shared" si="26"/>
        <v>7.7519379844961236</v>
      </c>
      <c r="H59" s="78">
        <f t="shared" si="27"/>
        <v>30.046271257736912</v>
      </c>
      <c r="I59" s="79">
        <v>1.7000000000000001E-2</v>
      </c>
      <c r="J59" s="80">
        <v>8.6</v>
      </c>
      <c r="K59" s="81">
        <f t="shared" si="28"/>
        <v>22941.176470588234</v>
      </c>
      <c r="L59" s="82">
        <f t="shared" si="29"/>
        <v>8947.0588235294108</v>
      </c>
      <c r="M59" s="78">
        <f t="shared" si="30"/>
        <v>2263.079584775086</v>
      </c>
      <c r="N59" s="82">
        <f t="shared" si="31"/>
        <v>1118.3823529411764</v>
      </c>
      <c r="O59" s="93">
        <v>2.2475000000000001</v>
      </c>
      <c r="P59" s="84">
        <f t="shared" si="32"/>
        <v>51.560294117647054</v>
      </c>
      <c r="Q59" s="85">
        <f t="shared" si="33"/>
        <v>2.0235294117647058</v>
      </c>
      <c r="R59" s="86">
        <f t="shared" si="34"/>
        <v>25480.377906976744</v>
      </c>
      <c r="S59" s="86">
        <f t="shared" si="35"/>
        <v>57267.149345930236</v>
      </c>
    </row>
  </sheetData>
  <conditionalFormatting sqref="K22:K33 K35:K46 K48:K59">
    <cfRule type="expression" dxfId="3" priority="1">
      <formula>K22 &gt; $E$4</formula>
    </cfRule>
  </conditionalFormatting>
  <conditionalFormatting sqref="P22:P33">
    <cfRule type="colorScale" priority="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Q22:Q33">
    <cfRule type="colorScale" priority="3">
      <colorScale>
        <cfvo type="min"/>
        <cfvo type="percentile" val="50"/>
        <cfvo type="max"/>
        <color rgb="FFD9EAD3"/>
        <color rgb="FFFFF2CC"/>
        <color rgb="FFF4CCCC"/>
      </colorScale>
    </cfRule>
  </conditionalFormatting>
  <conditionalFormatting sqref="R22:R33">
    <cfRule type="colorScale" priority="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S22:S33">
    <cfRule type="colorScale" priority="5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N22:N33 N35:N46 N48:N59">
    <cfRule type="expression" dxfId="2" priority="6">
      <formula>N22 &gt; ($E$6/1000)</formula>
    </cfRule>
  </conditionalFormatting>
  <conditionalFormatting sqref="S35:S46">
    <cfRule type="colorScale" priority="7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R35:R46">
    <cfRule type="colorScale" priority="8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Q35:Q46">
    <cfRule type="colorScale" priority="9">
      <colorScale>
        <cfvo type="min"/>
        <cfvo type="percentile" val="50"/>
        <cfvo type="max"/>
        <color rgb="FFD9EAD3"/>
        <color rgb="FFFFF2CC"/>
        <color rgb="FFF4CCCC"/>
      </colorScale>
    </cfRule>
  </conditionalFormatting>
  <conditionalFormatting sqref="P35:P46">
    <cfRule type="colorScale" priority="10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S48:S59">
    <cfRule type="colorScale" priority="1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R48:R59">
    <cfRule type="colorScale" priority="12">
      <colorScale>
        <cfvo type="min"/>
        <cfvo type="percentile" val="50"/>
        <cfvo type="max"/>
        <color rgb="FFF4CCCC"/>
        <color rgb="FFFFF2CC"/>
        <color rgb="FFD9EAD3"/>
      </colorScale>
    </cfRule>
  </conditionalFormatting>
  <conditionalFormatting sqref="Q48:Q59">
    <cfRule type="colorScale" priority="13">
      <colorScale>
        <cfvo type="min"/>
        <cfvo type="percentile" val="50"/>
        <cfvo type="max"/>
        <color rgb="FFD9EAD3"/>
        <color rgb="FFFFF2CC"/>
        <color rgb="FFF4CCCC"/>
      </colorScale>
    </cfRule>
  </conditionalFormatting>
  <conditionalFormatting sqref="P48:P59">
    <cfRule type="colorScale" priority="14">
      <colorScale>
        <cfvo type="min"/>
        <cfvo type="percentile" val="50"/>
        <cfvo type="max"/>
        <color rgb="FFF4CCCC"/>
        <color rgb="FFFFF2CC"/>
        <color rgb="FFD9EAD3"/>
      </colorScale>
    </cfRule>
  </conditionalFormatting>
  <hyperlinks>
    <hyperlink ref="N3" r:id="rId1" xr:uid="{00000000-0004-0000-0000-000000000000}"/>
  </hyperlinks>
  <printOptions horizontalCentered="1"/>
  <pageMargins left="0.7" right="0.7" top="0.75" bottom="0.75" header="0" footer="0"/>
  <pageSetup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3:O40"/>
  <sheetViews>
    <sheetView workbookViewId="0"/>
  </sheetViews>
  <sheetFormatPr baseColWidth="10" defaultColWidth="12.6328125" defaultRowHeight="15.75" customHeight="1" x14ac:dyDescent="0.25"/>
  <cols>
    <col min="6" max="6" width="12.6328125" hidden="1"/>
    <col min="8" max="8" width="12.6328125" hidden="1"/>
    <col min="12" max="12" width="12.6328125" hidden="1"/>
    <col min="14" max="14" width="12.6328125" hidden="1"/>
  </cols>
  <sheetData>
    <row r="3" spans="1:15" ht="15.75" customHeight="1" x14ac:dyDescent="0.25">
      <c r="A3" s="95"/>
      <c r="B3" s="96" t="s">
        <v>86</v>
      </c>
      <c r="C3" s="95"/>
    </row>
    <row r="4" spans="1:15" ht="15.75" customHeight="1" x14ac:dyDescent="0.25">
      <c r="A4" s="95"/>
      <c r="B4" s="95"/>
      <c r="C4" s="95"/>
    </row>
    <row r="5" spans="1:15" ht="15.75" customHeight="1" x14ac:dyDescent="0.25">
      <c r="A5" s="95"/>
      <c r="B5" s="97" t="s">
        <v>87</v>
      </c>
      <c r="C5" s="97" t="s">
        <v>88</v>
      </c>
    </row>
    <row r="6" spans="1:15" ht="15.75" customHeight="1" x14ac:dyDescent="0.25">
      <c r="A6" s="95" t="s">
        <v>52</v>
      </c>
      <c r="B6" s="97" t="s">
        <v>89</v>
      </c>
      <c r="C6" s="97">
        <v>0.68</v>
      </c>
    </row>
    <row r="7" spans="1:15" ht="15.75" customHeight="1" x14ac:dyDescent="0.25">
      <c r="A7" s="98" t="s">
        <v>90</v>
      </c>
      <c r="B7" s="6">
        <v>433</v>
      </c>
      <c r="C7" s="6">
        <v>649</v>
      </c>
    </row>
    <row r="8" spans="1:15" ht="15.75" customHeight="1" x14ac:dyDescent="0.25">
      <c r="A8" s="95" t="s">
        <v>91</v>
      </c>
      <c r="B8" s="97" t="s">
        <v>92</v>
      </c>
      <c r="C8" s="97" t="s">
        <v>93</v>
      </c>
    </row>
    <row r="9" spans="1:15" ht="15.75" customHeight="1" x14ac:dyDescent="0.25">
      <c r="A9" s="98" t="s">
        <v>94</v>
      </c>
      <c r="B9" s="6">
        <v>18.850000000000001</v>
      </c>
      <c r="C9" s="6">
        <v>18.850000000000001</v>
      </c>
    </row>
    <row r="10" spans="1:15" ht="15.75" customHeight="1" x14ac:dyDescent="0.25">
      <c r="A10" s="95" t="s">
        <v>95</v>
      </c>
      <c r="B10" s="20">
        <v>211.2</v>
      </c>
      <c r="C10" s="20">
        <v>213.8</v>
      </c>
    </row>
    <row r="11" spans="1:15" ht="15.75" customHeight="1" x14ac:dyDescent="0.25">
      <c r="A11" s="95" t="s">
        <v>96</v>
      </c>
      <c r="B11" s="97">
        <v>1.89</v>
      </c>
      <c r="C11" s="97">
        <v>1.69</v>
      </c>
    </row>
    <row r="12" spans="1:15" ht="15.75" customHeight="1" x14ac:dyDescent="0.25">
      <c r="A12" s="95" t="s">
        <v>97</v>
      </c>
      <c r="B12" s="97">
        <v>4.21</v>
      </c>
      <c r="C12" s="97">
        <v>4.88</v>
      </c>
    </row>
    <row r="14" spans="1:15" ht="15.75" customHeight="1" x14ac:dyDescent="0.25">
      <c r="B14" s="1" t="s">
        <v>98</v>
      </c>
    </row>
    <row r="15" spans="1:15" ht="15.75" customHeight="1" x14ac:dyDescent="0.25">
      <c r="E15" s="1" t="s">
        <v>99</v>
      </c>
      <c r="F15" s="1" t="s">
        <v>100</v>
      </c>
      <c r="G15" s="1" t="s">
        <v>101</v>
      </c>
      <c r="H15" s="1" t="s">
        <v>102</v>
      </c>
      <c r="I15" s="1" t="s">
        <v>103</v>
      </c>
      <c r="K15" s="1" t="s">
        <v>104</v>
      </c>
      <c r="L15" s="99" t="s">
        <v>105</v>
      </c>
      <c r="M15" s="1" t="s">
        <v>106</v>
      </c>
      <c r="N15" s="1" t="s">
        <v>107</v>
      </c>
      <c r="O15" s="1" t="s">
        <v>108</v>
      </c>
    </row>
    <row r="16" spans="1:15" ht="15.75" customHeight="1" x14ac:dyDescent="0.25">
      <c r="B16" s="100" t="s">
        <v>87</v>
      </c>
      <c r="C16" s="100" t="s">
        <v>88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K16" s="1">
        <v>0</v>
      </c>
      <c r="L16" s="99">
        <v>4210</v>
      </c>
      <c r="M16" s="99">
        <f t="shared" ref="M16:M23" si="0">(L16/$L$16)*100</f>
        <v>100</v>
      </c>
      <c r="N16" s="99">
        <v>4876</v>
      </c>
      <c r="O16" s="89">
        <f t="shared" ref="O16:O23" si="1">(N16/$N$16)*100</f>
        <v>100</v>
      </c>
    </row>
    <row r="17" spans="1:15" ht="15.75" customHeight="1" x14ac:dyDescent="0.25">
      <c r="A17" s="1" t="s">
        <v>52</v>
      </c>
      <c r="B17" s="100" t="s">
        <v>89</v>
      </c>
      <c r="C17" s="100" t="s">
        <v>109</v>
      </c>
      <c r="E17" s="1">
        <v>1</v>
      </c>
      <c r="F17" s="101">
        <v>63</v>
      </c>
      <c r="G17" s="88">
        <f t="shared" ref="G17:G24" si="2">$B$21*(F17/100)</f>
        <v>5.3045999999999998</v>
      </c>
      <c r="H17" s="101">
        <f>63*0.63</f>
        <v>39.69</v>
      </c>
      <c r="I17" s="88">
        <f t="shared" ref="I17:I31" si="3">$C$21*(H17/100)</f>
        <v>2.9529359999999998</v>
      </c>
      <c r="K17" s="1">
        <v>1</v>
      </c>
      <c r="L17" s="99">
        <v>4174.5337</v>
      </c>
      <c r="M17" s="99">
        <f t="shared" si="0"/>
        <v>99.157570071258903</v>
      </c>
      <c r="N17" s="99">
        <v>4869.8910999999998</v>
      </c>
      <c r="O17" s="89">
        <f t="shared" si="1"/>
        <v>99.874714930270713</v>
      </c>
    </row>
    <row r="18" spans="1:15" ht="15.75" customHeight="1" x14ac:dyDescent="0.25">
      <c r="A18" s="98" t="s">
        <v>91</v>
      </c>
      <c r="B18" s="97" t="s">
        <v>110</v>
      </c>
      <c r="C18" s="97" t="s">
        <v>111</v>
      </c>
      <c r="E18" s="1">
        <v>2</v>
      </c>
      <c r="F18" s="88">
        <f t="shared" ref="F18:F36" si="4">((100-F17)*0.63)+F17</f>
        <v>86.31</v>
      </c>
      <c r="G18" s="88">
        <f t="shared" si="2"/>
        <v>7.2673019999999999</v>
      </c>
      <c r="H18" s="101">
        <v>63</v>
      </c>
      <c r="I18" s="88">
        <f t="shared" si="3"/>
        <v>4.6872000000000007</v>
      </c>
      <c r="K18" s="1">
        <v>2</v>
      </c>
      <c r="L18" s="99">
        <v>4068.5702000000001</v>
      </c>
      <c r="M18" s="99">
        <f t="shared" si="0"/>
        <v>96.640622327790979</v>
      </c>
      <c r="N18" s="99">
        <v>4851.3306000000002</v>
      </c>
      <c r="O18" s="89">
        <f t="shared" si="1"/>
        <v>99.494064807219047</v>
      </c>
    </row>
    <row r="19" spans="1:15" ht="15.75" customHeight="1" x14ac:dyDescent="0.25">
      <c r="A19" s="98" t="s">
        <v>95</v>
      </c>
      <c r="B19" s="6" t="s">
        <v>112</v>
      </c>
      <c r="C19" s="6" t="s">
        <v>113</v>
      </c>
      <c r="E19" s="1">
        <v>3</v>
      </c>
      <c r="F19" s="88">
        <f t="shared" si="4"/>
        <v>94.934700000000007</v>
      </c>
      <c r="G19" s="88">
        <f t="shared" si="2"/>
        <v>7.9935017400000001</v>
      </c>
      <c r="H19" s="88">
        <f>(H20-H18)*0.63+H18</f>
        <v>77.685299999999998</v>
      </c>
      <c r="I19" s="88">
        <f t="shared" si="3"/>
        <v>5.7797863200000004</v>
      </c>
      <c r="K19" s="1">
        <v>4</v>
      </c>
      <c r="L19" s="99">
        <v>3668.7085999999999</v>
      </c>
      <c r="M19" s="99">
        <f t="shared" si="0"/>
        <v>87.142722090261287</v>
      </c>
      <c r="N19" s="99">
        <v>4774.3181999999997</v>
      </c>
      <c r="O19" s="89">
        <f t="shared" si="1"/>
        <v>97.914647251845764</v>
      </c>
    </row>
    <row r="20" spans="1:15" ht="15.75" customHeight="1" x14ac:dyDescent="0.25">
      <c r="A20" s="98" t="s">
        <v>96</v>
      </c>
      <c r="B20" s="97" t="s">
        <v>114</v>
      </c>
      <c r="C20" s="6" t="s">
        <v>115</v>
      </c>
      <c r="E20" s="1">
        <v>4</v>
      </c>
      <c r="F20" s="88">
        <f t="shared" si="4"/>
        <v>98.125838999999999</v>
      </c>
      <c r="G20" s="88">
        <f t="shared" si="2"/>
        <v>8.2621956438000002</v>
      </c>
      <c r="H20" s="88">
        <f>(100-H18)*0.63+H18</f>
        <v>86.31</v>
      </c>
      <c r="I20" s="88">
        <f t="shared" si="3"/>
        <v>6.4214640000000003</v>
      </c>
      <c r="K20" s="1">
        <v>8</v>
      </c>
      <c r="L20" s="99">
        <v>2542.6327000000001</v>
      </c>
      <c r="M20" s="99">
        <f t="shared" si="0"/>
        <v>60.395076009501189</v>
      </c>
      <c r="N20" s="99">
        <v>4419.3509000000004</v>
      </c>
      <c r="O20" s="89">
        <f t="shared" si="1"/>
        <v>90.634760049220674</v>
      </c>
    </row>
    <row r="21" spans="1:15" ht="15.75" customHeight="1" x14ac:dyDescent="0.25">
      <c r="A21" s="98" t="s">
        <v>97</v>
      </c>
      <c r="B21" s="6">
        <v>8.42</v>
      </c>
      <c r="C21" s="6">
        <v>7.44</v>
      </c>
      <c r="E21" s="1">
        <v>5</v>
      </c>
      <c r="F21" s="88">
        <f t="shared" si="4"/>
        <v>99.306560430000005</v>
      </c>
      <c r="G21" s="88">
        <f t="shared" si="2"/>
        <v>8.3616123882059998</v>
      </c>
      <c r="H21" s="88">
        <f>(H22-H20)*0.63+H20</f>
        <v>91.743561</v>
      </c>
      <c r="I21" s="88">
        <f t="shared" si="3"/>
        <v>6.8257209383999999</v>
      </c>
      <c r="K21" s="1">
        <v>16</v>
      </c>
      <c r="L21" s="99">
        <v>1115.2852</v>
      </c>
      <c r="M21" s="99">
        <f t="shared" si="0"/>
        <v>26.491334916864606</v>
      </c>
      <c r="N21" s="99">
        <v>2436.5277999999998</v>
      </c>
      <c r="O21" s="89">
        <f t="shared" si="1"/>
        <v>49.969807219031992</v>
      </c>
    </row>
    <row r="22" spans="1:15" ht="15.75" customHeight="1" x14ac:dyDescent="0.25">
      <c r="E22" s="1">
        <v>6</v>
      </c>
      <c r="F22" s="88">
        <f t="shared" si="4"/>
        <v>99.743427359099996</v>
      </c>
      <c r="G22" s="88">
        <f t="shared" si="2"/>
        <v>8.3983965836362202</v>
      </c>
      <c r="H22" s="88">
        <f>(100-H20)*0.63+H20</f>
        <v>94.934700000000007</v>
      </c>
      <c r="I22" s="88">
        <f t="shared" si="3"/>
        <v>7.0631416800000011</v>
      </c>
      <c r="K22" s="1">
        <v>32</v>
      </c>
      <c r="L22" s="99">
        <v>289.95249999999999</v>
      </c>
      <c r="M22" s="99">
        <f t="shared" si="0"/>
        <v>6.8872327790973866</v>
      </c>
      <c r="N22" s="99">
        <v>323.6481</v>
      </c>
      <c r="O22" s="89">
        <f t="shared" si="1"/>
        <v>6.6375738310090231</v>
      </c>
    </row>
    <row r="23" spans="1:15" ht="15.75" customHeight="1" x14ac:dyDescent="0.25">
      <c r="E23" s="1">
        <v>7</v>
      </c>
      <c r="F23" s="88">
        <f t="shared" si="4"/>
        <v>99.905068122866993</v>
      </c>
      <c r="G23" s="88">
        <f t="shared" si="2"/>
        <v>8.4120067359454005</v>
      </c>
      <c r="H23" s="88">
        <f>(H24-H22)*0.63+H22</f>
        <v>96.945117570000008</v>
      </c>
      <c r="I23" s="88">
        <f t="shared" si="3"/>
        <v>7.2127167472080007</v>
      </c>
      <c r="K23" s="1">
        <v>64</v>
      </c>
      <c r="L23" s="99">
        <v>48.522500000000001</v>
      </c>
      <c r="M23" s="99">
        <f t="shared" si="0"/>
        <v>1.1525534441805227</v>
      </c>
      <c r="N23" s="99">
        <v>35.8414</v>
      </c>
      <c r="O23" s="89">
        <f t="shared" si="1"/>
        <v>0.73505742411812958</v>
      </c>
    </row>
    <row r="24" spans="1:15" ht="15.75" customHeight="1" x14ac:dyDescent="0.25">
      <c r="E24" s="1">
        <v>8</v>
      </c>
      <c r="F24" s="88">
        <f t="shared" si="4"/>
        <v>99.964875205460785</v>
      </c>
      <c r="G24" s="88">
        <f t="shared" si="2"/>
        <v>8.4170424922997977</v>
      </c>
      <c r="H24" s="88">
        <f>(100-H22)*0.63+H22</f>
        <v>98.125838999999999</v>
      </c>
      <c r="I24" s="88">
        <f t="shared" si="3"/>
        <v>7.3005624216000005</v>
      </c>
    </row>
    <row r="25" spans="1:15" ht="15.75" customHeight="1" x14ac:dyDescent="0.25">
      <c r="E25" s="1">
        <v>9</v>
      </c>
      <c r="F25" s="88">
        <f t="shared" si="4"/>
        <v>99.987003826020484</v>
      </c>
      <c r="G25" s="88"/>
      <c r="H25" s="88">
        <f>(H26-H24)*0.63+H24</f>
        <v>98.869693500899999</v>
      </c>
      <c r="I25" s="88">
        <f t="shared" si="3"/>
        <v>7.3559051964669608</v>
      </c>
    </row>
    <row r="26" spans="1:15" ht="15.75" customHeight="1" x14ac:dyDescent="0.25">
      <c r="E26" s="1">
        <v>10</v>
      </c>
      <c r="F26" s="88">
        <f t="shared" si="4"/>
        <v>99.995191415627573</v>
      </c>
      <c r="G26" s="88"/>
      <c r="H26" s="88">
        <f>(100-H24)*0.63+H24</f>
        <v>99.306560430000005</v>
      </c>
      <c r="I26" s="88">
        <f t="shared" si="3"/>
        <v>7.3884080959920002</v>
      </c>
    </row>
    <row r="27" spans="1:15" ht="15.75" customHeight="1" x14ac:dyDescent="0.25">
      <c r="E27" s="1">
        <v>11</v>
      </c>
      <c r="F27" s="88">
        <f t="shared" si="4"/>
        <v>99.998220823782205</v>
      </c>
      <c r="G27" s="88"/>
      <c r="H27" s="88">
        <f>(H28-H26)*0.63+H26</f>
        <v>99.581786595333</v>
      </c>
      <c r="I27" s="88">
        <f t="shared" si="3"/>
        <v>7.408884922692776</v>
      </c>
    </row>
    <row r="28" spans="1:15" ht="15.75" customHeight="1" x14ac:dyDescent="0.25">
      <c r="E28" s="1">
        <v>12</v>
      </c>
      <c r="F28" s="88">
        <f t="shared" si="4"/>
        <v>99.99934170479942</v>
      </c>
      <c r="G28" s="88"/>
      <c r="H28" s="88">
        <f>(100-H26)*0.63+H26</f>
        <v>99.743427359099996</v>
      </c>
      <c r="I28" s="88">
        <f t="shared" si="3"/>
        <v>7.4209109955170405</v>
      </c>
    </row>
    <row r="29" spans="1:15" ht="15.75" customHeight="1" x14ac:dyDescent="0.25">
      <c r="E29" s="1">
        <v>13</v>
      </c>
      <c r="F29" s="88">
        <f t="shared" si="4"/>
        <v>99.99975643077579</v>
      </c>
      <c r="G29" s="88"/>
      <c r="H29" s="88">
        <f>(H30-H28)*0.63+H28</f>
        <v>99.845261040273201</v>
      </c>
      <c r="I29" s="88">
        <f t="shared" si="3"/>
        <v>7.4284874213963263</v>
      </c>
    </row>
    <row r="30" spans="1:15" ht="15.75" customHeight="1" x14ac:dyDescent="0.25">
      <c r="E30" s="1">
        <v>14</v>
      </c>
      <c r="F30" s="88">
        <f t="shared" si="4"/>
        <v>99.999909879387047</v>
      </c>
      <c r="G30" s="88"/>
      <c r="H30" s="88">
        <f>(100-H28)*0.63+H28</f>
        <v>99.905068122866993</v>
      </c>
      <c r="I30" s="88">
        <f t="shared" si="3"/>
        <v>7.432937068341305</v>
      </c>
    </row>
    <row r="31" spans="1:15" ht="15.75" customHeight="1" x14ac:dyDescent="0.25">
      <c r="E31" s="1">
        <v>15</v>
      </c>
      <c r="F31" s="88">
        <f t="shared" si="4"/>
        <v>99.999966655373214</v>
      </c>
      <c r="G31" s="88"/>
      <c r="H31" s="88">
        <f>(H32-H30)*0.63+H30</f>
        <v>99.942746584901087</v>
      </c>
      <c r="I31" s="88">
        <f t="shared" si="3"/>
        <v>7.4357403459166411</v>
      </c>
    </row>
    <row r="32" spans="1:15" ht="15.75" customHeight="1" x14ac:dyDescent="0.25">
      <c r="E32" s="1">
        <v>16</v>
      </c>
      <c r="F32" s="88">
        <f t="shared" si="4"/>
        <v>99.999987662488095</v>
      </c>
      <c r="G32" s="88"/>
      <c r="H32" s="88">
        <f>(100-H30)*0.63+H30</f>
        <v>99.964875205460785</v>
      </c>
      <c r="I32" s="88"/>
    </row>
    <row r="33" spans="5:9" ht="15.75" customHeight="1" x14ac:dyDescent="0.25">
      <c r="E33" s="1">
        <v>17</v>
      </c>
      <c r="F33" s="88">
        <f t="shared" si="4"/>
        <v>99.999995435120596</v>
      </c>
      <c r="G33" s="88"/>
      <c r="H33" s="88">
        <f>(H34-H32)*0.63+H32</f>
        <v>99.978816236413394</v>
      </c>
      <c r="I33" s="88"/>
    </row>
    <row r="34" spans="5:9" ht="15.75" customHeight="1" x14ac:dyDescent="0.25">
      <c r="E34" s="1">
        <v>18</v>
      </c>
      <c r="F34" s="88">
        <f t="shared" si="4"/>
        <v>99.999998310994627</v>
      </c>
      <c r="G34" s="88"/>
      <c r="H34" s="88">
        <f>(100-H32)*0.63+H32</f>
        <v>99.987003826020484</v>
      </c>
      <c r="I34" s="88"/>
    </row>
    <row r="35" spans="5:9" ht="15.75" customHeight="1" x14ac:dyDescent="0.25">
      <c r="E35" s="1">
        <v>19</v>
      </c>
      <c r="F35" s="88">
        <f t="shared" si="4"/>
        <v>99.999999375068015</v>
      </c>
      <c r="G35" s="88"/>
      <c r="H35" s="88">
        <f>(H36-H34)*0.63+H34</f>
        <v>99.992162007472956</v>
      </c>
      <c r="I35" s="88"/>
    </row>
    <row r="36" spans="5:9" ht="15.75" customHeight="1" x14ac:dyDescent="0.25">
      <c r="E36" s="1">
        <v>20</v>
      </c>
      <c r="F36" s="88">
        <f t="shared" si="4"/>
        <v>99.999999768775169</v>
      </c>
      <c r="G36" s="88"/>
      <c r="H36" s="88">
        <f>(100-H34)*0.63+H34</f>
        <v>99.995191415627573</v>
      </c>
      <c r="I36" s="88"/>
    </row>
    <row r="37" spans="5:9" ht="12.5" x14ac:dyDescent="0.25">
      <c r="H37" s="88"/>
    </row>
    <row r="38" spans="5:9" ht="12.5" x14ac:dyDescent="0.25">
      <c r="H38" s="88"/>
    </row>
    <row r="39" spans="5:9" ht="12.5" x14ac:dyDescent="0.25">
      <c r="H39" s="88"/>
    </row>
    <row r="40" spans="5:9" ht="12.5" x14ac:dyDescent="0.25">
      <c r="H40" s="88"/>
    </row>
  </sheetData>
  <pageMargins left="0.7" right="0.7" top="0.78740157499999996" bottom="0.78740157499999996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AQ1001"/>
  <sheetViews>
    <sheetView workbookViewId="0"/>
  </sheetViews>
  <sheetFormatPr baseColWidth="10" defaultColWidth="12.6328125" defaultRowHeight="15.75" customHeight="1" x14ac:dyDescent="0.25"/>
  <sheetData>
    <row r="1" spans="1:43" ht="15.75" customHeight="1" x14ac:dyDescent="0.25">
      <c r="A1" s="102" t="s">
        <v>116</v>
      </c>
      <c r="B1" s="103"/>
      <c r="C1" s="103"/>
      <c r="D1" s="104"/>
      <c r="E1" s="105" t="s">
        <v>117</v>
      </c>
      <c r="F1" s="106" t="s">
        <v>117</v>
      </c>
      <c r="G1" s="107"/>
      <c r="H1" s="108" t="s">
        <v>118</v>
      </c>
      <c r="I1" s="109"/>
      <c r="J1" s="110"/>
      <c r="K1" s="111"/>
      <c r="L1" s="112"/>
      <c r="M1" s="113"/>
      <c r="N1" s="114" t="s">
        <v>119</v>
      </c>
      <c r="O1" s="113"/>
      <c r="P1" s="113"/>
      <c r="Q1" s="115"/>
      <c r="R1" s="116" t="s">
        <v>120</v>
      </c>
      <c r="S1" s="117"/>
      <c r="T1" s="118"/>
      <c r="U1" s="119"/>
      <c r="V1" s="118"/>
      <c r="W1" s="120" t="s">
        <v>121</v>
      </c>
      <c r="X1" s="121"/>
      <c r="Y1" s="122"/>
      <c r="Z1" s="123"/>
      <c r="AA1" s="124"/>
      <c r="AB1" s="125"/>
      <c r="AE1" s="126"/>
      <c r="AF1" s="126"/>
      <c r="AG1" s="126"/>
      <c r="AN1" s="126"/>
      <c r="AO1" s="126"/>
      <c r="AP1" s="126"/>
      <c r="AQ1" s="126"/>
    </row>
    <row r="2" spans="1:43" ht="15.75" customHeight="1" x14ac:dyDescent="0.25">
      <c r="A2" s="127" t="s">
        <v>122</v>
      </c>
      <c r="B2" s="128"/>
      <c r="C2" s="128"/>
      <c r="D2" s="76"/>
      <c r="E2" s="129" t="s">
        <v>123</v>
      </c>
      <c r="F2" s="130" t="s">
        <v>124</v>
      </c>
      <c r="G2" s="130" t="s">
        <v>125</v>
      </c>
      <c r="H2" s="131" t="s">
        <v>126</v>
      </c>
      <c r="I2" s="132" t="s">
        <v>127</v>
      </c>
      <c r="J2" s="131" t="s">
        <v>128</v>
      </c>
      <c r="K2" s="133" t="s">
        <v>129</v>
      </c>
      <c r="L2" s="134" t="s">
        <v>130</v>
      </c>
      <c r="M2" s="135" t="s">
        <v>131</v>
      </c>
      <c r="N2" s="134" t="s">
        <v>95</v>
      </c>
      <c r="O2" s="134" t="s">
        <v>60</v>
      </c>
      <c r="P2" s="135" t="s">
        <v>132</v>
      </c>
      <c r="Q2" s="134" t="s">
        <v>133</v>
      </c>
      <c r="R2" s="136" t="s">
        <v>134</v>
      </c>
      <c r="S2" s="136" t="s">
        <v>135</v>
      </c>
      <c r="T2" s="137" t="s">
        <v>136</v>
      </c>
      <c r="U2" s="137" t="s">
        <v>137</v>
      </c>
      <c r="V2" s="137" t="s">
        <v>138</v>
      </c>
      <c r="W2" s="138" t="s">
        <v>139</v>
      </c>
      <c r="X2" s="138" t="s">
        <v>140</v>
      </c>
      <c r="Y2" s="138" t="s">
        <v>141</v>
      </c>
      <c r="Z2" s="138" t="s">
        <v>142</v>
      </c>
      <c r="AA2" s="139" t="s">
        <v>143</v>
      </c>
      <c r="AB2" s="139" t="s">
        <v>144</v>
      </c>
      <c r="AC2" s="140"/>
      <c r="AD2" s="101"/>
      <c r="AF2" s="126"/>
      <c r="AG2" s="126"/>
      <c r="AN2" s="126"/>
      <c r="AO2" s="126"/>
      <c r="AP2" s="126"/>
      <c r="AQ2" s="126"/>
    </row>
    <row r="3" spans="1:43" ht="15.75" customHeight="1" x14ac:dyDescent="0.25">
      <c r="A3" s="141" t="s">
        <v>5</v>
      </c>
      <c r="B3" s="141" t="s">
        <v>145</v>
      </c>
      <c r="C3" s="141" t="s">
        <v>146</v>
      </c>
      <c r="D3" s="141" t="s">
        <v>147</v>
      </c>
      <c r="E3" s="142" t="s">
        <v>148</v>
      </c>
      <c r="F3" s="143" t="s">
        <v>149</v>
      </c>
      <c r="G3" s="143" t="s">
        <v>149</v>
      </c>
      <c r="H3" s="144" t="s">
        <v>150</v>
      </c>
      <c r="I3" s="145" t="s">
        <v>151</v>
      </c>
      <c r="J3" s="144" t="s">
        <v>152</v>
      </c>
      <c r="K3" s="146" t="s">
        <v>153</v>
      </c>
      <c r="L3" s="147" t="s">
        <v>154</v>
      </c>
      <c r="M3" s="148" t="s">
        <v>154</v>
      </c>
      <c r="N3" s="149" t="s">
        <v>154</v>
      </c>
      <c r="O3" s="147" t="s">
        <v>73</v>
      </c>
      <c r="P3" s="150" t="s">
        <v>149</v>
      </c>
      <c r="Q3" s="147" t="s">
        <v>152</v>
      </c>
      <c r="R3" s="151" t="s">
        <v>155</v>
      </c>
      <c r="S3" s="151" t="s">
        <v>156</v>
      </c>
      <c r="T3" s="152" t="s">
        <v>157</v>
      </c>
      <c r="U3" s="152" t="s">
        <v>69</v>
      </c>
      <c r="V3" s="152"/>
      <c r="W3" s="153" t="s">
        <v>157</v>
      </c>
      <c r="X3" s="153" t="s">
        <v>76</v>
      </c>
      <c r="Y3" s="138" t="s">
        <v>76</v>
      </c>
      <c r="Z3" s="153" t="s">
        <v>152</v>
      </c>
      <c r="AA3" s="154" t="s">
        <v>79</v>
      </c>
      <c r="AB3" s="153" t="s">
        <v>76</v>
      </c>
      <c r="AC3" s="155"/>
      <c r="AD3" s="155"/>
      <c r="AN3" s="126"/>
      <c r="AO3" s="126"/>
      <c r="AP3" s="126"/>
      <c r="AQ3" s="126"/>
    </row>
    <row r="4" spans="1:43" ht="15.75" customHeight="1" x14ac:dyDescent="0.25">
      <c r="A4" s="156">
        <v>385</v>
      </c>
      <c r="B4" s="157">
        <v>4600</v>
      </c>
      <c r="C4" s="158">
        <f>A4*(B4/1000000)</f>
        <v>1.7709999999999999</v>
      </c>
      <c r="D4" s="159">
        <f>C4 * A4 * 0.5</f>
        <v>340.91749999999996</v>
      </c>
      <c r="E4" s="160">
        <v>0</v>
      </c>
      <c r="F4" s="161">
        <f t="shared" ref="F4:F254" si="0">E4*$A$16</f>
        <v>0</v>
      </c>
      <c r="G4" s="162">
        <f t="shared" ref="G4:G254" si="1">F4+P4</f>
        <v>0.65465116279069768</v>
      </c>
      <c r="H4" s="163">
        <f t="shared" ref="H4:H254" si="2">I4/($B$4/1000000)</f>
        <v>385</v>
      </c>
      <c r="I4" s="164">
        <f>(B4/1000000)*$A$4</f>
        <v>1.7709999999999999</v>
      </c>
      <c r="J4" s="165">
        <f>100</f>
        <v>100</v>
      </c>
      <c r="K4" s="166" t="b">
        <f t="shared" ref="K4:K254" si="3">AND(F4&gt;($A$13-$A$16),F4&lt;($B$13+$A$16))</f>
        <v>1</v>
      </c>
      <c r="L4" s="167">
        <f>(A4/$A$7)*K4</f>
        <v>447.67441860465118</v>
      </c>
      <c r="M4" s="168">
        <f>(L4*0.63)</f>
        <v>282.03488372093022</v>
      </c>
      <c r="N4" s="169">
        <v>0</v>
      </c>
      <c r="O4" s="170">
        <f>IF(ABS(U4)&gt;80,$B$7, LOOKUP(V4,'Force mapping'!$B$7:$B$167,'Force mapping'!$J$7:$J$167))</f>
        <v>563</v>
      </c>
      <c r="P4" s="171">
        <f t="shared" ref="P4:P254" si="4">IF((K4*1) = 1, ((O4/1000000)/$A$7)*1000, $C$7)</f>
        <v>0.65465116279069768</v>
      </c>
      <c r="Q4" s="165">
        <f t="shared" ref="Q4:Q254" si="5">(N4/($A$4/$A$7))*100</f>
        <v>0</v>
      </c>
      <c r="R4" s="172">
        <f>IF(ABS(U4)&gt;80, 0, LOOKUP(V4,'Force mapping'!$B$7:$B$167,'Force mapping'!$I$7:$I$167) * (N4/5) * SIGN(U4))</f>
        <v>0</v>
      </c>
      <c r="S4" s="173">
        <f t="shared" ref="S4:S254" si="6">(R4/($A$10/1000))</f>
        <v>0</v>
      </c>
      <c r="T4" s="174">
        <f>$B$10</f>
        <v>0</v>
      </c>
      <c r="U4" s="175">
        <f>C10</f>
        <v>65</v>
      </c>
      <c r="V4" s="176">
        <f t="shared" ref="V4:V254" si="7">(ROUND(ABS(U4)*2,0))/2</f>
        <v>65</v>
      </c>
      <c r="W4" s="174">
        <f>T254</f>
        <v>1.8919632702214328</v>
      </c>
      <c r="X4" s="177">
        <f>0.5 * (A10 / 1000) * W4^2</f>
        <v>6.156783027291203E-2</v>
      </c>
      <c r="Y4" s="178">
        <f>((100 - J254) / 100) * ((((B4 / 1000000) * A4) * A4) / 2)</f>
        <v>279.41738955657695</v>
      </c>
      <c r="Z4" s="179">
        <f>(X5 / Y4)</f>
        <v>2.2033469722510936E-4</v>
      </c>
      <c r="AA4" s="180">
        <f>100/W4</f>
        <v>52.855148709253818</v>
      </c>
      <c r="AB4" s="181">
        <f>((LOOKUP(B13,F4:F254,O4:O254)/1000000) * LOOKUP(B13,F4:F254,N4:N254)^2) / 2</f>
        <v>17.968868019489381</v>
      </c>
      <c r="AC4" s="182"/>
    </row>
    <row r="5" spans="1:43" ht="15.75" customHeight="1" x14ac:dyDescent="0.25">
      <c r="A5" s="183" t="s">
        <v>158</v>
      </c>
      <c r="B5" s="184"/>
      <c r="C5" s="184"/>
      <c r="D5" s="185"/>
      <c r="E5" s="186">
        <f t="shared" ref="E5:E254" si="8">E4+1</f>
        <v>1</v>
      </c>
      <c r="F5" s="187">
        <f t="shared" si="0"/>
        <v>0.05</v>
      </c>
      <c r="G5" s="188">
        <f t="shared" si="1"/>
        <v>0.70465116279069773</v>
      </c>
      <c r="H5" s="189">
        <f t="shared" si="2"/>
        <v>385</v>
      </c>
      <c r="I5" s="190">
        <f t="shared" ref="I5:I254" si="9">IF((K4*1)=1,I4-((N4/1000)*$A$16),I4)</f>
        <v>1.7709999999999999</v>
      </c>
      <c r="J5" s="191">
        <f t="shared" ref="J5:J254" si="10">(((I5*H5)/2)/$D$4)*100</f>
        <v>100</v>
      </c>
      <c r="K5" s="192" t="b">
        <f t="shared" si="3"/>
        <v>1</v>
      </c>
      <c r="L5" s="193">
        <f t="shared" ref="L5:L254" si="11">(H4/$A$7)*K5</f>
        <v>447.67441860465118</v>
      </c>
      <c r="M5" s="194">
        <f t="shared" ref="M5:M254" si="12">M4+(L5-M4)*0.63</f>
        <v>386.3877906976744</v>
      </c>
      <c r="N5" s="194">
        <f t="shared" ref="N5:N254" si="13">N4+((M4-N4)/((G4-F4)/$A$16))</f>
        <v>21.540852575488454</v>
      </c>
      <c r="O5" s="195">
        <f>IF(ABS(U5)&gt;80,$B$7, LOOKUP(V5,'Force mapping'!$B$7:$B$167,'Force mapping'!$J$7:$J$167))</f>
        <v>563</v>
      </c>
      <c r="P5" s="196">
        <f t="shared" si="4"/>
        <v>0.65465116279069768</v>
      </c>
      <c r="Q5" s="191">
        <f t="shared" si="5"/>
        <v>4.8117229129662524</v>
      </c>
      <c r="R5" s="197">
        <f>IF(ABS(U5)&gt;80, 0, LOOKUP(V5,'Force mapping'!$B$7:$B$167,'Force mapping'!$I$7:$I$167) * (N5/5) * SIGN(U5))</f>
        <v>0.79373733570159866</v>
      </c>
      <c r="S5" s="198">
        <f t="shared" si="6"/>
        <v>23.073759758767402</v>
      </c>
      <c r="T5" s="199">
        <f t="shared" ref="T5:T254" si="14">T4+(S4/1000)*$A$16</f>
        <v>0</v>
      </c>
      <c r="U5" s="200">
        <f t="shared" ref="U5:U254" si="15">U4-((T4*$A$16) + (0.5 * (T5-T4)))</f>
        <v>65</v>
      </c>
      <c r="V5" s="176">
        <f t="shared" si="7"/>
        <v>65</v>
      </c>
      <c r="W5" s="201">
        <f>W4 - B10</f>
        <v>1.8919632702214328</v>
      </c>
      <c r="X5" s="202">
        <f>(0.5 * (A10 / 1000) * T204^2) - (0.5 * (A10 / 1000) * B10^2)</f>
        <v>6.156534592737882E-2</v>
      </c>
      <c r="Y5" s="203">
        <f>Y4/D4</f>
        <v>0.81960412579752284</v>
      </c>
      <c r="Z5" s="204"/>
      <c r="AA5" s="101"/>
      <c r="AF5" s="91"/>
    </row>
    <row r="6" spans="1:43" ht="15.75" customHeight="1" x14ac:dyDescent="0.25">
      <c r="A6" s="73" t="s">
        <v>59</v>
      </c>
      <c r="B6" s="73" t="s">
        <v>60</v>
      </c>
      <c r="C6" s="73" t="s">
        <v>132</v>
      </c>
      <c r="D6" s="185"/>
      <c r="E6" s="186">
        <f t="shared" si="8"/>
        <v>2</v>
      </c>
      <c r="F6" s="187">
        <f t="shared" si="0"/>
        <v>0.1</v>
      </c>
      <c r="G6" s="188">
        <f t="shared" si="1"/>
        <v>0.75465116279069766</v>
      </c>
      <c r="H6" s="189">
        <f t="shared" si="2"/>
        <v>384.76586029809249</v>
      </c>
      <c r="I6" s="190">
        <f t="shared" si="9"/>
        <v>1.7699229573712254</v>
      </c>
      <c r="J6" s="191">
        <f t="shared" si="10"/>
        <v>99.878405971280984</v>
      </c>
      <c r="K6" s="192" t="b">
        <f t="shared" si="3"/>
        <v>1</v>
      </c>
      <c r="L6" s="193">
        <f t="shared" si="11"/>
        <v>447.67441860465118</v>
      </c>
      <c r="M6" s="194">
        <f t="shared" si="12"/>
        <v>424.99836627906978</v>
      </c>
      <c r="N6" s="194">
        <f t="shared" si="13"/>
        <v>49.406604510220241</v>
      </c>
      <c r="O6" s="195">
        <f>IF(ABS(U6)&gt;80,$B$7, LOOKUP(V6,'Force mapping'!$B$7:$B$167,'Force mapping'!$J$7:$J$167))</f>
        <v>563</v>
      </c>
      <c r="P6" s="196">
        <f t="shared" si="4"/>
        <v>0.65465116279069768</v>
      </c>
      <c r="Q6" s="191">
        <f t="shared" si="5"/>
        <v>11.036280487997248</v>
      </c>
      <c r="R6" s="197">
        <f>IF(ABS(U6)&gt;80, 0, LOOKUP(V6,'Force mapping'!$B$7:$B$167,'Force mapping'!$I$7:$I$167) * (N6/5) * SIGN(U6))</f>
        <v>1.8205345629925958</v>
      </c>
      <c r="S6" s="198">
        <f t="shared" si="6"/>
        <v>52.922516366063832</v>
      </c>
      <c r="T6" s="199">
        <f t="shared" si="14"/>
        <v>1.1536879879383702E-3</v>
      </c>
      <c r="U6" s="200">
        <f t="shared" si="15"/>
        <v>64.999423156006031</v>
      </c>
      <c r="V6" s="176">
        <f t="shared" si="7"/>
        <v>65</v>
      </c>
      <c r="W6" s="204"/>
      <c r="X6" s="204"/>
      <c r="Y6" s="204"/>
      <c r="Z6" s="204"/>
    </row>
    <row r="7" spans="1:43" ht="15.75" customHeight="1" x14ac:dyDescent="0.25">
      <c r="A7" s="205">
        <v>0.86</v>
      </c>
      <c r="B7" s="206">
        <v>536</v>
      </c>
      <c r="C7" s="207">
        <v>0.623</v>
      </c>
      <c r="D7" s="208"/>
      <c r="E7" s="186">
        <f t="shared" si="8"/>
        <v>3</v>
      </c>
      <c r="F7" s="187">
        <f t="shared" si="0"/>
        <v>0.15000000000000002</v>
      </c>
      <c r="G7" s="188">
        <f t="shared" si="1"/>
        <v>0.8046511627906977</v>
      </c>
      <c r="H7" s="189">
        <f t="shared" si="2"/>
        <v>384.22883198819881</v>
      </c>
      <c r="I7" s="190">
        <f t="shared" si="9"/>
        <v>1.7674526271457145</v>
      </c>
      <c r="J7" s="191">
        <f t="shared" si="10"/>
        <v>99.599794455061911</v>
      </c>
      <c r="K7" s="192" t="b">
        <f t="shared" si="3"/>
        <v>1</v>
      </c>
      <c r="L7" s="193">
        <f t="shared" si="11"/>
        <v>447.40216313731685</v>
      </c>
      <c r="M7" s="194">
        <f t="shared" si="12"/>
        <v>439.11275829976546</v>
      </c>
      <c r="N7" s="194">
        <f t="shared" si="13"/>
        <v>78.093009050292238</v>
      </c>
      <c r="O7" s="195">
        <f>IF(ABS(U7)&gt;80,$B$7, LOOKUP(V7,'Force mapping'!$B$7:$B$167,'Force mapping'!$J$7:$J$167))</f>
        <v>563</v>
      </c>
      <c r="P7" s="196">
        <f t="shared" si="4"/>
        <v>0.65465116279069768</v>
      </c>
      <c r="Q7" s="191">
        <f t="shared" si="5"/>
        <v>17.444152670974368</v>
      </c>
      <c r="R7" s="197">
        <f>IF(ABS(U7)&gt;80, 0, LOOKUP(V7,'Force mapping'!$B$7:$B$167,'Force mapping'!$I$7:$I$167) * (N7/5) * SIGN(U7))</f>
        <v>2.8775711974851683</v>
      </c>
      <c r="S7" s="198">
        <f t="shared" si="6"/>
        <v>83.650325508289782</v>
      </c>
      <c r="T7" s="199">
        <f t="shared" si="14"/>
        <v>3.7998138062415622E-3</v>
      </c>
      <c r="U7" s="200">
        <f t="shared" si="15"/>
        <v>64.998042408697486</v>
      </c>
      <c r="V7" s="176">
        <f t="shared" si="7"/>
        <v>65</v>
      </c>
      <c r="W7" s="204"/>
      <c r="X7" s="204"/>
      <c r="Y7" s="204"/>
      <c r="Z7" s="204"/>
    </row>
    <row r="8" spans="1:43" ht="15.75" customHeight="1" x14ac:dyDescent="0.25">
      <c r="A8" s="183" t="s">
        <v>159</v>
      </c>
      <c r="B8" s="184"/>
      <c r="C8" s="184"/>
      <c r="D8" s="185"/>
      <c r="E8" s="186">
        <f t="shared" si="8"/>
        <v>4</v>
      </c>
      <c r="F8" s="187">
        <f t="shared" si="0"/>
        <v>0.2</v>
      </c>
      <c r="G8" s="188">
        <f t="shared" si="1"/>
        <v>0.85465116279069764</v>
      </c>
      <c r="H8" s="189">
        <f t="shared" si="2"/>
        <v>383.37999493330432</v>
      </c>
      <c r="I8" s="190">
        <f t="shared" si="9"/>
        <v>1.7635479766931998</v>
      </c>
      <c r="J8" s="191">
        <f t="shared" si="10"/>
        <v>99.160209488993402</v>
      </c>
      <c r="K8" s="192" t="b">
        <f t="shared" si="3"/>
        <v>1</v>
      </c>
      <c r="L8" s="193">
        <f t="shared" si="11"/>
        <v>446.77771161418468</v>
      </c>
      <c r="M8" s="194">
        <f t="shared" si="12"/>
        <v>443.94167888784955</v>
      </c>
      <c r="N8" s="194">
        <f t="shared" si="13"/>
        <v>105.66645348675289</v>
      </c>
      <c r="O8" s="195">
        <f>IF(ABS(U8)&gt;80,$B$7, LOOKUP(V8,'Force mapping'!$B$7:$B$167,'Force mapping'!$J$7:$J$167))</f>
        <v>563</v>
      </c>
      <c r="P8" s="196">
        <f t="shared" si="4"/>
        <v>0.65465116279069768</v>
      </c>
      <c r="Q8" s="191">
        <f t="shared" si="5"/>
        <v>23.603415584053892</v>
      </c>
      <c r="R8" s="197">
        <f>IF(ABS(U8)&gt;80, 0, LOOKUP(V8,'Force mapping'!$B$7:$B$167,'Force mapping'!$I$7:$I$167) * (N8/5) * SIGN(U8))</f>
        <v>3.893597478079871</v>
      </c>
      <c r="S8" s="198">
        <f t="shared" si="6"/>
        <v>113.18597319999625</v>
      </c>
      <c r="T8" s="199">
        <f t="shared" si="14"/>
        <v>7.9823300816560527E-3</v>
      </c>
      <c r="U8" s="200">
        <f t="shared" si="15"/>
        <v>64.995761159869474</v>
      </c>
      <c r="V8" s="176">
        <f t="shared" si="7"/>
        <v>65</v>
      </c>
      <c r="W8" s="204"/>
      <c r="X8" s="204"/>
      <c r="Y8" s="204"/>
      <c r="Z8" s="204"/>
    </row>
    <row r="9" spans="1:43" ht="15.75" customHeight="1" x14ac:dyDescent="0.25">
      <c r="A9" s="73" t="s">
        <v>160</v>
      </c>
      <c r="B9" s="73" t="s">
        <v>161</v>
      </c>
      <c r="C9" s="73" t="s">
        <v>162</v>
      </c>
      <c r="D9" s="209"/>
      <c r="E9" s="186">
        <f t="shared" si="8"/>
        <v>5</v>
      </c>
      <c r="F9" s="187">
        <f t="shared" si="0"/>
        <v>0.25</v>
      </c>
      <c r="G9" s="188">
        <f t="shared" si="1"/>
        <v>0.90465116279069768</v>
      </c>
      <c r="H9" s="189">
        <f t="shared" si="2"/>
        <v>382.2314465258396</v>
      </c>
      <c r="I9" s="190">
        <f t="shared" si="9"/>
        <v>1.7582646540188622</v>
      </c>
      <c r="J9" s="191">
        <f t="shared" si="10"/>
        <v>98.566961520145597</v>
      </c>
      <c r="K9" s="192" t="b">
        <f t="shared" si="3"/>
        <v>1</v>
      </c>
      <c r="L9" s="193">
        <f t="shared" si="11"/>
        <v>445.79069178291201</v>
      </c>
      <c r="M9" s="194">
        <f t="shared" si="12"/>
        <v>445.10655701173891</v>
      </c>
      <c r="N9" s="194">
        <f t="shared" si="13"/>
        <v>131.50274956534463</v>
      </c>
      <c r="O9" s="195">
        <f>IF(ABS(U9)&gt;80,$B$7, LOOKUP(V9,'Force mapping'!$B$7:$B$167,'Force mapping'!$J$7:$J$167))</f>
        <v>563</v>
      </c>
      <c r="P9" s="196">
        <f t="shared" si="4"/>
        <v>0.65465116279069768</v>
      </c>
      <c r="Q9" s="191">
        <f t="shared" si="5"/>
        <v>29.374640162648408</v>
      </c>
      <c r="R9" s="197">
        <f>IF(ABS(U9)&gt;80, 0, LOOKUP(V9,'Force mapping'!$B$7:$B$167,'Force mapping'!$I$7:$I$167) * (N9/5) * SIGN(U9))</f>
        <v>4.8456133159838197</v>
      </c>
      <c r="S9" s="198">
        <f t="shared" si="6"/>
        <v>140.86085220883197</v>
      </c>
      <c r="T9" s="199">
        <f t="shared" si="14"/>
        <v>1.3641628741655865E-2</v>
      </c>
      <c r="U9" s="200">
        <f t="shared" si="15"/>
        <v>64.992532394035393</v>
      </c>
      <c r="V9" s="176">
        <f t="shared" si="7"/>
        <v>65</v>
      </c>
      <c r="W9" s="204"/>
      <c r="X9" s="204"/>
      <c r="Y9" s="204"/>
      <c r="Z9" s="204"/>
      <c r="AA9" s="101"/>
    </row>
    <row r="10" spans="1:43" ht="15.75" customHeight="1" x14ac:dyDescent="0.25">
      <c r="A10" s="210">
        <v>34.4</v>
      </c>
      <c r="B10" s="211">
        <v>0</v>
      </c>
      <c r="C10" s="212">
        <v>65</v>
      </c>
      <c r="D10" s="213"/>
      <c r="E10" s="186">
        <f t="shared" si="8"/>
        <v>6</v>
      </c>
      <c r="F10" s="187">
        <f t="shared" si="0"/>
        <v>0.30000000000000004</v>
      </c>
      <c r="G10" s="188">
        <f t="shared" si="1"/>
        <v>0.95465116279069773</v>
      </c>
      <c r="H10" s="189">
        <f t="shared" si="2"/>
        <v>380.80206881317281</v>
      </c>
      <c r="I10" s="190">
        <f t="shared" si="9"/>
        <v>1.751689516540595</v>
      </c>
      <c r="J10" s="191">
        <f t="shared" si="10"/>
        <v>97.831145631568504</v>
      </c>
      <c r="K10" s="192" t="b">
        <f t="shared" si="3"/>
        <v>1</v>
      </c>
      <c r="L10" s="193">
        <f t="shared" si="11"/>
        <v>444.45517037888328</v>
      </c>
      <c r="M10" s="194">
        <f t="shared" si="12"/>
        <v>444.69618343303989</v>
      </c>
      <c r="N10" s="194">
        <f t="shared" si="13"/>
        <v>155.454727753968</v>
      </c>
      <c r="O10" s="195">
        <f>IF(ABS(U10)&gt;80,$B$7, LOOKUP(V10,'Force mapping'!$B$7:$B$167,'Force mapping'!$J$7:$J$167))</f>
        <v>563</v>
      </c>
      <c r="P10" s="196">
        <f t="shared" si="4"/>
        <v>0.65465116279069768</v>
      </c>
      <c r="Q10" s="191">
        <f t="shared" si="5"/>
        <v>34.72495217361363</v>
      </c>
      <c r="R10" s="197">
        <f>IF(ABS(U10)&gt;80, 0, LOOKUP(V10,'Force mapping'!$B$7:$B$167,'Force mapping'!$I$7:$I$167) * (N10/5) * SIGN(U10))</f>
        <v>5.7281958082782127</v>
      </c>
      <c r="S10" s="198">
        <f t="shared" si="6"/>
        <v>166.51732000808758</v>
      </c>
      <c r="T10" s="199">
        <f t="shared" si="14"/>
        <v>2.0684671352097464E-2</v>
      </c>
      <c r="U10" s="200">
        <f t="shared" si="15"/>
        <v>64.988328791293085</v>
      </c>
      <c r="V10" s="176">
        <f t="shared" si="7"/>
        <v>65</v>
      </c>
      <c r="W10" s="204"/>
      <c r="X10" s="204"/>
      <c r="Y10" s="204"/>
      <c r="Z10" s="204"/>
    </row>
    <row r="11" spans="1:43" ht="15.75" customHeight="1" x14ac:dyDescent="0.25">
      <c r="A11" s="183" t="s">
        <v>163</v>
      </c>
      <c r="B11" s="184"/>
      <c r="C11" s="184"/>
      <c r="D11" s="185"/>
      <c r="E11" s="186">
        <f t="shared" si="8"/>
        <v>7</v>
      </c>
      <c r="F11" s="187">
        <f t="shared" si="0"/>
        <v>0.35000000000000003</v>
      </c>
      <c r="G11" s="188">
        <f t="shared" si="1"/>
        <v>1.0046511627906978</v>
      </c>
      <c r="H11" s="189">
        <f t="shared" si="2"/>
        <v>379.11234351149926</v>
      </c>
      <c r="I11" s="190">
        <f t="shared" si="9"/>
        <v>1.7439167801528965</v>
      </c>
      <c r="J11" s="191">
        <f t="shared" si="10"/>
        <v>96.9648635539086</v>
      </c>
      <c r="K11" s="192" t="b">
        <f t="shared" si="3"/>
        <v>1</v>
      </c>
      <c r="L11" s="193">
        <f t="shared" si="11"/>
        <v>442.7931032711312</v>
      </c>
      <c r="M11" s="194">
        <f t="shared" si="12"/>
        <v>443.49724293103742</v>
      </c>
      <c r="N11" s="194">
        <f t="shared" si="13"/>
        <v>177.54599346302678</v>
      </c>
      <c r="O11" s="195">
        <f>IF(ABS(U11)&gt;80,$B$7, LOOKUP(V11,'Force mapping'!$B$7:$B$167,'Force mapping'!$J$7:$J$167))</f>
        <v>563</v>
      </c>
      <c r="P11" s="196">
        <f t="shared" si="4"/>
        <v>0.65465116279069768</v>
      </c>
      <c r="Q11" s="191">
        <f t="shared" si="5"/>
        <v>39.659624513818962</v>
      </c>
      <c r="R11" s="197">
        <f>IF(ABS(U11)&gt;80, 0, LOOKUP(V11,'Force mapping'!$B$7:$B$167,'Force mapping'!$I$7:$I$167) * (N11/5) * SIGN(U11))</f>
        <v>6.5422147671256106</v>
      </c>
      <c r="S11" s="198">
        <f t="shared" si="6"/>
        <v>190.18066183504681</v>
      </c>
      <c r="T11" s="199">
        <f t="shared" si="14"/>
        <v>2.9010537352501843E-2</v>
      </c>
      <c r="U11" s="200">
        <f t="shared" si="15"/>
        <v>64.983131624725274</v>
      </c>
      <c r="V11" s="176">
        <f t="shared" si="7"/>
        <v>65</v>
      </c>
      <c r="W11" s="204"/>
      <c r="X11" s="204"/>
      <c r="Y11" s="204"/>
      <c r="Z11" s="204"/>
    </row>
    <row r="12" spans="1:43" ht="15.75" customHeight="1" x14ac:dyDescent="0.25">
      <c r="A12" s="73" t="s">
        <v>164</v>
      </c>
      <c r="B12" s="73" t="s">
        <v>165</v>
      </c>
      <c r="C12" s="73" t="s">
        <v>10</v>
      </c>
      <c r="D12" s="209"/>
      <c r="E12" s="186">
        <f t="shared" si="8"/>
        <v>8</v>
      </c>
      <c r="F12" s="187">
        <f t="shared" si="0"/>
        <v>0.4</v>
      </c>
      <c r="G12" s="188">
        <f t="shared" si="1"/>
        <v>1.0546511627906976</v>
      </c>
      <c r="H12" s="189">
        <f t="shared" si="2"/>
        <v>377.18249575646632</v>
      </c>
      <c r="I12" s="190">
        <f t="shared" si="9"/>
        <v>1.7350394804797451</v>
      </c>
      <c r="J12" s="191">
        <f t="shared" si="10"/>
        <v>95.980188972897125</v>
      </c>
      <c r="K12" s="192" t="b">
        <f t="shared" si="3"/>
        <v>1</v>
      </c>
      <c r="L12" s="193">
        <f t="shared" si="11"/>
        <v>440.8283064087201</v>
      </c>
      <c r="M12" s="194">
        <f t="shared" si="12"/>
        <v>441.81581292197751</v>
      </c>
      <c r="N12" s="194">
        <f t="shared" si="13"/>
        <v>197.85843347568124</v>
      </c>
      <c r="O12" s="195">
        <f>IF(ABS(U12)&gt;80,$B$7, LOOKUP(V12,'Force mapping'!$B$7:$B$167,'Force mapping'!$J$7:$J$167))</f>
        <v>563</v>
      </c>
      <c r="P12" s="196">
        <f t="shared" si="4"/>
        <v>0.65465116279069768</v>
      </c>
      <c r="Q12" s="191">
        <f t="shared" si="5"/>
        <v>44.196948776385938</v>
      </c>
      <c r="R12" s="197">
        <f>IF(ABS(U12)&gt;80, 0, LOOKUP(V12,'Force mapping'!$B$7:$B$167,'Force mapping'!$I$7:$I$167) * (N12/5) * SIGN(U12))</f>
        <v>7.2906875567119034</v>
      </c>
      <c r="S12" s="198">
        <f t="shared" si="6"/>
        <v>211.93859176488093</v>
      </c>
      <c r="T12" s="199">
        <f t="shared" si="14"/>
        <v>3.8519570444254185E-2</v>
      </c>
      <c r="U12" s="200">
        <f t="shared" si="15"/>
        <v>64.976926581311773</v>
      </c>
      <c r="V12" s="176">
        <f t="shared" si="7"/>
        <v>65</v>
      </c>
      <c r="W12" s="204"/>
      <c r="X12" s="204"/>
      <c r="Y12" s="204"/>
      <c r="Z12" s="204"/>
    </row>
    <row r="13" spans="1:43" ht="15.75" customHeight="1" x14ac:dyDescent="0.25">
      <c r="A13" s="214">
        <v>0</v>
      </c>
      <c r="B13" s="215">
        <v>3.5</v>
      </c>
      <c r="C13" s="213"/>
      <c r="D13" s="213"/>
      <c r="E13" s="186">
        <f t="shared" si="8"/>
        <v>9</v>
      </c>
      <c r="F13" s="187">
        <f t="shared" si="0"/>
        <v>0.45</v>
      </c>
      <c r="G13" s="188">
        <f t="shared" si="1"/>
        <v>1.1046511627906976</v>
      </c>
      <c r="H13" s="189">
        <f t="shared" si="2"/>
        <v>375.03186060999155</v>
      </c>
      <c r="I13" s="190">
        <f t="shared" si="9"/>
        <v>1.7251465588059611</v>
      </c>
      <c r="J13" s="191">
        <f t="shared" si="10"/>
        <v>94.888781563563612</v>
      </c>
      <c r="K13" s="192" t="b">
        <f t="shared" si="3"/>
        <v>1</v>
      </c>
      <c r="L13" s="193">
        <f t="shared" si="11"/>
        <v>438.58429739123994</v>
      </c>
      <c r="M13" s="194">
        <f t="shared" si="12"/>
        <v>439.77995813761282</v>
      </c>
      <c r="N13" s="194">
        <f t="shared" si="13"/>
        <v>216.49105748312482</v>
      </c>
      <c r="O13" s="195">
        <f>IF(ABS(U13)&gt;80,$B$7, LOOKUP(V13,'Force mapping'!$B$7:$B$167,'Force mapping'!$J$7:$J$167))</f>
        <v>563</v>
      </c>
      <c r="P13" s="196">
        <f t="shared" si="4"/>
        <v>0.65465116279069768</v>
      </c>
      <c r="Q13" s="191">
        <f t="shared" si="5"/>
        <v>48.359041411814893</v>
      </c>
      <c r="R13" s="197">
        <f>IF(ABS(U13)&gt;80, 0, LOOKUP(V13,'Force mapping'!$B$7:$B$167,'Force mapping'!$I$7:$I$167) * (N13/5) * SIGN(U13))</f>
        <v>7.9772624861381844</v>
      </c>
      <c r="S13" s="198">
        <f t="shared" si="6"/>
        <v>231.89716529471465</v>
      </c>
      <c r="T13" s="199">
        <f t="shared" si="14"/>
        <v>4.9116500032498234E-2</v>
      </c>
      <c r="U13" s="200">
        <f t="shared" si="15"/>
        <v>64.969702137995441</v>
      </c>
      <c r="V13" s="176">
        <f t="shared" si="7"/>
        <v>65</v>
      </c>
      <c r="W13" s="204"/>
      <c r="X13" s="204"/>
      <c r="Y13" s="204"/>
      <c r="Z13" s="216"/>
    </row>
    <row r="14" spans="1:43" ht="15.75" customHeight="1" x14ac:dyDescent="0.25">
      <c r="A14" s="183" t="s">
        <v>166</v>
      </c>
      <c r="B14" s="184"/>
      <c r="C14" s="184"/>
      <c r="D14" s="185"/>
      <c r="E14" s="186">
        <f t="shared" si="8"/>
        <v>10</v>
      </c>
      <c r="F14" s="187">
        <f t="shared" si="0"/>
        <v>0.5</v>
      </c>
      <c r="G14" s="188">
        <f t="shared" si="1"/>
        <v>1.1546511627906977</v>
      </c>
      <c r="H14" s="189">
        <f t="shared" si="2"/>
        <v>372.67869694169673</v>
      </c>
      <c r="I14" s="190">
        <f t="shared" si="9"/>
        <v>1.7143220059318049</v>
      </c>
      <c r="J14" s="191">
        <f t="shared" si="10"/>
        <v>93.701744748970185</v>
      </c>
      <c r="K14" s="192" t="b">
        <f t="shared" si="3"/>
        <v>1</v>
      </c>
      <c r="L14" s="193">
        <f t="shared" si="11"/>
        <v>436.08355884882741</v>
      </c>
      <c r="M14" s="194">
        <f t="shared" si="12"/>
        <v>437.451226585678</v>
      </c>
      <c r="N14" s="194">
        <f t="shared" si="13"/>
        <v>233.54509430043029</v>
      </c>
      <c r="O14" s="195">
        <f>IF(ABS(U14)&gt;80,$B$7, LOOKUP(V14,'Force mapping'!$B$7:$B$167,'Force mapping'!$J$7:$J$167))</f>
        <v>563</v>
      </c>
      <c r="P14" s="196">
        <f t="shared" si="4"/>
        <v>0.65465116279069768</v>
      </c>
      <c r="Q14" s="191">
        <f t="shared" si="5"/>
        <v>52.168514571005211</v>
      </c>
      <c r="R14" s="197">
        <f>IF(ABS(U14)&gt;80, 0, LOOKUP(V14,'Force mapping'!$B$7:$B$167,'Force mapping'!$I$7:$I$167) * (N14/5) * SIGN(U14))</f>
        <v>8.6056696347822559</v>
      </c>
      <c r="S14" s="198">
        <f t="shared" si="6"/>
        <v>250.16481496460045</v>
      </c>
      <c r="T14" s="199">
        <f t="shared" si="14"/>
        <v>6.0711358297233967E-2</v>
      </c>
      <c r="U14" s="200">
        <f t="shared" si="15"/>
        <v>64.961448883861451</v>
      </c>
      <c r="V14" s="176">
        <f t="shared" si="7"/>
        <v>65</v>
      </c>
      <c r="W14" s="204"/>
      <c r="X14" s="204"/>
      <c r="Y14" s="204"/>
      <c r="Z14" s="216"/>
    </row>
    <row r="15" spans="1:43" ht="15.75" customHeight="1" x14ac:dyDescent="0.25">
      <c r="A15" s="73" t="s">
        <v>167</v>
      </c>
      <c r="B15" s="209"/>
      <c r="C15" s="209"/>
      <c r="D15" s="209"/>
      <c r="E15" s="186">
        <f t="shared" si="8"/>
        <v>11</v>
      </c>
      <c r="F15" s="187">
        <f t="shared" si="0"/>
        <v>0.55000000000000004</v>
      </c>
      <c r="G15" s="188">
        <f t="shared" si="1"/>
        <v>1.2046511627906977</v>
      </c>
      <c r="H15" s="189">
        <f t="shared" si="2"/>
        <v>370.14016330799643</v>
      </c>
      <c r="I15" s="190">
        <f t="shared" si="9"/>
        <v>1.7026447512167835</v>
      </c>
      <c r="J15" s="191">
        <f t="shared" si="10"/>
        <v>92.429576990163795</v>
      </c>
      <c r="K15" s="192" t="b">
        <f t="shared" si="3"/>
        <v>1</v>
      </c>
      <c r="L15" s="193">
        <f t="shared" si="11"/>
        <v>433.34732202522878</v>
      </c>
      <c r="M15" s="194">
        <f t="shared" si="12"/>
        <v>434.86576671259502</v>
      </c>
      <c r="N15" s="194">
        <f t="shared" si="13"/>
        <v>249.1187420593391</v>
      </c>
      <c r="O15" s="195">
        <f>IF(ABS(U15)&gt;80,$B$7, LOOKUP(V15,'Force mapping'!$B$7:$B$167,'Force mapping'!$J$7:$J$167))</f>
        <v>563</v>
      </c>
      <c r="P15" s="196">
        <f t="shared" si="4"/>
        <v>0.65465116279069768</v>
      </c>
      <c r="Q15" s="191">
        <f t="shared" si="5"/>
        <v>55.647303421047177</v>
      </c>
      <c r="R15" s="197">
        <f>IF(ABS(U15)&gt;80, 0, LOOKUP(V15,'Force mapping'!$B$7:$B$167,'Force mapping'!$I$7:$I$167) * (N15/5) * SIGN(U15))</f>
        <v>9.1795274074025279</v>
      </c>
      <c r="S15" s="198">
        <f t="shared" si="6"/>
        <v>266.84672695937581</v>
      </c>
      <c r="T15" s="199">
        <f t="shared" si="14"/>
        <v>7.321959904546399E-2</v>
      </c>
      <c r="U15" s="200">
        <f t="shared" si="15"/>
        <v>64.952159195572477</v>
      </c>
      <c r="V15" s="176">
        <f t="shared" si="7"/>
        <v>65</v>
      </c>
      <c r="X15" s="101"/>
      <c r="Y15" s="91"/>
      <c r="Z15" s="88"/>
    </row>
    <row r="16" spans="1:43" ht="15.75" customHeight="1" x14ac:dyDescent="0.25">
      <c r="A16" s="207">
        <v>0.05</v>
      </c>
      <c r="B16" s="213"/>
      <c r="C16" s="213"/>
      <c r="D16" s="213"/>
      <c r="E16" s="186">
        <f t="shared" si="8"/>
        <v>12</v>
      </c>
      <c r="F16" s="187">
        <f t="shared" si="0"/>
        <v>0.60000000000000009</v>
      </c>
      <c r="G16" s="188">
        <f t="shared" si="1"/>
        <v>1.2546511627906978</v>
      </c>
      <c r="H16" s="189">
        <f t="shared" si="2"/>
        <v>367.43235089430794</v>
      </c>
      <c r="I16" s="190">
        <f t="shared" si="9"/>
        <v>1.6901888141138166</v>
      </c>
      <c r="J16" s="191">
        <f t="shared" si="10"/>
        <v>91.082160555721288</v>
      </c>
      <c r="K16" s="192" t="b">
        <f t="shared" si="3"/>
        <v>1</v>
      </c>
      <c r="L16" s="193">
        <f t="shared" si="11"/>
        <v>430.3955387302284</v>
      </c>
      <c r="M16" s="194">
        <f t="shared" si="12"/>
        <v>432.04952308370406</v>
      </c>
      <c r="N16" s="194">
        <f t="shared" si="13"/>
        <v>263.30545975044038</v>
      </c>
      <c r="O16" s="195">
        <f>IF(ABS(U16)&gt;80,$B$7, LOOKUP(V16,'Force mapping'!$B$7:$B$167,'Force mapping'!$J$7:$J$167))</f>
        <v>563</v>
      </c>
      <c r="P16" s="196">
        <f t="shared" si="4"/>
        <v>0.65465116279069768</v>
      </c>
      <c r="Q16" s="191">
        <f t="shared" si="5"/>
        <v>58.816284515682781</v>
      </c>
      <c r="R16" s="197">
        <f>IF(ABS(U16)&gt;80, 0, LOOKUP(V16,'Force mapping'!$B$7:$B$167,'Force mapping'!$I$7:$I$167) * (N16/5) * SIGN(U16))</f>
        <v>9.7022795808842286</v>
      </c>
      <c r="S16" s="198">
        <f t="shared" si="6"/>
        <v>282.04301107221596</v>
      </c>
      <c r="T16" s="199">
        <f t="shared" si="14"/>
        <v>8.6561935393432779E-2</v>
      </c>
      <c r="U16" s="200">
        <f t="shared" si="15"/>
        <v>64.941827047446225</v>
      </c>
      <c r="V16" s="176">
        <f t="shared" si="7"/>
        <v>65</v>
      </c>
      <c r="X16" s="101"/>
      <c r="Y16" s="91"/>
      <c r="Z16" s="88"/>
    </row>
    <row r="17" spans="5:30" ht="15.75" customHeight="1" x14ac:dyDescent="0.25">
      <c r="E17" s="186">
        <f t="shared" si="8"/>
        <v>13</v>
      </c>
      <c r="F17" s="187">
        <f t="shared" si="0"/>
        <v>0.65</v>
      </c>
      <c r="G17" s="188">
        <f t="shared" si="1"/>
        <v>1.3046511627906976</v>
      </c>
      <c r="H17" s="189">
        <f t="shared" si="2"/>
        <v>364.57033502745537</v>
      </c>
      <c r="I17" s="190">
        <f t="shared" si="9"/>
        <v>1.6770235411262946</v>
      </c>
      <c r="J17" s="191">
        <f t="shared" si="10"/>
        <v>89.668766525235995</v>
      </c>
      <c r="K17" s="192" t="b">
        <f t="shared" si="3"/>
        <v>1</v>
      </c>
      <c r="L17" s="193">
        <f t="shared" si="11"/>
        <v>427.24691964454411</v>
      </c>
      <c r="M17" s="194">
        <f t="shared" si="12"/>
        <v>429.02388291703329</v>
      </c>
      <c r="N17" s="194">
        <f t="shared" si="13"/>
        <v>276.19354984516565</v>
      </c>
      <c r="O17" s="195">
        <f>IF(ABS(U17)&gt;80,$B$7, LOOKUP(V17,'Force mapping'!$B$7:$B$167,'Force mapping'!$J$7:$J$167))</f>
        <v>563</v>
      </c>
      <c r="P17" s="196">
        <f t="shared" si="4"/>
        <v>0.65465116279069768</v>
      </c>
      <c r="Q17" s="191">
        <f t="shared" si="5"/>
        <v>61.695182562816221</v>
      </c>
      <c r="R17" s="197">
        <f>IF(ABS(U17)&gt;80, 0, LOOKUP(V17,'Force mapping'!$B$7:$B$167,'Force mapping'!$I$7:$I$167) * (N17/5) * SIGN(U17))</f>
        <v>10.177179924694665</v>
      </c>
      <c r="S17" s="198">
        <f t="shared" si="6"/>
        <v>295.84825362484492</v>
      </c>
      <c r="T17" s="199">
        <f t="shared" si="14"/>
        <v>0.10066408594704358</v>
      </c>
      <c r="U17" s="200">
        <f t="shared" si="15"/>
        <v>64.93044787539975</v>
      </c>
      <c r="V17" s="176">
        <f t="shared" si="7"/>
        <v>65</v>
      </c>
      <c r="X17" s="101"/>
      <c r="Y17" s="91"/>
      <c r="Z17" s="88"/>
    </row>
    <row r="18" spans="5:30" ht="15.75" customHeight="1" x14ac:dyDescent="0.25">
      <c r="E18" s="186">
        <f t="shared" si="8"/>
        <v>14</v>
      </c>
      <c r="F18" s="187">
        <f t="shared" si="0"/>
        <v>0.70000000000000007</v>
      </c>
      <c r="G18" s="188">
        <f t="shared" si="1"/>
        <v>1.3546511627906979</v>
      </c>
      <c r="H18" s="189">
        <f t="shared" si="2"/>
        <v>361.56823122479051</v>
      </c>
      <c r="I18" s="190">
        <f t="shared" si="9"/>
        <v>1.6632138636340363</v>
      </c>
      <c r="J18" s="191">
        <f t="shared" si="10"/>
        <v>88.198067688327598</v>
      </c>
      <c r="K18" s="192" t="b">
        <f t="shared" si="3"/>
        <v>1</v>
      </c>
      <c r="L18" s="193">
        <f t="shared" si="11"/>
        <v>423.91899421797137</v>
      </c>
      <c r="M18" s="194">
        <f t="shared" si="12"/>
        <v>425.80780303662431</v>
      </c>
      <c r="N18" s="194">
        <f t="shared" si="13"/>
        <v>287.86620405846992</v>
      </c>
      <c r="O18" s="195">
        <f>IF(ABS(U18)&gt;80,$B$7, LOOKUP(V18,'Force mapping'!$B$7:$B$167,'Force mapping'!$J$7:$J$167))</f>
        <v>563</v>
      </c>
      <c r="P18" s="196">
        <f t="shared" si="4"/>
        <v>0.65465116279069768</v>
      </c>
      <c r="Q18" s="191">
        <f t="shared" si="5"/>
        <v>64.302580646827039</v>
      </c>
      <c r="R18" s="197">
        <f>IF(ABS(U18)&gt;80, 0, LOOKUP(V18,'Force mapping'!$B$7:$B$167,'Force mapping'!$I$7:$I$167) * (N18/5) * SIGN(U18))</f>
        <v>10.607293887146501</v>
      </c>
      <c r="S18" s="198">
        <f t="shared" si="6"/>
        <v>308.35156648681686</v>
      </c>
      <c r="T18" s="199">
        <f t="shared" si="14"/>
        <v>0.11545649862828583</v>
      </c>
      <c r="U18" s="200">
        <f t="shared" si="15"/>
        <v>64.918018464761772</v>
      </c>
      <c r="V18" s="176">
        <f t="shared" si="7"/>
        <v>65</v>
      </c>
      <c r="X18" s="101"/>
      <c r="Y18" s="91"/>
      <c r="Z18" s="88"/>
    </row>
    <row r="19" spans="5:30" ht="15.75" customHeight="1" x14ac:dyDescent="0.25">
      <c r="E19" s="186">
        <f t="shared" si="8"/>
        <v>15</v>
      </c>
      <c r="F19" s="187">
        <f t="shared" si="0"/>
        <v>0.75</v>
      </c>
      <c r="G19" s="188">
        <f t="shared" si="1"/>
        <v>1.4046511627906977</v>
      </c>
      <c r="H19" s="189">
        <f t="shared" si="2"/>
        <v>358.43925074589413</v>
      </c>
      <c r="I19" s="190">
        <f t="shared" si="9"/>
        <v>1.6488205534311129</v>
      </c>
      <c r="J19" s="191">
        <f t="shared" si="10"/>
        <v>86.678155827477127</v>
      </c>
      <c r="K19" s="192" t="b">
        <f t="shared" si="3"/>
        <v>1</v>
      </c>
      <c r="L19" s="193">
        <f t="shared" si="11"/>
        <v>420.42817584277969</v>
      </c>
      <c r="M19" s="194">
        <f t="shared" si="12"/>
        <v>422.41863790450219</v>
      </c>
      <c r="N19" s="194">
        <f t="shared" si="13"/>
        <v>298.40170806568244</v>
      </c>
      <c r="O19" s="195">
        <f>IF(ABS(U19)&gt;80,$B$7, LOOKUP(V19,'Force mapping'!$B$7:$B$167,'Force mapping'!$J$7:$J$167))</f>
        <v>563</v>
      </c>
      <c r="P19" s="196">
        <f t="shared" si="4"/>
        <v>0.65465116279069768</v>
      </c>
      <c r="Q19" s="191">
        <f t="shared" si="5"/>
        <v>66.655965957529062</v>
      </c>
      <c r="R19" s="197">
        <f>IF(ABS(U19)&gt;80, 0, LOOKUP(V19,'Force mapping'!$B$7:$B$167,'Force mapping'!$I$7:$I$167) * (N19/5) * SIGN(U19))</f>
        <v>10.995506138804268</v>
      </c>
      <c r="S19" s="198">
        <f t="shared" si="6"/>
        <v>319.63680636058922</v>
      </c>
      <c r="T19" s="199">
        <f t="shared" si="14"/>
        <v>0.13087407695262668</v>
      </c>
      <c r="U19" s="200">
        <f t="shared" si="15"/>
        <v>64.904536850668194</v>
      </c>
      <c r="V19" s="176">
        <f t="shared" si="7"/>
        <v>65</v>
      </c>
      <c r="Z19" s="88"/>
    </row>
    <row r="20" spans="5:30" ht="15.75" customHeight="1" x14ac:dyDescent="0.25">
      <c r="E20" s="186">
        <f t="shared" si="8"/>
        <v>16</v>
      </c>
      <c r="F20" s="187">
        <f t="shared" si="0"/>
        <v>0.8</v>
      </c>
      <c r="G20" s="188">
        <f t="shared" si="1"/>
        <v>1.4546511627906977</v>
      </c>
      <c r="H20" s="189">
        <f t="shared" si="2"/>
        <v>355.19575391909325</v>
      </c>
      <c r="I20" s="190">
        <f t="shared" si="9"/>
        <v>1.6339004680278288</v>
      </c>
      <c r="J20" s="191">
        <f t="shared" si="10"/>
        <v>85.116561715063625</v>
      </c>
      <c r="K20" s="192" t="b">
        <f t="shared" si="3"/>
        <v>1</v>
      </c>
      <c r="L20" s="193">
        <f t="shared" si="11"/>
        <v>416.78982644871411</v>
      </c>
      <c r="M20" s="194">
        <f t="shared" si="12"/>
        <v>418.87248668735572</v>
      </c>
      <c r="N20" s="194">
        <f t="shared" si="13"/>
        <v>307.87369382601861</v>
      </c>
      <c r="O20" s="195">
        <f>IF(ABS(U20)&gt;80,$B$7, LOOKUP(V20,'Force mapping'!$B$7:$B$167,'Force mapping'!$J$7:$J$167))</f>
        <v>563</v>
      </c>
      <c r="P20" s="196">
        <f t="shared" si="4"/>
        <v>0.65465116279069768</v>
      </c>
      <c r="Q20" s="191">
        <f t="shared" si="5"/>
        <v>68.771786153344422</v>
      </c>
      <c r="R20" s="197">
        <f>IF(ABS(U20)&gt;80, 0, LOOKUP(V20,'Force mapping'!$B$7:$B$167,'Force mapping'!$I$7:$I$167) * (N20/5) * SIGN(U20))</f>
        <v>11.344529870101134</v>
      </c>
      <c r="S20" s="198">
        <f t="shared" si="6"/>
        <v>329.78284506107946</v>
      </c>
      <c r="T20" s="199">
        <f t="shared" si="14"/>
        <v>0.14685591727065614</v>
      </c>
      <c r="U20" s="200">
        <f t="shared" si="15"/>
        <v>64.890002226661551</v>
      </c>
      <c r="V20" s="176">
        <f t="shared" si="7"/>
        <v>65</v>
      </c>
      <c r="Z20" s="88"/>
    </row>
    <row r="21" spans="5:30" ht="15.75" customHeight="1" x14ac:dyDescent="0.25">
      <c r="E21" s="186">
        <f t="shared" si="8"/>
        <v>17</v>
      </c>
      <c r="F21" s="187">
        <f t="shared" si="0"/>
        <v>0.85000000000000009</v>
      </c>
      <c r="G21" s="188">
        <f t="shared" si="1"/>
        <v>1.5046511627906978</v>
      </c>
      <c r="H21" s="189">
        <f t="shared" si="2"/>
        <v>351.84930072533217</v>
      </c>
      <c r="I21" s="190">
        <f t="shared" si="9"/>
        <v>1.6185067833365279</v>
      </c>
      <c r="J21" s="191">
        <f t="shared" si="10"/>
        <v>83.520276890474094</v>
      </c>
      <c r="K21" s="192" t="b">
        <f t="shared" si="3"/>
        <v>1</v>
      </c>
      <c r="L21" s="193">
        <f t="shared" si="11"/>
        <v>413.01831851057358</v>
      </c>
      <c r="M21" s="194">
        <f t="shared" si="12"/>
        <v>415.18436073598298</v>
      </c>
      <c r="N21" s="194">
        <f t="shared" si="13"/>
        <v>316.35139914224862</v>
      </c>
      <c r="O21" s="195">
        <f>IF(ABS(U21)&gt;80,$B$7, LOOKUP(V21,'Force mapping'!$B$7:$B$167,'Force mapping'!$J$7:$J$167))</f>
        <v>563</v>
      </c>
      <c r="P21" s="196">
        <f t="shared" si="4"/>
        <v>0.65465116279069768</v>
      </c>
      <c r="Q21" s="191">
        <f t="shared" si="5"/>
        <v>70.665507340865915</v>
      </c>
      <c r="R21" s="197">
        <f>IF(ABS(U21)&gt;80, 0, LOOKUP(V21,'Force mapping'!$B$7:$B$167,'Force mapping'!$I$7:$I$167) * (N21/5) * SIGN(U21))</f>
        <v>11.656916355593578</v>
      </c>
      <c r="S21" s="198">
        <f t="shared" si="6"/>
        <v>338.86384754632496</v>
      </c>
      <c r="T21" s="199">
        <f t="shared" si="14"/>
        <v>0.16334505952371012</v>
      </c>
      <c r="U21" s="200">
        <f t="shared" si="15"/>
        <v>64.874414859671489</v>
      </c>
      <c r="V21" s="176">
        <f t="shared" si="7"/>
        <v>65</v>
      </c>
      <c r="Z21" s="88"/>
    </row>
    <row r="22" spans="5:30" ht="15.75" customHeight="1" x14ac:dyDescent="0.25">
      <c r="E22" s="186">
        <f t="shared" si="8"/>
        <v>18</v>
      </c>
      <c r="F22" s="187">
        <f t="shared" si="0"/>
        <v>0.9</v>
      </c>
      <c r="G22" s="188">
        <f t="shared" si="1"/>
        <v>1.5546511627906976</v>
      </c>
      <c r="H22" s="189">
        <f t="shared" si="2"/>
        <v>348.4106985607425</v>
      </c>
      <c r="I22" s="190">
        <f t="shared" si="9"/>
        <v>1.6026892133794155</v>
      </c>
      <c r="J22" s="191">
        <f t="shared" si="10"/>
        <v>81.895776604206162</v>
      </c>
      <c r="K22" s="192" t="b">
        <f t="shared" si="3"/>
        <v>1</v>
      </c>
      <c r="L22" s="193">
        <f t="shared" si="11"/>
        <v>409.12709386666535</v>
      </c>
      <c r="M22" s="194">
        <f t="shared" si="12"/>
        <v>411.36828260831288</v>
      </c>
      <c r="N22" s="194">
        <f t="shared" si="13"/>
        <v>323.89992018759602</v>
      </c>
      <c r="O22" s="195">
        <f>IF(ABS(U22)&gt;80,$B$7, LOOKUP(V22,'Force mapping'!$B$7:$B$167,'Force mapping'!$J$7:$J$167))</f>
        <v>563</v>
      </c>
      <c r="P22" s="196">
        <f t="shared" si="4"/>
        <v>0.65465116279069768</v>
      </c>
      <c r="Q22" s="191">
        <f t="shared" si="5"/>
        <v>72.35167048346301</v>
      </c>
      <c r="R22" s="197">
        <f>IF(ABS(U22)&gt;80, 0, LOOKUP(V22,'Force mapping'!$B$7:$B$167,'Force mapping'!$I$7:$I$167) * (N22/5) * SIGN(U22))</f>
        <v>11.935064259072538</v>
      </c>
      <c r="S22" s="198">
        <f t="shared" si="6"/>
        <v>346.94954241489938</v>
      </c>
      <c r="T22" s="199">
        <f t="shared" si="14"/>
        <v>0.18028825190102638</v>
      </c>
      <c r="U22" s="200">
        <f t="shared" si="15"/>
        <v>64.85777601050664</v>
      </c>
      <c r="V22" s="176">
        <f t="shared" si="7"/>
        <v>65</v>
      </c>
      <c r="Z22" s="88"/>
      <c r="AA22" s="101"/>
      <c r="AB22" s="91"/>
      <c r="AC22" s="91"/>
      <c r="AD22" s="91"/>
    </row>
    <row r="23" spans="5:30" ht="15.75" customHeight="1" x14ac:dyDescent="0.25">
      <c r="E23" s="186">
        <f t="shared" si="8"/>
        <v>19</v>
      </c>
      <c r="F23" s="187">
        <f t="shared" si="0"/>
        <v>0.95000000000000007</v>
      </c>
      <c r="G23" s="188">
        <f t="shared" si="1"/>
        <v>1.6046511627906979</v>
      </c>
      <c r="H23" s="189">
        <f t="shared" si="2"/>
        <v>344.89004725435558</v>
      </c>
      <c r="I23" s="190">
        <f t="shared" si="9"/>
        <v>1.5864942173700356</v>
      </c>
      <c r="J23" s="191">
        <f t="shared" si="10"/>
        <v>80.249043477896194</v>
      </c>
      <c r="K23" s="192" t="b">
        <f t="shared" si="3"/>
        <v>1</v>
      </c>
      <c r="L23" s="193">
        <f t="shared" si="11"/>
        <v>405.12871925667736</v>
      </c>
      <c r="M23" s="194">
        <f t="shared" si="12"/>
        <v>407.4373576967825</v>
      </c>
      <c r="N23" s="194">
        <f t="shared" si="13"/>
        <v>330.5804523085389</v>
      </c>
      <c r="O23" s="195">
        <f>IF(ABS(U23)&gt;80,$B$7, LOOKUP(V23,'Force mapping'!$B$7:$B$167,'Force mapping'!$J$7:$J$167))</f>
        <v>563</v>
      </c>
      <c r="P23" s="196">
        <f t="shared" si="4"/>
        <v>0.65465116279069768</v>
      </c>
      <c r="Q23" s="191">
        <f t="shared" si="5"/>
        <v>73.843945190998298</v>
      </c>
      <c r="R23" s="197">
        <f>IF(ABS(U23)&gt;80, 0, LOOKUP(V23,'Force mapping'!$B$7:$B$167,'Force mapping'!$I$7:$I$167) * (N23/5) * SIGN(U23))</f>
        <v>12.181228506665043</v>
      </c>
      <c r="S23" s="198">
        <f t="shared" si="6"/>
        <v>354.10547984491404</v>
      </c>
      <c r="T23" s="199">
        <f t="shared" si="14"/>
        <v>0.19763572902177134</v>
      </c>
      <c r="U23" s="200">
        <f t="shared" si="15"/>
        <v>64.840087859351215</v>
      </c>
      <c r="V23" s="176">
        <f t="shared" si="7"/>
        <v>65</v>
      </c>
      <c r="Z23" s="88"/>
      <c r="AD23" s="217"/>
    </row>
    <row r="24" spans="5:30" ht="15.75" customHeight="1" x14ac:dyDescent="0.25">
      <c r="E24" s="186">
        <f t="shared" si="8"/>
        <v>20</v>
      </c>
      <c r="F24" s="187">
        <f t="shared" si="0"/>
        <v>1</v>
      </c>
      <c r="G24" s="188">
        <f t="shared" si="1"/>
        <v>1.6546511627906977</v>
      </c>
      <c r="H24" s="189">
        <f t="shared" si="2"/>
        <v>341.29678146839319</v>
      </c>
      <c r="I24" s="190">
        <f t="shared" si="9"/>
        <v>1.5699651947546087</v>
      </c>
      <c r="J24" s="191">
        <f t="shared" si="10"/>
        <v>78.585591526857243</v>
      </c>
      <c r="K24" s="192" t="b">
        <f t="shared" si="3"/>
        <v>1</v>
      </c>
      <c r="L24" s="193">
        <f t="shared" si="11"/>
        <v>401.03493866785533</v>
      </c>
      <c r="M24" s="194">
        <f t="shared" si="12"/>
        <v>403.40383370855841</v>
      </c>
      <c r="N24" s="194">
        <f t="shared" si="13"/>
        <v>336.45051790657527</v>
      </c>
      <c r="O24" s="195">
        <f>IF(ABS(U24)&gt;80,$B$7, LOOKUP(V24,'Force mapping'!$B$7:$B$167,'Force mapping'!$J$7:$J$167))</f>
        <v>563</v>
      </c>
      <c r="P24" s="196">
        <f t="shared" si="4"/>
        <v>0.65465116279069768</v>
      </c>
      <c r="Q24" s="191">
        <f t="shared" si="5"/>
        <v>75.155180623286938</v>
      </c>
      <c r="R24" s="197">
        <f>IF(ABS(U24)&gt;80, 0, LOOKUP(V24,'Force mapping'!$B$7:$B$167,'Force mapping'!$I$7:$I$167) * (N24/5) * SIGN(U24))</f>
        <v>12.397528683821486</v>
      </c>
      <c r="S24" s="198">
        <f t="shared" si="6"/>
        <v>360.39327569248508</v>
      </c>
      <c r="T24" s="199">
        <f t="shared" si="14"/>
        <v>0.21534100301401704</v>
      </c>
      <c r="U24" s="200">
        <f t="shared" si="15"/>
        <v>64.821353435904001</v>
      </c>
      <c r="V24" s="176">
        <f t="shared" si="7"/>
        <v>65</v>
      </c>
      <c r="Z24" s="88"/>
      <c r="AA24" s="101"/>
      <c r="AB24" s="140"/>
      <c r="AC24" s="155"/>
      <c r="AD24" s="217"/>
    </row>
    <row r="25" spans="5:30" ht="15.75" customHeight="1" x14ac:dyDescent="0.25">
      <c r="E25" s="186">
        <f t="shared" si="8"/>
        <v>21</v>
      </c>
      <c r="F25" s="187">
        <f t="shared" si="0"/>
        <v>1.05</v>
      </c>
      <c r="G25" s="188">
        <f t="shared" si="1"/>
        <v>1.7046511627906977</v>
      </c>
      <c r="H25" s="189">
        <f t="shared" si="2"/>
        <v>337.63971062158259</v>
      </c>
      <c r="I25" s="190">
        <f t="shared" si="9"/>
        <v>1.55314266885928</v>
      </c>
      <c r="J25" s="191">
        <f t="shared" si="10"/>
        <v>76.910490260499955</v>
      </c>
      <c r="K25" s="192" t="b">
        <f t="shared" si="3"/>
        <v>1</v>
      </c>
      <c r="L25" s="193">
        <f t="shared" si="11"/>
        <v>396.85672263766651</v>
      </c>
      <c r="M25" s="194">
        <f t="shared" si="12"/>
        <v>399.27915373389652</v>
      </c>
      <c r="N25" s="194">
        <f t="shared" si="13"/>
        <v>341.5641814580589</v>
      </c>
      <c r="O25" s="195">
        <f>IF(ABS(U25)&gt;80,$B$7, LOOKUP(V25,'Force mapping'!$B$7:$B$167,'Force mapping'!$J$7:$J$167))</f>
        <v>563</v>
      </c>
      <c r="P25" s="196">
        <f t="shared" si="4"/>
        <v>0.65465116279069768</v>
      </c>
      <c r="Q25" s="191">
        <f t="shared" si="5"/>
        <v>76.297453520501463</v>
      </c>
      <c r="R25" s="197">
        <f>IF(ABS(U25)&gt;80, 0, LOOKUP(V25,'Force mapping'!$B$7:$B$167,'Force mapping'!$I$7:$I$167) * (N25/5) * SIGN(U25))</f>
        <v>12.585956958366554</v>
      </c>
      <c r="S25" s="198">
        <f t="shared" si="6"/>
        <v>365.87084181298121</v>
      </c>
      <c r="T25" s="199">
        <f t="shared" si="14"/>
        <v>0.23336066679864129</v>
      </c>
      <c r="U25" s="200">
        <f t="shared" si="15"/>
        <v>64.801576553860983</v>
      </c>
      <c r="V25" s="176">
        <f t="shared" si="7"/>
        <v>65</v>
      </c>
      <c r="Z25" s="88"/>
      <c r="AC25" s="217"/>
      <c r="AD25" s="217"/>
    </row>
    <row r="26" spans="5:30" ht="15.75" customHeight="1" x14ac:dyDescent="0.25">
      <c r="E26" s="186">
        <f t="shared" si="8"/>
        <v>22</v>
      </c>
      <c r="F26" s="187">
        <f t="shared" si="0"/>
        <v>1.1000000000000001</v>
      </c>
      <c r="G26" s="188">
        <f t="shared" si="1"/>
        <v>1.7546511627906978</v>
      </c>
      <c r="H26" s="189">
        <f t="shared" si="2"/>
        <v>333.92705647529937</v>
      </c>
      <c r="I26" s="190">
        <f t="shared" si="9"/>
        <v>1.5360644597863771</v>
      </c>
      <c r="J26" s="191">
        <f t="shared" si="10"/>
        <v>75.228388629622387</v>
      </c>
      <c r="K26" s="192" t="b">
        <f t="shared" si="3"/>
        <v>1</v>
      </c>
      <c r="L26" s="193">
        <f t="shared" si="11"/>
        <v>392.60431467625881</v>
      </c>
      <c r="M26" s="194">
        <f t="shared" si="12"/>
        <v>395.07400512758477</v>
      </c>
      <c r="N26" s="194">
        <f t="shared" si="13"/>
        <v>345.97225216473919</v>
      </c>
      <c r="O26" s="195">
        <f>IF(ABS(U26)&gt;80,$B$7, LOOKUP(V26,'Force mapping'!$B$7:$B$167,'Force mapping'!$J$7:$J$167))</f>
        <v>563</v>
      </c>
      <c r="P26" s="196">
        <f t="shared" si="4"/>
        <v>0.65465116279069768</v>
      </c>
      <c r="Q26" s="191">
        <f t="shared" si="5"/>
        <v>77.282113470565122</v>
      </c>
      <c r="R26" s="197">
        <f>IF(ABS(U26)&gt;80, 0, LOOKUP(V26,'Force mapping'!$B$7:$B$167,'Force mapping'!$I$7:$I$167) * (N26/5) * SIGN(U26))</f>
        <v>12.74838554776631</v>
      </c>
      <c r="S26" s="198">
        <f t="shared" si="6"/>
        <v>370.59260313274154</v>
      </c>
      <c r="T26" s="199">
        <f t="shared" si="14"/>
        <v>0.25165420888929035</v>
      </c>
      <c r="U26" s="200">
        <f t="shared" si="15"/>
        <v>64.78076174947573</v>
      </c>
      <c r="V26" s="176">
        <f t="shared" si="7"/>
        <v>65</v>
      </c>
      <c r="Z26" s="88"/>
      <c r="AD26" s="217"/>
    </row>
    <row r="27" spans="5:30" ht="15.75" customHeight="1" x14ac:dyDescent="0.25">
      <c r="E27" s="186">
        <f t="shared" si="8"/>
        <v>23</v>
      </c>
      <c r="F27" s="187">
        <f t="shared" si="0"/>
        <v>1.1500000000000001</v>
      </c>
      <c r="G27" s="188">
        <f t="shared" si="1"/>
        <v>1.8046511627906978</v>
      </c>
      <c r="H27" s="189">
        <f t="shared" si="2"/>
        <v>330.16648851698699</v>
      </c>
      <c r="I27" s="190">
        <f t="shared" si="9"/>
        <v>1.51876584717814</v>
      </c>
      <c r="J27" s="191">
        <f t="shared" si="10"/>
        <v>73.543538633589264</v>
      </c>
      <c r="K27" s="192" t="b">
        <f t="shared" si="3"/>
        <v>1</v>
      </c>
      <c r="L27" s="193">
        <f t="shared" si="11"/>
        <v>388.28727497127835</v>
      </c>
      <c r="M27" s="194">
        <f t="shared" si="12"/>
        <v>390.79836512911174</v>
      </c>
      <c r="N27" s="194">
        <f t="shared" si="13"/>
        <v>349.72247485994762</v>
      </c>
      <c r="O27" s="195">
        <f>IF(ABS(U27)&gt;80,$B$7, LOOKUP(V27,'Force mapping'!$B$7:$B$167,'Force mapping'!$J$7:$J$167))</f>
        <v>563</v>
      </c>
      <c r="P27" s="196">
        <f t="shared" si="4"/>
        <v>0.65465116279069768</v>
      </c>
      <c r="Q27" s="191">
        <f t="shared" si="5"/>
        <v>78.11982555313115</v>
      </c>
      <c r="R27" s="197">
        <f>IF(ABS(U27)&gt;80, 0, LOOKUP(V27,'Force mapping'!$B$7:$B$167,'Force mapping'!$I$7:$I$167) * (N27/5) * SIGN(U27))</f>
        <v>12.886573753639352</v>
      </c>
      <c r="S27" s="198">
        <f t="shared" si="6"/>
        <v>374.60970214067885</v>
      </c>
      <c r="T27" s="199">
        <f t="shared" si="14"/>
        <v>0.27018383904592741</v>
      </c>
      <c r="U27" s="200">
        <f t="shared" si="15"/>
        <v>64.758914223952942</v>
      </c>
      <c r="V27" s="176">
        <f t="shared" si="7"/>
        <v>65</v>
      </c>
      <c r="Z27" s="88"/>
      <c r="AC27" s="155"/>
      <c r="AD27" s="217"/>
    </row>
    <row r="28" spans="5:30" ht="15.75" customHeight="1" x14ac:dyDescent="0.25">
      <c r="E28" s="186">
        <f t="shared" si="8"/>
        <v>24</v>
      </c>
      <c r="F28" s="187">
        <f t="shared" si="0"/>
        <v>1.2000000000000002</v>
      </c>
      <c r="G28" s="188">
        <f t="shared" si="1"/>
        <v>1.86046511627907</v>
      </c>
      <c r="H28" s="189">
        <f t="shared" si="2"/>
        <v>326.36515726850928</v>
      </c>
      <c r="I28" s="190">
        <f t="shared" si="9"/>
        <v>1.5012797234351427</v>
      </c>
      <c r="J28" s="191">
        <f t="shared" si="10"/>
        <v>71.859818437442271</v>
      </c>
      <c r="K28" s="192" t="b">
        <f t="shared" si="3"/>
        <v>1</v>
      </c>
      <c r="L28" s="193">
        <f t="shared" si="11"/>
        <v>383.91452153138022</v>
      </c>
      <c r="M28" s="194">
        <f t="shared" si="12"/>
        <v>386.46154366254086</v>
      </c>
      <c r="N28" s="194">
        <f t="shared" si="13"/>
        <v>352.8597098183385</v>
      </c>
      <c r="O28" s="195">
        <f>IF(ABS(U28)&gt;80,$B$7, LOOKUP(V28,'Force mapping'!$B$7:$B$167,'Force mapping'!$J$7:$J$167))</f>
        <v>568</v>
      </c>
      <c r="P28" s="196">
        <f t="shared" si="4"/>
        <v>0.6604651162790699</v>
      </c>
      <c r="Q28" s="191">
        <f t="shared" si="5"/>
        <v>78.820610504875617</v>
      </c>
      <c r="R28" s="197">
        <f>IF(ABS(U28)&gt;80, 0, LOOKUP(V28,'Force mapping'!$B$7:$B$167,'Force mapping'!$I$7:$I$167) * (N28/5) * SIGN(U28))</f>
        <v>15.249890938928953</v>
      </c>
      <c r="S28" s="198">
        <f t="shared" si="6"/>
        <v>443.31078310839979</v>
      </c>
      <c r="T28" s="199">
        <f t="shared" si="14"/>
        <v>0.28891432415296137</v>
      </c>
      <c r="U28" s="200">
        <f t="shared" si="15"/>
        <v>64.736039789447133</v>
      </c>
      <c r="V28" s="176">
        <f t="shared" si="7"/>
        <v>64.5</v>
      </c>
      <c r="Z28" s="88"/>
      <c r="AA28" s="101"/>
      <c r="AC28" s="155"/>
      <c r="AD28" s="217"/>
    </row>
    <row r="29" spans="5:30" ht="15.75" customHeight="1" x14ac:dyDescent="0.25">
      <c r="E29" s="186">
        <f t="shared" si="8"/>
        <v>25</v>
      </c>
      <c r="F29" s="187">
        <f t="shared" si="0"/>
        <v>1.25</v>
      </c>
      <c r="G29" s="188">
        <f t="shared" si="1"/>
        <v>1.9104651162790698</v>
      </c>
      <c r="H29" s="189">
        <f t="shared" si="2"/>
        <v>322.52972564004909</v>
      </c>
      <c r="I29" s="190">
        <f t="shared" si="9"/>
        <v>1.4836367379442257</v>
      </c>
      <c r="J29" s="191">
        <f t="shared" si="10"/>
        <v>70.180754880381414</v>
      </c>
      <c r="K29" s="192" t="b">
        <f t="shared" si="3"/>
        <v>1</v>
      </c>
      <c r="L29" s="193">
        <f t="shared" si="11"/>
        <v>379.49436891687128</v>
      </c>
      <c r="M29" s="194">
        <f t="shared" si="12"/>
        <v>382.07222357276902</v>
      </c>
      <c r="N29" s="194">
        <f t="shared" si="13"/>
        <v>355.40351061992425</v>
      </c>
      <c r="O29" s="195">
        <f>IF(ABS(U29)&gt;80,$B$7, LOOKUP(V29,'Force mapping'!$B$7:$B$167,'Force mapping'!$J$7:$J$167))</f>
        <v>568</v>
      </c>
      <c r="P29" s="196">
        <f t="shared" si="4"/>
        <v>0.6604651162790699</v>
      </c>
      <c r="Q29" s="191">
        <f t="shared" si="5"/>
        <v>79.388836138476577</v>
      </c>
      <c r="R29" s="197">
        <f>IF(ABS(U29)&gt;80, 0, LOOKUP(V29,'Force mapping'!$B$7:$B$167,'Force mapping'!$I$7:$I$167) * (N29/5) * SIGN(U29))</f>
        <v>15.359828921971886</v>
      </c>
      <c r="S29" s="198">
        <f t="shared" si="6"/>
        <v>446.50665470848503</v>
      </c>
      <c r="T29" s="199">
        <f t="shared" si="14"/>
        <v>0.31107986330838133</v>
      </c>
      <c r="U29" s="200">
        <f t="shared" si="15"/>
        <v>64.710511303661775</v>
      </c>
      <c r="V29" s="176">
        <f t="shared" si="7"/>
        <v>64.5</v>
      </c>
      <c r="Z29" s="88"/>
      <c r="AD29" s="217"/>
    </row>
    <row r="30" spans="5:30" ht="15.75" customHeight="1" x14ac:dyDescent="0.25">
      <c r="E30" s="186">
        <f t="shared" si="8"/>
        <v>26</v>
      </c>
      <c r="F30" s="187">
        <f t="shared" si="0"/>
        <v>1.3</v>
      </c>
      <c r="G30" s="188">
        <f t="shared" si="1"/>
        <v>1.9604651162790701</v>
      </c>
      <c r="H30" s="189">
        <f t="shared" si="2"/>
        <v>318.66664400287596</v>
      </c>
      <c r="I30" s="190">
        <f t="shared" si="9"/>
        <v>1.4658665624132294</v>
      </c>
      <c r="J30" s="191">
        <f t="shared" si="10"/>
        <v>68.509650868649473</v>
      </c>
      <c r="K30" s="192" t="b">
        <f t="shared" si="3"/>
        <v>1</v>
      </c>
      <c r="L30" s="193">
        <f t="shared" si="11"/>
        <v>375.03456469773153</v>
      </c>
      <c r="M30" s="194">
        <f t="shared" si="12"/>
        <v>377.63849848149539</v>
      </c>
      <c r="N30" s="194">
        <f t="shared" si="13"/>
        <v>357.42244487515723</v>
      </c>
      <c r="O30" s="195">
        <f>IF(ABS(U30)&gt;80,$B$7, LOOKUP(V30,'Force mapping'!$B$7:$B$167,'Force mapping'!$J$7:$J$167))</f>
        <v>568</v>
      </c>
      <c r="P30" s="196">
        <f t="shared" si="4"/>
        <v>0.6604651162790699</v>
      </c>
      <c r="Q30" s="191">
        <f t="shared" si="5"/>
        <v>79.839818855229922</v>
      </c>
      <c r="R30" s="197">
        <f>IF(ABS(U30)&gt;80, 0, LOOKUP(V30,'Force mapping'!$B$7:$B$167,'Force mapping'!$I$7:$I$167) * (N30/5) * SIGN(U30))</f>
        <v>15.447083222614545</v>
      </c>
      <c r="S30" s="198">
        <f t="shared" si="6"/>
        <v>449.04311693646935</v>
      </c>
      <c r="T30" s="199">
        <f t="shared" si="14"/>
        <v>0.33340519604380559</v>
      </c>
      <c r="U30" s="200">
        <f t="shared" si="15"/>
        <v>64.683794644128639</v>
      </c>
      <c r="V30" s="176">
        <f t="shared" si="7"/>
        <v>64.5</v>
      </c>
      <c r="Z30" s="88"/>
      <c r="AC30" s="155"/>
      <c r="AD30" s="217"/>
    </row>
    <row r="31" spans="5:30" ht="15.75" customHeight="1" x14ac:dyDescent="0.25">
      <c r="E31" s="186">
        <f t="shared" si="8"/>
        <v>27</v>
      </c>
      <c r="F31" s="187">
        <f t="shared" si="0"/>
        <v>1.35</v>
      </c>
      <c r="G31" s="188">
        <f t="shared" si="1"/>
        <v>2.0104651162790699</v>
      </c>
      <c r="H31" s="189">
        <f t="shared" si="2"/>
        <v>314.78161742814603</v>
      </c>
      <c r="I31" s="190">
        <f t="shared" si="9"/>
        <v>1.4479954401694717</v>
      </c>
      <c r="J31" s="191">
        <f t="shared" si="10"/>
        <v>66.849361896225133</v>
      </c>
      <c r="K31" s="192" t="b">
        <f t="shared" si="3"/>
        <v>1</v>
      </c>
      <c r="L31" s="193">
        <f t="shared" si="11"/>
        <v>370.54260930566971</v>
      </c>
      <c r="M31" s="194">
        <f t="shared" si="12"/>
        <v>373.16808830072523</v>
      </c>
      <c r="N31" s="194">
        <f t="shared" si="13"/>
        <v>358.95288555310185</v>
      </c>
      <c r="O31" s="195">
        <f>IF(ABS(U31)&gt;80,$B$7, LOOKUP(V31,'Force mapping'!$B$7:$B$167,'Force mapping'!$J$7:$J$167))</f>
        <v>568</v>
      </c>
      <c r="P31" s="196">
        <f t="shared" si="4"/>
        <v>0.6604651162790699</v>
      </c>
      <c r="Q31" s="191">
        <f t="shared" si="5"/>
        <v>80.181683526147424</v>
      </c>
      <c r="R31" s="197">
        <f>IF(ABS(U31)&gt;80, 0, LOOKUP(V31,'Force mapping'!$B$7:$B$167,'Force mapping'!$I$7:$I$167) * (N31/5) * SIGN(U31))</f>
        <v>15.513225807833956</v>
      </c>
      <c r="S31" s="198">
        <f t="shared" si="6"/>
        <v>450.96586650680104</v>
      </c>
      <c r="T31" s="199">
        <f t="shared" si="14"/>
        <v>0.35585735189062906</v>
      </c>
      <c r="U31" s="200">
        <f t="shared" si="15"/>
        <v>64.655898306403031</v>
      </c>
      <c r="V31" s="176">
        <f t="shared" si="7"/>
        <v>64.5</v>
      </c>
      <c r="Z31" s="88"/>
      <c r="AA31" s="101"/>
      <c r="AC31" s="217"/>
      <c r="AD31" s="217"/>
    </row>
    <row r="32" spans="5:30" ht="15.75" customHeight="1" x14ac:dyDescent="0.25">
      <c r="E32" s="186">
        <f t="shared" si="8"/>
        <v>28</v>
      </c>
      <c r="F32" s="187">
        <f t="shared" si="0"/>
        <v>1.4000000000000001</v>
      </c>
      <c r="G32" s="188">
        <f t="shared" si="1"/>
        <v>2.0604651162790701</v>
      </c>
      <c r="H32" s="189">
        <f t="shared" si="2"/>
        <v>310.87995562865575</v>
      </c>
      <c r="I32" s="190">
        <f t="shared" si="9"/>
        <v>1.4300477958918165</v>
      </c>
      <c r="J32" s="191">
        <f t="shared" si="10"/>
        <v>65.202460321588788</v>
      </c>
      <c r="K32" s="192" t="b">
        <f t="shared" si="3"/>
        <v>1</v>
      </c>
      <c r="L32" s="193">
        <f t="shared" si="11"/>
        <v>366.02513654435586</v>
      </c>
      <c r="M32" s="194">
        <f t="shared" si="12"/>
        <v>368.66802869421252</v>
      </c>
      <c r="N32" s="194">
        <f t="shared" si="13"/>
        <v>360.02903646533389</v>
      </c>
      <c r="O32" s="195">
        <f>IF(ABS(U32)&gt;80,$B$7, LOOKUP(V32,'Force mapping'!$B$7:$B$167,'Force mapping'!$J$7:$J$167))</f>
        <v>568</v>
      </c>
      <c r="P32" s="196">
        <f t="shared" si="4"/>
        <v>0.6604651162790699</v>
      </c>
      <c r="Q32" s="191">
        <f t="shared" si="5"/>
        <v>80.422070483165484</v>
      </c>
      <c r="R32" s="197">
        <f>IF(ABS(U32)&gt;80, 0, LOOKUP(V32,'Force mapping'!$B$7:$B$167,'Force mapping'!$I$7:$I$167) * (N32/5) * SIGN(U32))</f>
        <v>15.559734897958801</v>
      </c>
      <c r="S32" s="198">
        <f t="shared" si="6"/>
        <v>452.31787494066282</v>
      </c>
      <c r="T32" s="199">
        <f t="shared" si="14"/>
        <v>0.37840564521596909</v>
      </c>
      <c r="U32" s="200">
        <f t="shared" si="15"/>
        <v>64.626831292145823</v>
      </c>
      <c r="V32" s="176">
        <f t="shared" si="7"/>
        <v>64.5</v>
      </c>
      <c r="Z32" s="88"/>
      <c r="AA32" s="101"/>
      <c r="AC32" s="155"/>
    </row>
    <row r="33" spans="5:30" ht="15.75" customHeight="1" x14ac:dyDescent="0.25">
      <c r="E33" s="186">
        <f t="shared" si="8"/>
        <v>29</v>
      </c>
      <c r="F33" s="187">
        <f t="shared" si="0"/>
        <v>1.4500000000000002</v>
      </c>
      <c r="G33" s="188">
        <f t="shared" si="1"/>
        <v>2.11046511627907</v>
      </c>
      <c r="H33" s="189">
        <f t="shared" si="2"/>
        <v>306.96659653664125</v>
      </c>
      <c r="I33" s="190">
        <f t="shared" si="9"/>
        <v>1.4120463440685498</v>
      </c>
      <c r="J33" s="191">
        <f t="shared" si="10"/>
        <v>63.571254099705918</v>
      </c>
      <c r="K33" s="192" t="b">
        <f t="shared" si="3"/>
        <v>1</v>
      </c>
      <c r="L33" s="193">
        <f t="shared" si="11"/>
        <v>361.48832049843691</v>
      </c>
      <c r="M33" s="194">
        <f t="shared" si="12"/>
        <v>364.14481253087388</v>
      </c>
      <c r="N33" s="194">
        <f t="shared" si="13"/>
        <v>360.68304467984404</v>
      </c>
      <c r="O33" s="195">
        <f>IF(ABS(U33)&gt;80,$B$7, LOOKUP(V33,'Force mapping'!$B$7:$B$167,'Force mapping'!$J$7:$J$167))</f>
        <v>568</v>
      </c>
      <c r="P33" s="196">
        <f t="shared" si="4"/>
        <v>0.6604651162790699</v>
      </c>
      <c r="Q33" s="191">
        <f t="shared" si="5"/>
        <v>80.56816062978335</v>
      </c>
      <c r="R33" s="197">
        <f>IF(ABS(U33)&gt;80, 0, LOOKUP(V33,'Force mapping'!$B$7:$B$167,'Force mapping'!$I$7:$I$167) * (N33/5) * SIGN(U33))</f>
        <v>15.587999824973501</v>
      </c>
      <c r="S33" s="198">
        <f t="shared" si="6"/>
        <v>453.13952979574128</v>
      </c>
      <c r="T33" s="199">
        <f t="shared" si="14"/>
        <v>0.40102153896300224</v>
      </c>
      <c r="U33" s="200">
        <f t="shared" si="15"/>
        <v>64.596603063011514</v>
      </c>
      <c r="V33" s="176">
        <f t="shared" si="7"/>
        <v>64.5</v>
      </c>
      <c r="Z33" s="88"/>
      <c r="AA33" s="101"/>
      <c r="AC33" s="155"/>
      <c r="AD33" s="217"/>
    </row>
    <row r="34" spans="5:30" ht="15.75" customHeight="1" x14ac:dyDescent="0.25">
      <c r="E34" s="186">
        <f t="shared" si="8"/>
        <v>30</v>
      </c>
      <c r="F34" s="187">
        <f t="shared" si="0"/>
        <v>1.5</v>
      </c>
      <c r="G34" s="188">
        <f t="shared" si="1"/>
        <v>2.1604651162790698</v>
      </c>
      <c r="H34" s="189">
        <f t="shared" si="2"/>
        <v>303.04612865968642</v>
      </c>
      <c r="I34" s="190">
        <f t="shared" si="9"/>
        <v>1.3940121918345576</v>
      </c>
      <c r="J34" s="191">
        <f t="shared" si="10"/>
        <v>61.957804753329881</v>
      </c>
      <c r="K34" s="192" t="b">
        <f t="shared" si="3"/>
        <v>1</v>
      </c>
      <c r="L34" s="193">
        <f t="shared" si="11"/>
        <v>356.93790294958285</v>
      </c>
      <c r="M34" s="194">
        <f t="shared" si="12"/>
        <v>359.60445949466055</v>
      </c>
      <c r="N34" s="194">
        <f t="shared" si="13"/>
        <v>360.9451151333551</v>
      </c>
      <c r="O34" s="195">
        <f>IF(ABS(U34)&gt;80,$B$7, LOOKUP(V34,'Force mapping'!$B$7:$B$167,'Force mapping'!$J$7:$J$167))</f>
        <v>568</v>
      </c>
      <c r="P34" s="196">
        <f t="shared" si="4"/>
        <v>0.6604651162790699</v>
      </c>
      <c r="Q34" s="191">
        <f t="shared" si="5"/>
        <v>80.626701042775423</v>
      </c>
      <c r="R34" s="197">
        <f>IF(ABS(U34)&gt;80, 0, LOOKUP(V34,'Force mapping'!$B$7:$B$167,'Force mapping'!$I$7:$I$167) * (N34/5) * SIGN(U34))</f>
        <v>15.599325985833342</v>
      </c>
      <c r="S34" s="198">
        <f t="shared" si="6"/>
        <v>453.46877865794602</v>
      </c>
      <c r="T34" s="199">
        <f t="shared" si="14"/>
        <v>0.42367851545278934</v>
      </c>
      <c r="U34" s="200">
        <f t="shared" si="15"/>
        <v>64.565223497818465</v>
      </c>
      <c r="V34" s="176">
        <f t="shared" si="7"/>
        <v>64.5</v>
      </c>
      <c r="Z34" s="88"/>
    </row>
    <row r="35" spans="5:30" ht="15.75" customHeight="1" x14ac:dyDescent="0.25">
      <c r="E35" s="186">
        <f t="shared" si="8"/>
        <v>31</v>
      </c>
      <c r="F35" s="187">
        <f t="shared" si="0"/>
        <v>1.55</v>
      </c>
      <c r="G35" s="188">
        <f t="shared" si="1"/>
        <v>2.2104651162790701</v>
      </c>
      <c r="H35" s="189">
        <f t="shared" si="2"/>
        <v>299.12281219084559</v>
      </c>
      <c r="I35" s="190">
        <f t="shared" si="9"/>
        <v>1.3759649360778898</v>
      </c>
      <c r="J35" s="191">
        <f t="shared" si="10"/>
        <v>60.363944525525312</v>
      </c>
      <c r="K35" s="192" t="b">
        <f t="shared" si="3"/>
        <v>1</v>
      </c>
      <c r="L35" s="193">
        <f t="shared" si="11"/>
        <v>352.37921937172842</v>
      </c>
      <c r="M35" s="194">
        <f t="shared" si="12"/>
        <v>355.05255821721329</v>
      </c>
      <c r="N35" s="194">
        <f t="shared" si="13"/>
        <v>360.84362183676382</v>
      </c>
      <c r="O35" s="195">
        <f>IF(ABS(U35)&gt;80,$B$7, LOOKUP(V35,'Force mapping'!$B$7:$B$167,'Force mapping'!$J$7:$J$167))</f>
        <v>568</v>
      </c>
      <c r="P35" s="196">
        <f t="shared" si="4"/>
        <v>0.6604651162790699</v>
      </c>
      <c r="Q35" s="191">
        <f t="shared" si="5"/>
        <v>80.604029812887504</v>
      </c>
      <c r="R35" s="197">
        <f>IF(ABS(U35)&gt;80, 0, LOOKUP(V35,'Force mapping'!$B$7:$B$167,'Force mapping'!$I$7:$I$167) * (N35/5) * SIGN(U35))</f>
        <v>15.59493964854126</v>
      </c>
      <c r="S35" s="198">
        <f t="shared" si="6"/>
        <v>453.34126885294359</v>
      </c>
      <c r="T35" s="199">
        <f t="shared" si="14"/>
        <v>0.44635195438568664</v>
      </c>
      <c r="U35" s="200">
        <f t="shared" si="15"/>
        <v>64.532702852579376</v>
      </c>
      <c r="V35" s="176">
        <f t="shared" si="7"/>
        <v>64.5</v>
      </c>
      <c r="Z35" s="88"/>
    </row>
    <row r="36" spans="5:30" ht="15.75" customHeight="1" x14ac:dyDescent="0.25">
      <c r="E36" s="186">
        <f t="shared" si="8"/>
        <v>32</v>
      </c>
      <c r="F36" s="187">
        <f t="shared" si="0"/>
        <v>1.6</v>
      </c>
      <c r="G36" s="188">
        <f t="shared" si="1"/>
        <v>2.2604651162790699</v>
      </c>
      <c r="H36" s="189">
        <f t="shared" si="2"/>
        <v>295.20059891001125</v>
      </c>
      <c r="I36" s="190">
        <f t="shared" si="9"/>
        <v>1.3579227549860517</v>
      </c>
      <c r="J36" s="191">
        <f t="shared" si="10"/>
        <v>58.791292694774398</v>
      </c>
      <c r="K36" s="192" t="b">
        <f t="shared" si="3"/>
        <v>1</v>
      </c>
      <c r="L36" s="193">
        <f t="shared" si="11"/>
        <v>347.81722347772745</v>
      </c>
      <c r="M36" s="194">
        <f t="shared" si="12"/>
        <v>350.49429733133724</v>
      </c>
      <c r="N36" s="194">
        <f t="shared" si="13"/>
        <v>360.40521385148094</v>
      </c>
      <c r="O36" s="195">
        <f>IF(ABS(U36)&gt;80,$B$7, LOOKUP(V36,'Force mapping'!$B$7:$B$167,'Force mapping'!$J$7:$J$167))</f>
        <v>568</v>
      </c>
      <c r="P36" s="196">
        <f t="shared" si="4"/>
        <v>0.6604651162790699</v>
      </c>
      <c r="Q36" s="191">
        <f t="shared" si="5"/>
        <v>80.50609971747366</v>
      </c>
      <c r="R36" s="197">
        <f>IF(ABS(U36)&gt;80, 0, LOOKUP(V36,'Force mapping'!$B$7:$B$167,'Force mapping'!$I$7:$I$167) * (N36/5) * SIGN(U36))</f>
        <v>15.575992532233304</v>
      </c>
      <c r="S36" s="198">
        <f t="shared" si="6"/>
        <v>452.79048058817745</v>
      </c>
      <c r="T36" s="199">
        <f t="shared" si="14"/>
        <v>0.46901901782833383</v>
      </c>
      <c r="U36" s="200">
        <f t="shared" si="15"/>
        <v>64.499051723138763</v>
      </c>
      <c r="V36" s="176">
        <f t="shared" si="7"/>
        <v>64.5</v>
      </c>
      <c r="Z36" s="88"/>
    </row>
    <row r="37" spans="5:30" ht="12.5" x14ac:dyDescent="0.25">
      <c r="E37" s="186">
        <f t="shared" si="8"/>
        <v>33</v>
      </c>
      <c r="F37" s="187">
        <f t="shared" si="0"/>
        <v>1.6500000000000001</v>
      </c>
      <c r="G37" s="188">
        <f t="shared" si="1"/>
        <v>2.3104651162790701</v>
      </c>
      <c r="H37" s="189">
        <f t="shared" si="2"/>
        <v>291.28315093336471</v>
      </c>
      <c r="I37" s="190">
        <f t="shared" si="9"/>
        <v>1.3399024942934776</v>
      </c>
      <c r="J37" s="191">
        <f t="shared" si="10"/>
        <v>57.241271052568287</v>
      </c>
      <c r="K37" s="192" t="b">
        <f t="shared" si="3"/>
        <v>1</v>
      </c>
      <c r="L37" s="193">
        <f t="shared" si="11"/>
        <v>343.25651036047822</v>
      </c>
      <c r="M37" s="194">
        <f t="shared" si="12"/>
        <v>345.93449153969607</v>
      </c>
      <c r="N37" s="194">
        <f t="shared" si="13"/>
        <v>359.65491559379399</v>
      </c>
      <c r="O37" s="195">
        <f>IF(ABS(U37)&gt;80,$B$7, LOOKUP(V37,'Force mapping'!$B$7:$B$167,'Force mapping'!$J$7:$J$167))</f>
        <v>568</v>
      </c>
      <c r="P37" s="196">
        <f t="shared" si="4"/>
        <v>0.6604651162790699</v>
      </c>
      <c r="Q37" s="191">
        <f t="shared" si="5"/>
        <v>80.338500626146185</v>
      </c>
      <c r="R37" s="197">
        <f>IF(ABS(U37)&gt;80, 0, LOOKUP(V37,'Force mapping'!$B$7:$B$167,'Force mapping'!$I$7:$I$167) * (N37/5) * SIGN(U37))</f>
        <v>15.54356614213259</v>
      </c>
      <c r="S37" s="198">
        <f t="shared" si="6"/>
        <v>451.84785296897064</v>
      </c>
      <c r="T37" s="199">
        <f t="shared" si="14"/>
        <v>0.49165854185774271</v>
      </c>
      <c r="U37" s="200">
        <f t="shared" si="15"/>
        <v>64.464281010232639</v>
      </c>
      <c r="V37" s="176">
        <f t="shared" si="7"/>
        <v>64.5</v>
      </c>
      <c r="Z37" s="88"/>
    </row>
    <row r="38" spans="5:30" ht="12.5" x14ac:dyDescent="0.25">
      <c r="E38" s="186">
        <f t="shared" si="8"/>
        <v>34</v>
      </c>
      <c r="F38" s="187">
        <f t="shared" si="0"/>
        <v>1.7000000000000002</v>
      </c>
      <c r="G38" s="188">
        <f t="shared" si="1"/>
        <v>2.36046511627907</v>
      </c>
      <c r="H38" s="189">
        <f t="shared" si="2"/>
        <v>287.37385837256261</v>
      </c>
      <c r="I38" s="190">
        <f t="shared" si="9"/>
        <v>1.3219197485137879</v>
      </c>
      <c r="J38" s="191">
        <f t="shared" si="10"/>
        <v>55.715118553505604</v>
      </c>
      <c r="K38" s="192" t="b">
        <f t="shared" si="3"/>
        <v>1</v>
      </c>
      <c r="L38" s="193">
        <f t="shared" si="11"/>
        <v>338.70133829461014</v>
      </c>
      <c r="M38" s="194">
        <f t="shared" si="12"/>
        <v>341.37760499529196</v>
      </c>
      <c r="N38" s="194">
        <f t="shared" si="13"/>
        <v>358.616221519276</v>
      </c>
      <c r="O38" s="195">
        <f>IF(ABS(U38)&gt;80,$B$7, LOOKUP(V38,'Force mapping'!$B$7:$B$167,'Force mapping'!$J$7:$J$167))</f>
        <v>568</v>
      </c>
      <c r="P38" s="196">
        <f t="shared" si="4"/>
        <v>0.6604651162790699</v>
      </c>
      <c r="Q38" s="191">
        <f t="shared" si="5"/>
        <v>80.106480651059059</v>
      </c>
      <c r="R38" s="197">
        <f>IF(ABS(U38)&gt;80, 0, LOOKUP(V38,'Force mapping'!$B$7:$B$167,'Force mapping'!$I$7:$I$167) * (N38/5) * SIGN(U38))</f>
        <v>15.49867586162007</v>
      </c>
      <c r="S38" s="198">
        <f t="shared" si="6"/>
        <v>450.54290295407179</v>
      </c>
      <c r="T38" s="199">
        <f t="shared" si="14"/>
        <v>0.51425093450619119</v>
      </c>
      <c r="U38" s="200">
        <f t="shared" si="15"/>
        <v>64.428401886815521</v>
      </c>
      <c r="V38" s="176">
        <f t="shared" si="7"/>
        <v>64.5</v>
      </c>
      <c r="Z38" s="88"/>
    </row>
    <row r="39" spans="5:30" ht="12.5" x14ac:dyDescent="0.25">
      <c r="E39" s="186">
        <f t="shared" si="8"/>
        <v>35</v>
      </c>
      <c r="F39" s="187">
        <f t="shared" si="0"/>
        <v>1.75</v>
      </c>
      <c r="G39" s="188">
        <f t="shared" si="1"/>
        <v>2.4104651162790698</v>
      </c>
      <c r="H39" s="189">
        <f t="shared" si="2"/>
        <v>283.47585596474437</v>
      </c>
      <c r="I39" s="190">
        <f t="shared" si="9"/>
        <v>1.3039889374378242</v>
      </c>
      <c r="J39" s="191">
        <f t="shared" si="10"/>
        <v>54.213905154288767</v>
      </c>
      <c r="K39" s="192" t="b">
        <f t="shared" si="3"/>
        <v>1</v>
      </c>
      <c r="L39" s="193">
        <f t="shared" si="11"/>
        <v>334.15564927042163</v>
      </c>
      <c r="M39" s="194">
        <f t="shared" si="12"/>
        <v>336.82777288862366</v>
      </c>
      <c r="N39" s="194">
        <f t="shared" si="13"/>
        <v>357.31118540918567</v>
      </c>
      <c r="O39" s="195">
        <f>IF(ABS(U39)&gt;80,$B$7, LOOKUP(V39,'Force mapping'!$B$7:$B$167,'Force mapping'!$J$7:$J$167))</f>
        <v>568</v>
      </c>
      <c r="P39" s="196">
        <f t="shared" si="4"/>
        <v>0.6604651162790699</v>
      </c>
      <c r="Q39" s="191">
        <f t="shared" si="5"/>
        <v>79.814966091402511</v>
      </c>
      <c r="R39" s="197">
        <f>IF(ABS(U39)&gt;80, 0, LOOKUP(V39,'Force mapping'!$B$7:$B$167,'Force mapping'!$I$7:$I$167) * (N39/5) * SIGN(U39))</f>
        <v>15.442274811014187</v>
      </c>
      <c r="S39" s="198">
        <f t="shared" si="6"/>
        <v>448.9033375294822</v>
      </c>
      <c r="T39" s="199">
        <f t="shared" si="14"/>
        <v>0.53677807965389479</v>
      </c>
      <c r="U39" s="200">
        <f t="shared" si="15"/>
        <v>64.391425767516367</v>
      </c>
      <c r="V39" s="176">
        <f t="shared" si="7"/>
        <v>64.5</v>
      </c>
      <c r="Z39" s="88"/>
    </row>
    <row r="40" spans="5:30" ht="12.5" x14ac:dyDescent="0.25">
      <c r="E40" s="186">
        <f t="shared" si="8"/>
        <v>36</v>
      </c>
      <c r="F40" s="187">
        <f t="shared" si="0"/>
        <v>1.8</v>
      </c>
      <c r="G40" s="188">
        <f t="shared" si="1"/>
        <v>2.4604651162790701</v>
      </c>
      <c r="H40" s="189">
        <f t="shared" si="2"/>
        <v>279.59203873203586</v>
      </c>
      <c r="I40" s="190">
        <f t="shared" si="9"/>
        <v>1.2861233781673649</v>
      </c>
      <c r="J40" s="191">
        <f t="shared" si="10"/>
        <v>52.738544862429585</v>
      </c>
      <c r="K40" s="192" t="b">
        <f t="shared" si="3"/>
        <v>1</v>
      </c>
      <c r="L40" s="193">
        <f t="shared" si="11"/>
        <v>329.62308833109813</v>
      </c>
      <c r="M40" s="194">
        <f t="shared" si="12"/>
        <v>332.28882161738255</v>
      </c>
      <c r="N40" s="194">
        <f t="shared" si="13"/>
        <v>355.76050453174878</v>
      </c>
      <c r="O40" s="195">
        <f>IF(ABS(U40)&gt;80,$B$7, LOOKUP(V40,'Force mapping'!$B$7:$B$167,'Force mapping'!$J$7:$J$167))</f>
        <v>568</v>
      </c>
      <c r="P40" s="196">
        <f t="shared" si="4"/>
        <v>0.6604651162790699</v>
      </c>
      <c r="Q40" s="191">
        <f t="shared" si="5"/>
        <v>79.46858023306595</v>
      </c>
      <c r="R40" s="197">
        <f>IF(ABS(U40)&gt;80, 0, LOOKUP(V40,'Force mapping'!$B$7:$B$167,'Force mapping'!$I$7:$I$167) * (N40/5) * SIGN(U40))</f>
        <v>15.375257484853119</v>
      </c>
      <c r="S40" s="198">
        <f t="shared" si="6"/>
        <v>446.95515944340463</v>
      </c>
      <c r="T40" s="199">
        <f t="shared" si="14"/>
        <v>0.55922324653036892</v>
      </c>
      <c r="U40" s="200">
        <f t="shared" si="15"/>
        <v>64.353364280095434</v>
      </c>
      <c r="V40" s="176">
        <f t="shared" si="7"/>
        <v>64.5</v>
      </c>
      <c r="Z40" s="88"/>
    </row>
    <row r="41" spans="5:30" ht="12.5" x14ac:dyDescent="0.25">
      <c r="E41" s="186">
        <f t="shared" si="8"/>
        <v>37</v>
      </c>
      <c r="F41" s="187">
        <f t="shared" si="0"/>
        <v>1.85</v>
      </c>
      <c r="G41" s="188">
        <f t="shared" si="1"/>
        <v>2.5104651162790699</v>
      </c>
      <c r="H41" s="189">
        <f t="shared" si="2"/>
        <v>275.72507672625596</v>
      </c>
      <c r="I41" s="190">
        <f t="shared" si="9"/>
        <v>1.2683353529407775</v>
      </c>
      <c r="J41" s="191">
        <f t="shared" si="10"/>
        <v>51.28980801868763</v>
      </c>
      <c r="K41" s="192" t="b">
        <f t="shared" si="3"/>
        <v>1</v>
      </c>
      <c r="L41" s="193">
        <f t="shared" si="11"/>
        <v>325.10702178143703</v>
      </c>
      <c r="M41" s="194">
        <f t="shared" si="12"/>
        <v>327.76428772073689</v>
      </c>
      <c r="N41" s="194">
        <f t="shared" si="13"/>
        <v>353.98359895900626</v>
      </c>
      <c r="O41" s="195">
        <f>IF(ABS(U41)&gt;80,$B$7, LOOKUP(V41,'Force mapping'!$B$7:$B$167,'Force mapping'!$J$7:$J$167))</f>
        <v>568</v>
      </c>
      <c r="P41" s="196">
        <f t="shared" si="4"/>
        <v>0.6604651162790699</v>
      </c>
      <c r="Q41" s="191">
        <f t="shared" si="5"/>
        <v>79.071661066167636</v>
      </c>
      <c r="R41" s="197">
        <f>IF(ABS(U41)&gt;80, 0, LOOKUP(V41,'Force mapping'!$B$7:$B$167,'Force mapping'!$I$7:$I$167) * (N41/5) * SIGN(U41))</f>
        <v>15.298463179810334</v>
      </c>
      <c r="S41" s="198">
        <f t="shared" si="6"/>
        <v>444.72276685495154</v>
      </c>
      <c r="T41" s="199">
        <f t="shared" si="14"/>
        <v>0.58157100450253918</v>
      </c>
      <c r="U41" s="200">
        <f t="shared" si="15"/>
        <v>64.314229238782829</v>
      </c>
      <c r="V41" s="176">
        <f t="shared" si="7"/>
        <v>64.5</v>
      </c>
      <c r="Z41" s="88"/>
    </row>
    <row r="42" spans="5:30" ht="12.5" x14ac:dyDescent="0.25">
      <c r="E42" s="186">
        <f t="shared" si="8"/>
        <v>38</v>
      </c>
      <c r="F42" s="187">
        <f t="shared" si="0"/>
        <v>1.9000000000000001</v>
      </c>
      <c r="G42" s="188">
        <f t="shared" si="1"/>
        <v>2.5604651162790701</v>
      </c>
      <c r="H42" s="189">
        <f t="shared" si="2"/>
        <v>271.87742891148417</v>
      </c>
      <c r="I42" s="190">
        <f t="shared" si="9"/>
        <v>1.2506361729928273</v>
      </c>
      <c r="J42" s="191">
        <f t="shared" si="10"/>
        <v>49.86833283961488</v>
      </c>
      <c r="K42" s="192" t="b">
        <f t="shared" si="3"/>
        <v>1</v>
      </c>
      <c r="L42" s="193">
        <f t="shared" si="11"/>
        <v>320.61055433285577</v>
      </c>
      <c r="M42" s="194">
        <f t="shared" si="12"/>
        <v>323.25743568637176</v>
      </c>
      <c r="N42" s="194">
        <f t="shared" si="13"/>
        <v>351.99868631244715</v>
      </c>
      <c r="O42" s="195">
        <f>IF(ABS(U42)&gt;80,$B$7, LOOKUP(V42,'Force mapping'!$B$7:$B$167,'Force mapping'!$J$7:$J$167))</f>
        <v>568</v>
      </c>
      <c r="P42" s="196">
        <f t="shared" si="4"/>
        <v>0.6604651162790699</v>
      </c>
      <c r="Q42" s="191">
        <f t="shared" si="5"/>
        <v>78.628277981481702</v>
      </c>
      <c r="R42" s="197">
        <f>IF(ABS(U42)&gt;80, 0, LOOKUP(V42,'Force mapping'!$B$7:$B$167,'Force mapping'!$I$7:$I$167) * (N42/5) * SIGN(U42))</f>
        <v>15.212679225051341</v>
      </c>
      <c r="S42" s="198">
        <f t="shared" si="6"/>
        <v>442.22904723986454</v>
      </c>
      <c r="T42" s="199">
        <f t="shared" si="14"/>
        <v>0.6038071428452868</v>
      </c>
      <c r="U42" s="200">
        <f t="shared" si="15"/>
        <v>64.274032619386332</v>
      </c>
      <c r="V42" s="176">
        <f t="shared" si="7"/>
        <v>64.5</v>
      </c>
      <c r="Z42" s="88"/>
    </row>
    <row r="43" spans="5:30" ht="12.5" x14ac:dyDescent="0.25">
      <c r="E43" s="186">
        <f t="shared" si="8"/>
        <v>39</v>
      </c>
      <c r="F43" s="187">
        <f t="shared" si="0"/>
        <v>1.9500000000000002</v>
      </c>
      <c r="G43" s="188">
        <f t="shared" si="1"/>
        <v>2.6162790697674421</v>
      </c>
      <c r="H43" s="189">
        <f t="shared" si="2"/>
        <v>268.05135623417499</v>
      </c>
      <c r="I43" s="190">
        <f t="shared" si="9"/>
        <v>1.2330362386772049</v>
      </c>
      <c r="J43" s="191">
        <f t="shared" si="10"/>
        <v>48.474636248258115</v>
      </c>
      <c r="K43" s="192" t="b">
        <f t="shared" si="3"/>
        <v>1</v>
      </c>
      <c r="L43" s="193">
        <f t="shared" si="11"/>
        <v>316.13654524591186</v>
      </c>
      <c r="M43" s="194">
        <f t="shared" si="12"/>
        <v>318.771274708882</v>
      </c>
      <c r="N43" s="194">
        <f t="shared" si="13"/>
        <v>349.82285219814918</v>
      </c>
      <c r="O43" s="195">
        <f>IF(ABS(U43)&gt;80,$B$7, LOOKUP(V43,'Force mapping'!$B$7:$B$167,'Force mapping'!$J$7:$J$167))</f>
        <v>573</v>
      </c>
      <c r="P43" s="196">
        <f t="shared" si="4"/>
        <v>0.66627906976744189</v>
      </c>
      <c r="Q43" s="191">
        <f t="shared" si="5"/>
        <v>78.142247504002142</v>
      </c>
      <c r="R43" s="197">
        <f>IF(ABS(U43)&gt;80, 0, LOOKUP(V43,'Force mapping'!$B$7:$B$167,'Force mapping'!$I$7:$I$167) * (N43/5) * SIGN(U43))</f>
        <v>17.347015594801821</v>
      </c>
      <c r="S43" s="198">
        <f t="shared" si="6"/>
        <v>504.27370915121571</v>
      </c>
      <c r="T43" s="199">
        <f t="shared" si="14"/>
        <v>0.62591859520727999</v>
      </c>
      <c r="U43" s="200">
        <f t="shared" si="15"/>
        <v>64.232786536063074</v>
      </c>
      <c r="V43" s="176">
        <f t="shared" si="7"/>
        <v>64</v>
      </c>
      <c r="Z43" s="88"/>
    </row>
    <row r="44" spans="5:30" ht="12.5" x14ac:dyDescent="0.25">
      <c r="E44" s="186">
        <f t="shared" si="8"/>
        <v>40</v>
      </c>
      <c r="F44" s="187">
        <f t="shared" si="0"/>
        <v>2</v>
      </c>
      <c r="G44" s="188">
        <f t="shared" si="1"/>
        <v>2.6662790697674419</v>
      </c>
      <c r="H44" s="189">
        <f t="shared" si="2"/>
        <v>264.24893392767336</v>
      </c>
      <c r="I44" s="190">
        <f t="shared" si="9"/>
        <v>1.2155450960672975</v>
      </c>
      <c r="J44" s="191">
        <f t="shared" si="10"/>
        <v>47.109124022204007</v>
      </c>
      <c r="K44" s="192" t="b">
        <f t="shared" si="3"/>
        <v>1</v>
      </c>
      <c r="L44" s="193">
        <f t="shared" si="11"/>
        <v>311.68762352811046</v>
      </c>
      <c r="M44" s="194">
        <f t="shared" si="12"/>
        <v>314.30857446499596</v>
      </c>
      <c r="N44" s="194">
        <f t="shared" si="13"/>
        <v>347.49262910558639</v>
      </c>
      <c r="O44" s="195">
        <f>IF(ABS(U44)&gt;80,$B$7, LOOKUP(V44,'Force mapping'!$B$7:$B$167,'Force mapping'!$J$7:$J$167))</f>
        <v>573</v>
      </c>
      <c r="P44" s="196">
        <f t="shared" si="4"/>
        <v>0.66627906976744189</v>
      </c>
      <c r="Q44" s="191">
        <f t="shared" si="5"/>
        <v>77.621730137871253</v>
      </c>
      <c r="R44" s="197">
        <f>IF(ABS(U44)&gt;80, 0, LOOKUP(V44,'Force mapping'!$B$7:$B$167,'Force mapping'!$I$7:$I$167) * (N44/5) * SIGN(U44))</f>
        <v>17.23146449208782</v>
      </c>
      <c r="S44" s="198">
        <f t="shared" si="6"/>
        <v>500.91466546766918</v>
      </c>
      <c r="T44" s="199">
        <f t="shared" si="14"/>
        <v>0.65113228066484075</v>
      </c>
      <c r="U44" s="200">
        <f t="shared" si="15"/>
        <v>64.188883763573926</v>
      </c>
      <c r="V44" s="176">
        <f t="shared" si="7"/>
        <v>64</v>
      </c>
      <c r="Z44" s="88"/>
    </row>
    <row r="45" spans="5:30" ht="12.5" x14ac:dyDescent="0.25">
      <c r="E45" s="186">
        <f t="shared" si="8"/>
        <v>41</v>
      </c>
      <c r="F45" s="187">
        <f t="shared" si="0"/>
        <v>2.0500000000000003</v>
      </c>
      <c r="G45" s="188">
        <f t="shared" si="1"/>
        <v>2.7162790697674422</v>
      </c>
      <c r="H45" s="189">
        <f t="shared" si="2"/>
        <v>260.47184013304741</v>
      </c>
      <c r="I45" s="190">
        <f t="shared" si="9"/>
        <v>1.1981704646120181</v>
      </c>
      <c r="J45" s="191">
        <f t="shared" si="10"/>
        <v>45.772021927674693</v>
      </c>
      <c r="K45" s="192" t="b">
        <f t="shared" si="3"/>
        <v>1</v>
      </c>
      <c r="L45" s="193">
        <f t="shared" si="11"/>
        <v>307.26620224148064</v>
      </c>
      <c r="M45" s="194">
        <f t="shared" si="12"/>
        <v>309.87187996418129</v>
      </c>
      <c r="N45" s="194">
        <f t="shared" si="13"/>
        <v>345.00237718665903</v>
      </c>
      <c r="O45" s="195">
        <f>IF(ABS(U45)&gt;80,$B$7, LOOKUP(V45,'Force mapping'!$B$7:$B$167,'Force mapping'!$J$7:$J$167))</f>
        <v>573</v>
      </c>
      <c r="P45" s="196">
        <f t="shared" si="4"/>
        <v>0.66627906976744189</v>
      </c>
      <c r="Q45" s="191">
        <f t="shared" si="5"/>
        <v>77.065466072864098</v>
      </c>
      <c r="R45" s="197">
        <f>IF(ABS(U45)&gt;80, 0, LOOKUP(V45,'Force mapping'!$B$7:$B$167,'Force mapping'!$I$7:$I$167) * (N45/5) * SIGN(U45))</f>
        <v>17.107977879932047</v>
      </c>
      <c r="S45" s="198">
        <f t="shared" si="6"/>
        <v>497.32493837011765</v>
      </c>
      <c r="T45" s="199">
        <f t="shared" si="14"/>
        <v>0.67617801393822419</v>
      </c>
      <c r="U45" s="200">
        <f t="shared" si="15"/>
        <v>64.143804282903986</v>
      </c>
      <c r="V45" s="176">
        <f t="shared" si="7"/>
        <v>64</v>
      </c>
      <c r="Z45" s="88"/>
    </row>
    <row r="46" spans="5:30" ht="12.5" x14ac:dyDescent="0.25">
      <c r="E46" s="186">
        <f t="shared" si="8"/>
        <v>42</v>
      </c>
      <c r="F46" s="187">
        <f t="shared" si="0"/>
        <v>2.1</v>
      </c>
      <c r="G46" s="188">
        <f t="shared" si="1"/>
        <v>2.766279069767442</v>
      </c>
      <c r="H46" s="189">
        <f t="shared" si="2"/>
        <v>256.72181429406197</v>
      </c>
      <c r="I46" s="190">
        <f t="shared" si="9"/>
        <v>1.1809203457526851</v>
      </c>
      <c r="J46" s="191">
        <f t="shared" si="10"/>
        <v>44.463545241649413</v>
      </c>
      <c r="K46" s="192" t="b">
        <f t="shared" si="3"/>
        <v>1</v>
      </c>
      <c r="L46" s="193">
        <f t="shared" si="11"/>
        <v>302.87423271284581</v>
      </c>
      <c r="M46" s="194">
        <f t="shared" si="12"/>
        <v>305.46336219583992</v>
      </c>
      <c r="N46" s="194">
        <f t="shared" si="13"/>
        <v>342.36605715076627</v>
      </c>
      <c r="O46" s="195">
        <f>IF(ABS(U46)&gt;80,$B$7, LOOKUP(V46,'Force mapping'!$B$7:$B$167,'Force mapping'!$J$7:$J$167))</f>
        <v>573</v>
      </c>
      <c r="P46" s="196">
        <f t="shared" si="4"/>
        <v>0.66627906976744189</v>
      </c>
      <c r="Q46" s="191">
        <f t="shared" si="5"/>
        <v>76.476573805106227</v>
      </c>
      <c r="R46" s="197">
        <f>IF(ABS(U46)&gt;80, 0, LOOKUP(V46,'Force mapping'!$B$7:$B$167,'Force mapping'!$I$7:$I$167) * (N46/5) * SIGN(U46))</f>
        <v>16.977248041992198</v>
      </c>
      <c r="S46" s="198">
        <f t="shared" si="6"/>
        <v>493.52465238349413</v>
      </c>
      <c r="T46" s="199">
        <f t="shared" si="14"/>
        <v>0.70104426085673011</v>
      </c>
      <c r="U46" s="200">
        <f t="shared" si="15"/>
        <v>64.097562258747828</v>
      </c>
      <c r="V46" s="176">
        <f t="shared" si="7"/>
        <v>64</v>
      </c>
      <c r="Z46" s="88"/>
    </row>
    <row r="47" spans="5:30" ht="12.5" x14ac:dyDescent="0.25">
      <c r="E47" s="186">
        <f t="shared" si="8"/>
        <v>43</v>
      </c>
      <c r="F47" s="187">
        <f t="shared" si="0"/>
        <v>2.15</v>
      </c>
      <c r="G47" s="188">
        <f t="shared" si="1"/>
        <v>2.8162790697674418</v>
      </c>
      <c r="H47" s="189">
        <f t="shared" si="2"/>
        <v>253.00044410764062</v>
      </c>
      <c r="I47" s="190">
        <f t="shared" si="9"/>
        <v>1.1638020428951468</v>
      </c>
      <c r="J47" s="191">
        <f t="shared" si="10"/>
        <v>43.183825075839692</v>
      </c>
      <c r="K47" s="192" t="b">
        <f t="shared" si="3"/>
        <v>1</v>
      </c>
      <c r="L47" s="193">
        <f t="shared" si="11"/>
        <v>298.51373755123484</v>
      </c>
      <c r="M47" s="194">
        <f t="shared" si="12"/>
        <v>301.08509866973873</v>
      </c>
      <c r="N47" s="194">
        <f t="shared" si="13"/>
        <v>339.59674496392188</v>
      </c>
      <c r="O47" s="195">
        <f>IF(ABS(U47)&gt;80,$B$7, LOOKUP(V47,'Force mapping'!$B$7:$B$167,'Force mapping'!$J$7:$J$167))</f>
        <v>573</v>
      </c>
      <c r="P47" s="196">
        <f t="shared" si="4"/>
        <v>0.66627906976744189</v>
      </c>
      <c r="Q47" s="191">
        <f t="shared" si="5"/>
        <v>75.857974199733192</v>
      </c>
      <c r="R47" s="197">
        <f>IF(ABS(U47)&gt;80, 0, LOOKUP(V47,'Force mapping'!$B$7:$B$167,'Force mapping'!$I$7:$I$167) * (N47/5) * SIGN(U47))</f>
        <v>16.839923389270957</v>
      </c>
      <c r="S47" s="198">
        <f t="shared" si="6"/>
        <v>489.53265666485339</v>
      </c>
      <c r="T47" s="199">
        <f t="shared" si="14"/>
        <v>0.72572049347590484</v>
      </c>
      <c r="U47" s="200">
        <f t="shared" si="15"/>
        <v>64.050171929395404</v>
      </c>
      <c r="V47" s="176">
        <f t="shared" si="7"/>
        <v>64</v>
      </c>
      <c r="Z47" s="88"/>
    </row>
    <row r="48" spans="5:30" ht="12.5" x14ac:dyDescent="0.25">
      <c r="E48" s="186">
        <f t="shared" si="8"/>
        <v>44</v>
      </c>
      <c r="F48" s="187">
        <f t="shared" si="0"/>
        <v>2.2000000000000002</v>
      </c>
      <c r="G48" s="188">
        <f t="shared" si="1"/>
        <v>2.8662790697674421</v>
      </c>
      <c r="H48" s="189">
        <f t="shared" si="2"/>
        <v>249.30917514064143</v>
      </c>
      <c r="I48" s="190">
        <f t="shared" si="9"/>
        <v>1.1468222056469506</v>
      </c>
      <c r="J48" s="191">
        <f t="shared" si="10"/>
        <v>41.932916046083342</v>
      </c>
      <c r="K48" s="192" t="b">
        <f t="shared" si="3"/>
        <v>1</v>
      </c>
      <c r="L48" s="193">
        <f t="shared" si="11"/>
        <v>294.1865629158612</v>
      </c>
      <c r="M48" s="194">
        <f t="shared" si="12"/>
        <v>296.73902114479591</v>
      </c>
      <c r="N48" s="194">
        <f t="shared" si="13"/>
        <v>336.70669122805822</v>
      </c>
      <c r="O48" s="195">
        <f>IF(ABS(U48)&gt;80,$B$7, LOOKUP(V48,'Force mapping'!$B$7:$B$167,'Force mapping'!$J$7:$J$167))</f>
        <v>573</v>
      </c>
      <c r="P48" s="196">
        <f t="shared" si="4"/>
        <v>0.66627906976744189</v>
      </c>
      <c r="Q48" s="191">
        <f t="shared" si="5"/>
        <v>75.212403754838974</v>
      </c>
      <c r="R48" s="197">
        <f>IF(ABS(U48)&gt;80, 0, LOOKUP(V48,'Force mapping'!$B$7:$B$167,'Force mapping'!$I$7:$I$167) * (N48/5) * SIGN(U48))</f>
        <v>16.696611404616949</v>
      </c>
      <c r="S48" s="198">
        <f t="shared" si="6"/>
        <v>485.36661059932993</v>
      </c>
      <c r="T48" s="199">
        <f t="shared" si="14"/>
        <v>0.75019712630914748</v>
      </c>
      <c r="U48" s="200">
        <f t="shared" si="15"/>
        <v>64.001647588304991</v>
      </c>
      <c r="V48" s="176">
        <f t="shared" si="7"/>
        <v>64</v>
      </c>
      <c r="Z48" s="88"/>
    </row>
    <row r="49" spans="5:26" ht="12.5" x14ac:dyDescent="0.25">
      <c r="E49" s="186">
        <f t="shared" si="8"/>
        <v>45</v>
      </c>
      <c r="F49" s="187">
        <f t="shared" si="0"/>
        <v>2.25</v>
      </c>
      <c r="G49" s="188">
        <f t="shared" si="1"/>
        <v>2.9162790697674419</v>
      </c>
      <c r="H49" s="189">
        <f t="shared" si="2"/>
        <v>245.64931980120602</v>
      </c>
      <c r="I49" s="190">
        <f t="shared" si="9"/>
        <v>1.1299868710855476</v>
      </c>
      <c r="J49" s="191">
        <f t="shared" si="10"/>
        <v>40.710803385930305</v>
      </c>
      <c r="K49" s="192" t="b">
        <f t="shared" si="3"/>
        <v>1</v>
      </c>
      <c r="L49" s="193">
        <f t="shared" si="11"/>
        <v>289.8943896984203</v>
      </c>
      <c r="M49" s="194">
        <f t="shared" si="12"/>
        <v>292.42690333357928</v>
      </c>
      <c r="N49" s="194">
        <f t="shared" si="13"/>
        <v>333.70737218167028</v>
      </c>
      <c r="O49" s="195">
        <f>IF(ABS(U49)&gt;80,$B$7, LOOKUP(V49,'Force mapping'!$B$7:$B$167,'Force mapping'!$J$7:$J$167))</f>
        <v>573</v>
      </c>
      <c r="P49" s="196">
        <f t="shared" si="4"/>
        <v>0.66627906976744189</v>
      </c>
      <c r="Q49" s="191">
        <f t="shared" si="5"/>
        <v>74.542425993827649</v>
      </c>
      <c r="R49" s="197">
        <f>IF(ABS(U49)&gt;80, 0, LOOKUP(V49,'Force mapping'!$B$7:$B$167,'Force mapping'!$I$7:$I$167) * (N49/5) * SIGN(U49))</f>
        <v>16.547881171744667</v>
      </c>
      <c r="S49" s="198">
        <f t="shared" si="6"/>
        <v>481.0430573181589</v>
      </c>
      <c r="T49" s="199">
        <f t="shared" si="14"/>
        <v>0.77446545683911394</v>
      </c>
      <c r="U49" s="200">
        <f t="shared" si="15"/>
        <v>63.952003566724549</v>
      </c>
      <c r="V49" s="176">
        <f t="shared" si="7"/>
        <v>64</v>
      </c>
      <c r="Z49" s="88"/>
    </row>
    <row r="50" spans="5:26" ht="12.5" x14ac:dyDescent="0.25">
      <c r="E50" s="186">
        <f t="shared" si="8"/>
        <v>46</v>
      </c>
      <c r="F50" s="187">
        <f t="shared" si="0"/>
        <v>2.3000000000000003</v>
      </c>
      <c r="G50" s="188">
        <f t="shared" si="1"/>
        <v>2.9662790697674422</v>
      </c>
      <c r="H50" s="189">
        <f t="shared" si="2"/>
        <v>242.02206575575306</v>
      </c>
      <c r="I50" s="190">
        <f t="shared" si="9"/>
        <v>1.1133015024764641</v>
      </c>
      <c r="J50" s="191">
        <f t="shared" si="10"/>
        <v>39.517409554853813</v>
      </c>
      <c r="K50" s="192" t="b">
        <f t="shared" si="3"/>
        <v>1</v>
      </c>
      <c r="L50" s="193">
        <f t="shared" si="11"/>
        <v>285.63874395489074</v>
      </c>
      <c r="M50" s="194">
        <f t="shared" si="12"/>
        <v>288.15036292500548</v>
      </c>
      <c r="N50" s="194">
        <f t="shared" si="13"/>
        <v>330.60953595048721</v>
      </c>
      <c r="O50" s="195">
        <f>IF(ABS(U50)&gt;80,$B$7, LOOKUP(V50,'Force mapping'!$B$7:$B$167,'Force mapping'!$J$7:$J$167))</f>
        <v>573</v>
      </c>
      <c r="P50" s="196">
        <f t="shared" si="4"/>
        <v>0.66627906976744189</v>
      </c>
      <c r="Q50" s="191">
        <f t="shared" si="5"/>
        <v>73.850441796732198</v>
      </c>
      <c r="R50" s="197">
        <f>IF(ABS(U50)&gt;80, 0, LOOKUP(V50,'Force mapping'!$B$7:$B$167,'Force mapping'!$I$7:$I$167) * (N50/5) * SIGN(U50))</f>
        <v>16.394265668712759</v>
      </c>
      <c r="S50" s="198">
        <f t="shared" si="6"/>
        <v>476.57749036955693</v>
      </c>
      <c r="T50" s="199">
        <f t="shared" si="14"/>
        <v>0.79851760970502184</v>
      </c>
      <c r="U50" s="200">
        <f t="shared" si="15"/>
        <v>63.90125421744964</v>
      </c>
      <c r="V50" s="176">
        <f t="shared" si="7"/>
        <v>64</v>
      </c>
      <c r="Z50" s="88"/>
    </row>
    <row r="51" spans="5:26" ht="12.5" x14ac:dyDescent="0.25">
      <c r="E51" s="186">
        <f t="shared" si="8"/>
        <v>47</v>
      </c>
      <c r="F51" s="187">
        <f t="shared" si="0"/>
        <v>2.35</v>
      </c>
      <c r="G51" s="188">
        <f t="shared" si="1"/>
        <v>3.016279069767442</v>
      </c>
      <c r="H51" s="189">
        <f t="shared" si="2"/>
        <v>238.42848384324779</v>
      </c>
      <c r="I51" s="190">
        <f t="shared" si="9"/>
        <v>1.0967710256789398</v>
      </c>
      <c r="J51" s="191">
        <f t="shared" si="10"/>
        <v>38.352600376312957</v>
      </c>
      <c r="K51" s="192" t="b">
        <f t="shared" si="3"/>
        <v>1</v>
      </c>
      <c r="L51" s="193">
        <f t="shared" si="11"/>
        <v>281.42100669273611</v>
      </c>
      <c r="M51" s="194">
        <f t="shared" si="12"/>
        <v>283.91086849867577</v>
      </c>
      <c r="N51" s="194">
        <f t="shared" si="13"/>
        <v>327.42324547911596</v>
      </c>
      <c r="O51" s="195">
        <f>IF(ABS(U51)&gt;80,$B$7, LOOKUP(V51,'Force mapping'!$B$7:$B$167,'Force mapping'!$J$7:$J$167))</f>
        <v>573</v>
      </c>
      <c r="P51" s="196">
        <f t="shared" si="4"/>
        <v>0.66627906976744189</v>
      </c>
      <c r="Q51" s="191">
        <f t="shared" si="5"/>
        <v>73.138698990140185</v>
      </c>
      <c r="R51" s="197">
        <f>IF(ABS(U51)&gt;80, 0, LOOKUP(V51,'Force mapping'!$B$7:$B$167,'Force mapping'!$I$7:$I$167) * (N51/5) * SIGN(U51))</f>
        <v>16.2362638968184</v>
      </c>
      <c r="S51" s="198">
        <f t="shared" si="6"/>
        <v>471.98441560518603</v>
      </c>
      <c r="T51" s="199">
        <f t="shared" si="14"/>
        <v>0.82234648422349965</v>
      </c>
      <c r="U51" s="200">
        <f t="shared" si="15"/>
        <v>63.849413899705148</v>
      </c>
      <c r="V51" s="176">
        <f t="shared" si="7"/>
        <v>64</v>
      </c>
      <c r="Z51" s="88"/>
    </row>
    <row r="52" spans="5:26" ht="12.5" x14ac:dyDescent="0.25">
      <c r="E52" s="186">
        <f t="shared" si="8"/>
        <v>48</v>
      </c>
      <c r="F52" s="187">
        <f t="shared" si="0"/>
        <v>2.4000000000000004</v>
      </c>
      <c r="G52" s="188">
        <f t="shared" si="1"/>
        <v>3.0662790697674422</v>
      </c>
      <c r="H52" s="189">
        <f t="shared" si="2"/>
        <v>234.86953552282262</v>
      </c>
      <c r="I52" s="190">
        <f t="shared" si="9"/>
        <v>1.0803998634049841</v>
      </c>
      <c r="J52" s="191">
        <f t="shared" si="10"/>
        <v>37.216190734833155</v>
      </c>
      <c r="K52" s="192" t="b">
        <f t="shared" si="3"/>
        <v>1</v>
      </c>
      <c r="L52" s="193">
        <f t="shared" si="11"/>
        <v>277.24242307354393</v>
      </c>
      <c r="M52" s="194">
        <f t="shared" si="12"/>
        <v>279.70974788084271</v>
      </c>
      <c r="N52" s="194">
        <f t="shared" si="13"/>
        <v>324.15791875981591</v>
      </c>
      <c r="O52" s="195">
        <f>IF(ABS(U52)&gt;80,$B$7, LOOKUP(V52,'Force mapping'!$B$7:$B$167,'Force mapping'!$J$7:$J$167))</f>
        <v>573</v>
      </c>
      <c r="P52" s="196">
        <f t="shared" si="4"/>
        <v>0.66627906976744189</v>
      </c>
      <c r="Q52" s="191">
        <f t="shared" si="5"/>
        <v>72.409301333361469</v>
      </c>
      <c r="R52" s="197">
        <f>IF(ABS(U52)&gt;80, 0, LOOKUP(V52,'Force mapping'!$B$7:$B$167,'Force mapping'!$I$7:$I$167) * (N52/5) * SIGN(U52))</f>
        <v>16.074342875461749</v>
      </c>
      <c r="S52" s="198">
        <f t="shared" si="6"/>
        <v>467.27740917039966</v>
      </c>
      <c r="T52" s="199">
        <f t="shared" si="14"/>
        <v>0.84594570500375899</v>
      </c>
      <c r="U52" s="200">
        <f t="shared" si="15"/>
        <v>63.796496965103842</v>
      </c>
      <c r="V52" s="176">
        <f t="shared" si="7"/>
        <v>64</v>
      </c>
      <c r="Z52" s="88"/>
    </row>
    <row r="53" spans="5:26" ht="12.5" x14ac:dyDescent="0.25">
      <c r="E53" s="186">
        <f t="shared" si="8"/>
        <v>49</v>
      </c>
      <c r="F53" s="187">
        <f t="shared" si="0"/>
        <v>2.4500000000000002</v>
      </c>
      <c r="G53" s="188">
        <f t="shared" si="1"/>
        <v>3.1232558139534885</v>
      </c>
      <c r="H53" s="189">
        <f t="shared" si="2"/>
        <v>231.34607988412898</v>
      </c>
      <c r="I53" s="190">
        <f t="shared" si="9"/>
        <v>1.0641919674669933</v>
      </c>
      <c r="J53" s="191">
        <f t="shared" si="10"/>
        <v>36.107949858494713</v>
      </c>
      <c r="K53" s="192" t="b">
        <f t="shared" si="3"/>
        <v>1</v>
      </c>
      <c r="L53" s="193">
        <f t="shared" si="11"/>
        <v>273.10411107304958</v>
      </c>
      <c r="M53" s="194">
        <f t="shared" si="12"/>
        <v>275.54819669193301</v>
      </c>
      <c r="N53" s="194">
        <f t="shared" si="13"/>
        <v>320.82236666942174</v>
      </c>
      <c r="O53" s="195">
        <f>IF(ABS(U53)&gt;80,$B$7, LOOKUP(V53,'Force mapping'!$B$7:$B$167,'Force mapping'!$J$7:$J$167))</f>
        <v>579</v>
      </c>
      <c r="P53" s="196">
        <f t="shared" si="4"/>
        <v>0.67325581395348832</v>
      </c>
      <c r="Q53" s="191">
        <f t="shared" si="5"/>
        <v>71.664216970312395</v>
      </c>
      <c r="R53" s="197">
        <f>IF(ABS(U53)&gt;80, 0, LOOKUP(V53,'Force mapping'!$B$7:$B$167,'Force mapping'!$I$7:$I$167) * (N53/5) * SIGN(U53))</f>
        <v>18.298424505357136</v>
      </c>
      <c r="S53" s="198">
        <f t="shared" si="6"/>
        <v>531.93094492317255</v>
      </c>
      <c r="T53" s="199">
        <f t="shared" si="14"/>
        <v>0.86930957546227894</v>
      </c>
      <c r="U53" s="200">
        <f t="shared" si="15"/>
        <v>63.742517744624394</v>
      </c>
      <c r="V53" s="176">
        <f t="shared" si="7"/>
        <v>63.5</v>
      </c>
      <c r="Z53" s="88"/>
    </row>
    <row r="54" spans="5:26" ht="12.5" x14ac:dyDescent="0.25">
      <c r="E54" s="186">
        <f t="shared" si="8"/>
        <v>50</v>
      </c>
      <c r="F54" s="187">
        <f t="shared" si="0"/>
        <v>2.5</v>
      </c>
      <c r="G54" s="188">
        <f t="shared" si="1"/>
        <v>3.1732558139534883</v>
      </c>
      <c r="H54" s="189">
        <f t="shared" si="2"/>
        <v>227.8588802464179</v>
      </c>
      <c r="I54" s="190">
        <f t="shared" si="9"/>
        <v>1.0481508491335223</v>
      </c>
      <c r="J54" s="191">
        <f t="shared" si="10"/>
        <v>35.02760621160494</v>
      </c>
      <c r="K54" s="192" t="b">
        <f t="shared" si="3"/>
        <v>1</v>
      </c>
      <c r="L54" s="193">
        <f t="shared" si="11"/>
        <v>269.00706963270812</v>
      </c>
      <c r="M54" s="194">
        <f t="shared" si="12"/>
        <v>271.42728664462135</v>
      </c>
      <c r="N54" s="194">
        <f t="shared" si="13"/>
        <v>317.46003625658579</v>
      </c>
      <c r="O54" s="195">
        <f>IF(ABS(U54)&gt;80,$B$7, LOOKUP(V54,'Force mapping'!$B$7:$B$167,'Force mapping'!$J$7:$J$167))</f>
        <v>579</v>
      </c>
      <c r="P54" s="196">
        <f t="shared" si="4"/>
        <v>0.67325581395348832</v>
      </c>
      <c r="Q54" s="191">
        <f t="shared" si="5"/>
        <v>70.913150956016565</v>
      </c>
      <c r="R54" s="197">
        <f>IF(ABS(U54)&gt;80, 0, LOOKUP(V54,'Force mapping'!$B$7:$B$167,'Force mapping'!$I$7:$I$167) * (N54/5) * SIGN(U54))</f>
        <v>18.106650627930627</v>
      </c>
      <c r="S54" s="198">
        <f t="shared" si="6"/>
        <v>526.3561229049601</v>
      </c>
      <c r="T54" s="199">
        <f t="shared" si="14"/>
        <v>0.89590612270843761</v>
      </c>
      <c r="U54" s="200">
        <f t="shared" si="15"/>
        <v>63.6857539922282</v>
      </c>
      <c r="V54" s="176">
        <f t="shared" si="7"/>
        <v>63.5</v>
      </c>
      <c r="Z54" s="88"/>
    </row>
    <row r="55" spans="5:26" ht="12.5" x14ac:dyDescent="0.25">
      <c r="E55" s="186">
        <f t="shared" si="8"/>
        <v>51</v>
      </c>
      <c r="F55" s="187">
        <f t="shared" si="0"/>
        <v>2.5500000000000003</v>
      </c>
      <c r="G55" s="188">
        <f t="shared" si="1"/>
        <v>3.2232558139534886</v>
      </c>
      <c r="H55" s="189">
        <f t="shared" si="2"/>
        <v>224.40822767841155</v>
      </c>
      <c r="I55" s="190">
        <f t="shared" si="9"/>
        <v>1.0322778473206931</v>
      </c>
      <c r="J55" s="191">
        <f t="shared" si="10"/>
        <v>33.974736144217097</v>
      </c>
      <c r="K55" s="192" t="b">
        <f t="shared" si="3"/>
        <v>1</v>
      </c>
      <c r="L55" s="193">
        <f t="shared" si="11"/>
        <v>264.9521863330441</v>
      </c>
      <c r="M55" s="194">
        <f t="shared" si="12"/>
        <v>267.34797344832771</v>
      </c>
      <c r="N55" s="194">
        <f t="shared" si="13"/>
        <v>314.04136918695804</v>
      </c>
      <c r="O55" s="195">
        <f>IF(ABS(U55)&gt;80,$B$7, LOOKUP(V55,'Force mapping'!$B$7:$B$167,'Force mapping'!$J$7:$J$167))</f>
        <v>579</v>
      </c>
      <c r="P55" s="196">
        <f t="shared" si="4"/>
        <v>0.67325581395348832</v>
      </c>
      <c r="Q55" s="191">
        <f t="shared" si="5"/>
        <v>70.14950064955427</v>
      </c>
      <c r="R55" s="197">
        <f>IF(ABS(U55)&gt;80, 0, LOOKUP(V55,'Force mapping'!$B$7:$B$167,'Force mapping'!$I$7:$I$167) * (N55/5) * SIGN(U55))</f>
        <v>17.91166353294734</v>
      </c>
      <c r="S55" s="198">
        <f t="shared" si="6"/>
        <v>520.687893399632</v>
      </c>
      <c r="T55" s="199">
        <f t="shared" si="14"/>
        <v>0.92222392885368565</v>
      </c>
      <c r="U55" s="200">
        <f t="shared" si="15"/>
        <v>63.627799783020151</v>
      </c>
      <c r="V55" s="176">
        <f t="shared" si="7"/>
        <v>63.5</v>
      </c>
      <c r="Y55" s="91"/>
      <c r="Z55" s="88"/>
    </row>
    <row r="56" spans="5:26" ht="12.5" x14ac:dyDescent="0.25">
      <c r="E56" s="186">
        <f t="shared" si="8"/>
        <v>52</v>
      </c>
      <c r="F56" s="187">
        <f t="shared" si="0"/>
        <v>2.6</v>
      </c>
      <c r="G56" s="188">
        <f t="shared" si="1"/>
        <v>3.2732558139534884</v>
      </c>
      <c r="H56" s="189">
        <f t="shared" si="2"/>
        <v>220.99473453507505</v>
      </c>
      <c r="I56" s="190">
        <f t="shared" si="9"/>
        <v>1.0165757788613452</v>
      </c>
      <c r="J56" s="191">
        <f t="shared" si="10"/>
        <v>32.94901176739976</v>
      </c>
      <c r="K56" s="192" t="b">
        <f t="shared" si="3"/>
        <v>1</v>
      </c>
      <c r="L56" s="193">
        <f t="shared" si="11"/>
        <v>260.93979962605994</v>
      </c>
      <c r="M56" s="194">
        <f t="shared" si="12"/>
        <v>263.31082394029903</v>
      </c>
      <c r="N56" s="194">
        <f t="shared" si="13"/>
        <v>310.5736385880615</v>
      </c>
      <c r="O56" s="195">
        <f>IF(ABS(U56)&gt;80,$B$7, LOOKUP(V56,'Force mapping'!$B$7:$B$167,'Force mapping'!$J$7:$J$167))</f>
        <v>579</v>
      </c>
      <c r="P56" s="196">
        <f t="shared" si="4"/>
        <v>0.67325581395348832</v>
      </c>
      <c r="Q56" s="191">
        <f t="shared" si="5"/>
        <v>69.374890697592946</v>
      </c>
      <c r="R56" s="197">
        <f>IF(ABS(U56)&gt;80, 0, LOOKUP(V56,'Force mapping'!$B$7:$B$167,'Force mapping'!$I$7:$I$167) * (N56/5) * SIGN(U56))</f>
        <v>17.713878050508676</v>
      </c>
      <c r="S56" s="198">
        <f t="shared" si="6"/>
        <v>514.93831542176383</v>
      </c>
      <c r="T56" s="199">
        <f t="shared" si="14"/>
        <v>0.94825832352366723</v>
      </c>
      <c r="U56" s="200">
        <f t="shared" si="15"/>
        <v>63.568671389242475</v>
      </c>
      <c r="V56" s="176">
        <f t="shared" si="7"/>
        <v>63.5</v>
      </c>
      <c r="Y56" s="91"/>
      <c r="Z56" s="88"/>
    </row>
    <row r="57" spans="5:26" ht="12.5" x14ac:dyDescent="0.25">
      <c r="E57" s="186">
        <f t="shared" si="8"/>
        <v>53</v>
      </c>
      <c r="F57" s="187">
        <f t="shared" si="0"/>
        <v>2.6500000000000004</v>
      </c>
      <c r="G57" s="188">
        <f t="shared" si="1"/>
        <v>3.3232558139534887</v>
      </c>
      <c r="H57" s="189">
        <f t="shared" si="2"/>
        <v>217.61893411563958</v>
      </c>
      <c r="I57" s="190">
        <f t="shared" si="9"/>
        <v>1.001047096931942</v>
      </c>
      <c r="J57" s="191">
        <f t="shared" si="10"/>
        <v>31.950076225756174</v>
      </c>
      <c r="K57" s="192" t="b">
        <f t="shared" si="3"/>
        <v>1</v>
      </c>
      <c r="L57" s="193">
        <f t="shared" si="11"/>
        <v>256.97062155241287</v>
      </c>
      <c r="M57" s="194">
        <f t="shared" si="12"/>
        <v>259.31649643593073</v>
      </c>
      <c r="N57" s="194">
        <f t="shared" si="13"/>
        <v>307.06361953822767</v>
      </c>
      <c r="O57" s="195">
        <f>IF(ABS(U57)&gt;80,$B$7, LOOKUP(V57,'Force mapping'!$B$7:$B$167,'Force mapping'!$J$7:$J$167))</f>
        <v>579</v>
      </c>
      <c r="P57" s="196">
        <f t="shared" si="4"/>
        <v>0.67325581395348832</v>
      </c>
      <c r="Q57" s="191">
        <f t="shared" si="5"/>
        <v>68.590834494253443</v>
      </c>
      <c r="R57" s="197">
        <f>IF(ABS(U57)&gt;80, 0, LOOKUP(V57,'Force mapping'!$B$7:$B$167,'Force mapping'!$I$7:$I$167) * (N57/5) * SIGN(U57))</f>
        <v>17.513680603982355</v>
      </c>
      <c r="S57" s="198">
        <f t="shared" si="6"/>
        <v>509.11862220878936</v>
      </c>
      <c r="T57" s="199">
        <f t="shared" si="14"/>
        <v>0.97400523929475546</v>
      </c>
      <c r="U57" s="200">
        <f t="shared" si="15"/>
        <v>63.50838501518075</v>
      </c>
      <c r="V57" s="176">
        <f t="shared" si="7"/>
        <v>63.5</v>
      </c>
      <c r="Y57" s="91"/>
      <c r="Z57" s="88"/>
    </row>
    <row r="58" spans="5:26" ht="12.5" x14ac:dyDescent="0.25">
      <c r="E58" s="186">
        <f t="shared" si="8"/>
        <v>54</v>
      </c>
      <c r="F58" s="187">
        <f t="shared" si="0"/>
        <v>2.7</v>
      </c>
      <c r="G58" s="188">
        <f t="shared" si="1"/>
        <v>3.3732558139534885</v>
      </c>
      <c r="H58" s="189">
        <f t="shared" si="2"/>
        <v>214.28128607718057</v>
      </c>
      <c r="I58" s="190">
        <f t="shared" si="9"/>
        <v>0.98569391595503064</v>
      </c>
      <c r="J58" s="191">
        <f t="shared" si="10"/>
        <v>30.977547352262103</v>
      </c>
      <c r="K58" s="192" t="b">
        <f t="shared" si="3"/>
        <v>1</v>
      </c>
      <c r="L58" s="193">
        <f t="shared" si="11"/>
        <v>253.04527222748789</v>
      </c>
      <c r="M58" s="194">
        <f t="shared" si="12"/>
        <v>255.36562518461173</v>
      </c>
      <c r="N58" s="194">
        <f t="shared" si="13"/>
        <v>303.51763284841979</v>
      </c>
      <c r="O58" s="195">
        <f>IF(ABS(U58)&gt;80,$B$7, LOOKUP(V58,'Force mapping'!$B$7:$B$167,'Force mapping'!$J$7:$J$167))</f>
        <v>579</v>
      </c>
      <c r="P58" s="196">
        <f t="shared" si="4"/>
        <v>0.67325581395348832</v>
      </c>
      <c r="Q58" s="191">
        <f t="shared" si="5"/>
        <v>67.798743960945714</v>
      </c>
      <c r="R58" s="197">
        <f>IF(ABS(U58)&gt;80, 0, LOOKUP(V58,'Force mapping'!$B$7:$B$167,'Force mapping'!$I$7:$I$167) * (N58/5) * SIGN(U58))</f>
        <v>17.311431707142471</v>
      </c>
      <c r="S58" s="198">
        <f t="shared" si="6"/>
        <v>503.23929381228118</v>
      </c>
      <c r="T58" s="199">
        <f t="shared" si="14"/>
        <v>0.99946117040519489</v>
      </c>
      <c r="U58" s="200">
        <f t="shared" si="15"/>
        <v>63.446956787660795</v>
      </c>
      <c r="V58" s="176">
        <f t="shared" si="7"/>
        <v>63.5</v>
      </c>
      <c r="Y58" s="91"/>
      <c r="Z58" s="88"/>
    </row>
    <row r="59" spans="5:26" ht="12.5" x14ac:dyDescent="0.25">
      <c r="E59" s="186">
        <f t="shared" si="8"/>
        <v>55</v>
      </c>
      <c r="F59" s="187">
        <f t="shared" si="0"/>
        <v>2.75</v>
      </c>
      <c r="G59" s="188">
        <f t="shared" si="1"/>
        <v>3.4232558139534883</v>
      </c>
      <c r="H59" s="189">
        <f t="shared" si="2"/>
        <v>210.98218137230646</v>
      </c>
      <c r="I59" s="190">
        <f t="shared" si="9"/>
        <v>0.97051803431260963</v>
      </c>
      <c r="J59" s="191">
        <f t="shared" si="10"/>
        <v>30.03102098607982</v>
      </c>
      <c r="K59" s="192" t="b">
        <f t="shared" si="3"/>
        <v>1</v>
      </c>
      <c r="L59" s="193">
        <f t="shared" si="11"/>
        <v>249.16428613625646</v>
      </c>
      <c r="M59" s="194">
        <f t="shared" si="12"/>
        <v>251.45878158414791</v>
      </c>
      <c r="N59" s="194">
        <f t="shared" si="13"/>
        <v>299.94157701155666</v>
      </c>
      <c r="O59" s="195">
        <f>IF(ABS(U59)&gt;80,$B$7, LOOKUP(V59,'Force mapping'!$B$7:$B$167,'Force mapping'!$J$7:$J$167))</f>
        <v>579</v>
      </c>
      <c r="P59" s="196">
        <f t="shared" si="4"/>
        <v>0.67325581395348832</v>
      </c>
      <c r="Q59" s="191">
        <f t="shared" si="5"/>
        <v>66.99993668310097</v>
      </c>
      <c r="R59" s="197">
        <f>IF(ABS(U59)&gt;80, 0, LOOKUP(V59,'Force mapping'!$B$7:$B$167,'Force mapping'!$I$7:$I$167) * (N59/5) * SIGN(U59))</f>
        <v>17.107467786431144</v>
      </c>
      <c r="S59" s="198">
        <f t="shared" si="6"/>
        <v>497.31011007067281</v>
      </c>
      <c r="T59" s="199">
        <f t="shared" si="14"/>
        <v>1.024623135095809</v>
      </c>
      <c r="U59" s="200">
        <f t="shared" si="15"/>
        <v>63.384402746795232</v>
      </c>
      <c r="V59" s="176">
        <f t="shared" si="7"/>
        <v>63.5</v>
      </c>
      <c r="Y59" s="91"/>
      <c r="Z59" s="88"/>
    </row>
    <row r="60" spans="5:26" ht="12.5" x14ac:dyDescent="0.25">
      <c r="E60" s="186">
        <f t="shared" si="8"/>
        <v>56</v>
      </c>
      <c r="F60" s="187">
        <f t="shared" si="0"/>
        <v>2.8000000000000003</v>
      </c>
      <c r="G60" s="188">
        <f t="shared" si="1"/>
        <v>3.4732558139534886</v>
      </c>
      <c r="H60" s="189">
        <f t="shared" si="2"/>
        <v>207.72194683957213</v>
      </c>
      <c r="I60" s="190">
        <f t="shared" si="9"/>
        <v>0.95552095546203175</v>
      </c>
      <c r="J60" s="191">
        <f t="shared" si="10"/>
        <v>29.11007400831306</v>
      </c>
      <c r="K60" s="192" t="b">
        <f t="shared" si="3"/>
        <v>1</v>
      </c>
      <c r="L60" s="193">
        <f t="shared" si="11"/>
        <v>245.32811787477496</v>
      </c>
      <c r="M60" s="194">
        <f t="shared" si="12"/>
        <v>247.59646344724294</v>
      </c>
      <c r="N60" s="194">
        <f t="shared" si="13"/>
        <v>296.34095489864029</v>
      </c>
      <c r="O60" s="195">
        <f>IF(ABS(U60)&gt;80,$B$7, LOOKUP(V60,'Force mapping'!$B$7:$B$167,'Force mapping'!$J$7:$J$167))</f>
        <v>579</v>
      </c>
      <c r="P60" s="196">
        <f t="shared" si="4"/>
        <v>0.67325581395348832</v>
      </c>
      <c r="Q60" s="191">
        <f t="shared" si="5"/>
        <v>66.195641873462506</v>
      </c>
      <c r="R60" s="197">
        <f>IF(ABS(U60)&gt;80, 0, LOOKUP(V60,'Force mapping'!$B$7:$B$167,'Force mapping'!$I$7:$I$167) * (N60/5) * SIGN(U60))</f>
        <v>16.902102703598846</v>
      </c>
      <c r="S60" s="198">
        <f t="shared" si="6"/>
        <v>491.3401948720595</v>
      </c>
      <c r="T60" s="199">
        <f t="shared" si="14"/>
        <v>1.0494886405993427</v>
      </c>
      <c r="U60" s="200">
        <f t="shared" si="15"/>
        <v>63.320738837288673</v>
      </c>
      <c r="V60" s="176">
        <f t="shared" si="7"/>
        <v>63.5</v>
      </c>
      <c r="Y60" s="91"/>
      <c r="Z60" s="88"/>
    </row>
    <row r="61" spans="5:26" ht="12.5" x14ac:dyDescent="0.25">
      <c r="E61" s="186">
        <f t="shared" si="8"/>
        <v>57</v>
      </c>
      <c r="F61" s="187">
        <f t="shared" si="0"/>
        <v>2.85</v>
      </c>
      <c r="G61" s="188">
        <f t="shared" si="1"/>
        <v>3.5232558139534884</v>
      </c>
      <c r="H61" s="189">
        <f t="shared" si="2"/>
        <v>204.50084950371735</v>
      </c>
      <c r="I61" s="190">
        <f t="shared" si="9"/>
        <v>0.94070390771709977</v>
      </c>
      <c r="J61" s="191">
        <f t="shared" si="10"/>
        <v>28.214267126154198</v>
      </c>
      <c r="K61" s="192" t="b">
        <f t="shared" si="3"/>
        <v>1</v>
      </c>
      <c r="L61" s="193">
        <f t="shared" si="11"/>
        <v>241.53714748787456</v>
      </c>
      <c r="M61" s="194">
        <f t="shared" si="12"/>
        <v>243.77909439284088</v>
      </c>
      <c r="N61" s="194">
        <f t="shared" si="13"/>
        <v>292.7208976751341</v>
      </c>
      <c r="O61" s="195">
        <f>IF(ABS(U61)&gt;80,$B$7, LOOKUP(V61,'Force mapping'!$B$7:$B$167,'Force mapping'!$J$7:$J$167))</f>
        <v>579</v>
      </c>
      <c r="P61" s="196">
        <f t="shared" si="4"/>
        <v>0.67325581395348832</v>
      </c>
      <c r="Q61" s="191">
        <f t="shared" si="5"/>
        <v>65.387005714445536</v>
      </c>
      <c r="R61" s="197">
        <f>IF(ABS(U61)&gt;80, 0, LOOKUP(V61,'Force mapping'!$B$7:$B$167,'Force mapping'!$I$7:$I$167) * (N61/5) * SIGN(U61))</f>
        <v>16.695629119798948</v>
      </c>
      <c r="S61" s="198">
        <f t="shared" si="6"/>
        <v>485.33805580810895</v>
      </c>
      <c r="T61" s="199">
        <f t="shared" si="14"/>
        <v>1.0740556503429457</v>
      </c>
      <c r="U61" s="200">
        <f t="shared" si="15"/>
        <v>63.255980900386902</v>
      </c>
      <c r="V61" s="176">
        <f t="shared" si="7"/>
        <v>63.5</v>
      </c>
      <c r="Y61" s="91"/>
      <c r="Z61" s="88"/>
    </row>
    <row r="62" spans="5:26" ht="12.5" x14ac:dyDescent="0.25">
      <c r="E62" s="186">
        <f t="shared" si="8"/>
        <v>58</v>
      </c>
      <c r="F62" s="187">
        <f t="shared" si="0"/>
        <v>2.9000000000000004</v>
      </c>
      <c r="G62" s="188">
        <f t="shared" si="1"/>
        <v>3.5802325581395351</v>
      </c>
      <c r="H62" s="189">
        <f t="shared" si="2"/>
        <v>201.31910061594414</v>
      </c>
      <c r="I62" s="190">
        <f t="shared" si="9"/>
        <v>0.92606786283334308</v>
      </c>
      <c r="J62" s="191">
        <f t="shared" si="10"/>
        <v>27.343147426421083</v>
      </c>
      <c r="K62" s="192" t="b">
        <f t="shared" si="3"/>
        <v>1</v>
      </c>
      <c r="L62" s="193">
        <f t="shared" si="11"/>
        <v>237.79168546943879</v>
      </c>
      <c r="M62" s="194">
        <f t="shared" si="12"/>
        <v>240.00702677109757</v>
      </c>
      <c r="N62" s="194">
        <f t="shared" si="13"/>
        <v>289.08618689596551</v>
      </c>
      <c r="O62" s="195">
        <f>IF(ABS(U62)&gt;80,$B$7, LOOKUP(V62,'Force mapping'!$B$7:$B$167,'Force mapping'!$J$7:$J$167))</f>
        <v>585</v>
      </c>
      <c r="P62" s="196">
        <f t="shared" si="4"/>
        <v>0.68023255813953498</v>
      </c>
      <c r="Q62" s="191">
        <f t="shared" si="5"/>
        <v>64.575096293644236</v>
      </c>
      <c r="R62" s="197">
        <f>IF(ABS(U62)&gt;80, 0, LOOKUP(V62,'Force mapping'!$B$7:$B$167,'Force mapping'!$I$7:$I$167) * (N62/5) * SIGN(U62))</f>
        <v>18.641433675799441</v>
      </c>
      <c r="S62" s="198">
        <f t="shared" si="6"/>
        <v>541.90214173835579</v>
      </c>
      <c r="T62" s="199">
        <f t="shared" si="14"/>
        <v>1.0983225531333511</v>
      </c>
      <c r="U62" s="200">
        <f t="shared" si="15"/>
        <v>63.190144666474552</v>
      </c>
      <c r="V62" s="176">
        <f t="shared" si="7"/>
        <v>63</v>
      </c>
      <c r="Y62" s="91"/>
      <c r="Z62" s="88"/>
    </row>
    <row r="63" spans="5:26" ht="12.5" x14ac:dyDescent="0.25">
      <c r="E63" s="186">
        <f t="shared" si="8"/>
        <v>59</v>
      </c>
      <c r="F63" s="187">
        <f t="shared" si="0"/>
        <v>2.95</v>
      </c>
      <c r="G63" s="188">
        <f t="shared" si="1"/>
        <v>3.6302325581395349</v>
      </c>
      <c r="H63" s="189">
        <f t="shared" si="2"/>
        <v>198.17685945403147</v>
      </c>
      <c r="I63" s="190">
        <f t="shared" si="9"/>
        <v>0.91161355348854478</v>
      </c>
      <c r="J63" s="191">
        <f t="shared" si="10"/>
        <v>26.496250715508818</v>
      </c>
      <c r="K63" s="192" t="b">
        <f t="shared" si="3"/>
        <v>1</v>
      </c>
      <c r="L63" s="193">
        <f t="shared" si="11"/>
        <v>234.09197746040016</v>
      </c>
      <c r="M63" s="194">
        <f t="shared" si="12"/>
        <v>236.28054570535821</v>
      </c>
      <c r="N63" s="194">
        <f t="shared" si="13"/>
        <v>285.47865888678717</v>
      </c>
      <c r="O63" s="195">
        <f>IF(ABS(U63)&gt;80,$B$7, LOOKUP(V63,'Force mapping'!$B$7:$B$167,'Force mapping'!$J$7:$J$167))</f>
        <v>585</v>
      </c>
      <c r="P63" s="196">
        <f t="shared" si="4"/>
        <v>0.68023255813953498</v>
      </c>
      <c r="Q63" s="191">
        <f t="shared" si="5"/>
        <v>63.769258868217392</v>
      </c>
      <c r="R63" s="197">
        <f>IF(ABS(U63)&gt;80, 0, LOOKUP(V63,'Force mapping'!$B$7:$B$167,'Force mapping'!$I$7:$I$167) * (N63/5) * SIGN(U63))</f>
        <v>18.408805839655585</v>
      </c>
      <c r="S63" s="198">
        <f t="shared" si="6"/>
        <v>535.13970464115073</v>
      </c>
      <c r="T63" s="199">
        <f t="shared" si="14"/>
        <v>1.125417660220269</v>
      </c>
      <c r="U63" s="200">
        <f t="shared" si="15"/>
        <v>63.121680985274423</v>
      </c>
      <c r="V63" s="176">
        <f t="shared" si="7"/>
        <v>63</v>
      </c>
      <c r="Y63" s="91"/>
      <c r="Z63" s="88"/>
    </row>
    <row r="64" spans="5:26" ht="12.5" x14ac:dyDescent="0.25">
      <c r="E64" s="186">
        <f t="shared" si="8"/>
        <v>60</v>
      </c>
      <c r="F64" s="187">
        <f t="shared" si="0"/>
        <v>3</v>
      </c>
      <c r="G64" s="188">
        <f t="shared" si="1"/>
        <v>3.6802325581395348</v>
      </c>
      <c r="H64" s="189">
        <f t="shared" si="2"/>
        <v>195.07383055308816</v>
      </c>
      <c r="I64" s="190">
        <f t="shared" si="9"/>
        <v>0.89733962054420546</v>
      </c>
      <c r="J64" s="191">
        <f t="shared" si="10"/>
        <v>25.672996705451141</v>
      </c>
      <c r="K64" s="192" t="b">
        <f t="shared" si="3"/>
        <v>1</v>
      </c>
      <c r="L64" s="193">
        <f t="shared" si="11"/>
        <v>230.43820866747845</v>
      </c>
      <c r="M64" s="194">
        <f t="shared" si="12"/>
        <v>232.59987337149397</v>
      </c>
      <c r="N64" s="194">
        <f t="shared" si="13"/>
        <v>281.8623873196052</v>
      </c>
      <c r="O64" s="195">
        <f>IF(ABS(U64)&gt;80,$B$7, LOOKUP(V64,'Force mapping'!$B$7:$B$167,'Force mapping'!$J$7:$J$167))</f>
        <v>585</v>
      </c>
      <c r="P64" s="196">
        <f t="shared" si="4"/>
        <v>0.68023255813953498</v>
      </c>
      <c r="Q64" s="191">
        <f t="shared" si="5"/>
        <v>62.9614683363274</v>
      </c>
      <c r="R64" s="197">
        <f>IF(ABS(U64)&gt;80, 0, LOOKUP(V64,'Force mapping'!$B$7:$B$167,'Force mapping'!$I$7:$I$167) * (N64/5) * SIGN(U64))</f>
        <v>18.175614183917421</v>
      </c>
      <c r="S64" s="198">
        <f t="shared" si="6"/>
        <v>528.36087743945995</v>
      </c>
      <c r="T64" s="199">
        <f t="shared" si="14"/>
        <v>1.1521746454523265</v>
      </c>
      <c r="U64" s="200">
        <f t="shared" si="15"/>
        <v>63.052031609647379</v>
      </c>
      <c r="V64" s="176">
        <f t="shared" si="7"/>
        <v>63</v>
      </c>
      <c r="Y64" s="91"/>
      <c r="Z64" s="88"/>
    </row>
    <row r="65" spans="5:26" ht="12.5" x14ac:dyDescent="0.25">
      <c r="E65" s="186">
        <f t="shared" si="8"/>
        <v>61</v>
      </c>
      <c r="F65" s="187">
        <f t="shared" si="0"/>
        <v>3.0500000000000003</v>
      </c>
      <c r="G65" s="188">
        <f t="shared" si="1"/>
        <v>3.7302325581395355</v>
      </c>
      <c r="H65" s="189">
        <f t="shared" si="2"/>
        <v>192.01010895178808</v>
      </c>
      <c r="I65" s="190">
        <f t="shared" si="9"/>
        <v>0.88324650117822523</v>
      </c>
      <c r="J65" s="191">
        <f t="shared" si="10"/>
        <v>24.872917483337854</v>
      </c>
      <c r="K65" s="192" t="b">
        <f t="shared" si="3"/>
        <v>1</v>
      </c>
      <c r="L65" s="193">
        <f t="shared" si="11"/>
        <v>226.8300355268467</v>
      </c>
      <c r="M65" s="194">
        <f t="shared" si="12"/>
        <v>228.9648755293662</v>
      </c>
      <c r="N65" s="194">
        <f t="shared" si="13"/>
        <v>278.24138202085516</v>
      </c>
      <c r="O65" s="195">
        <f>IF(ABS(U65)&gt;80,$B$7, LOOKUP(V65,'Force mapping'!$B$7:$B$167,'Force mapping'!$J$7:$J$167))</f>
        <v>585</v>
      </c>
      <c r="P65" s="196">
        <f t="shared" si="4"/>
        <v>0.68023255813953498</v>
      </c>
      <c r="Q65" s="191">
        <f t="shared" si="5"/>
        <v>62.152620399463743</v>
      </c>
      <c r="R65" s="197">
        <f>IF(ABS(U65)&gt;80, 0, LOOKUP(V65,'Force mapping'!$B$7:$B$167,'Force mapping'!$I$7:$I$167) * (N65/5) * SIGN(U65))</f>
        <v>17.942117278232821</v>
      </c>
      <c r="S65" s="198">
        <f t="shared" si="6"/>
        <v>521.57317669281463</v>
      </c>
      <c r="T65" s="199">
        <f t="shared" si="14"/>
        <v>1.1785926893242995</v>
      </c>
      <c r="U65" s="200">
        <f t="shared" si="15"/>
        <v>62.981213855438774</v>
      </c>
      <c r="V65" s="176">
        <f t="shared" si="7"/>
        <v>63</v>
      </c>
      <c r="Y65" s="91"/>
      <c r="Z65" s="88"/>
    </row>
    <row r="66" spans="5:26" ht="12.5" x14ac:dyDescent="0.25">
      <c r="E66" s="186">
        <f t="shared" si="8"/>
        <v>62</v>
      </c>
      <c r="F66" s="187">
        <f t="shared" si="0"/>
        <v>3.1</v>
      </c>
      <c r="G66" s="188">
        <f t="shared" si="1"/>
        <v>3.7802325581395353</v>
      </c>
      <c r="H66" s="189">
        <f t="shared" si="2"/>
        <v>188.98574610373532</v>
      </c>
      <c r="I66" s="190">
        <f t="shared" si="9"/>
        <v>0.86933443207718253</v>
      </c>
      <c r="J66" s="191">
        <f t="shared" si="10"/>
        <v>24.095538694812291</v>
      </c>
      <c r="K66" s="192" t="b">
        <f t="shared" si="3"/>
        <v>1</v>
      </c>
      <c r="L66" s="193">
        <f t="shared" si="11"/>
        <v>223.26756854859079</v>
      </c>
      <c r="M66" s="194">
        <f t="shared" si="12"/>
        <v>225.3755721314777</v>
      </c>
      <c r="N66" s="194">
        <f t="shared" si="13"/>
        <v>274.61934821036965</v>
      </c>
      <c r="O66" s="195">
        <f>IF(ABS(U66)&gt;80,$B$7, LOOKUP(V66,'Force mapping'!$B$7:$B$167,'Force mapping'!$J$7:$J$167))</f>
        <v>585</v>
      </c>
      <c r="P66" s="196">
        <f t="shared" si="4"/>
        <v>0.68023255813953498</v>
      </c>
      <c r="Q66" s="191">
        <f t="shared" si="5"/>
        <v>61.343542717121537</v>
      </c>
      <c r="R66" s="197">
        <f>IF(ABS(U66)&gt;80, 0, LOOKUP(V66,'Force mapping'!$B$7:$B$167,'Force mapping'!$I$7:$I$167) * (N66/5) * SIGN(U66))</f>
        <v>17.708554049997478</v>
      </c>
      <c r="S66" s="198">
        <f t="shared" si="6"/>
        <v>514.783547965043</v>
      </c>
      <c r="T66" s="199">
        <f t="shared" si="14"/>
        <v>1.2046713481589402</v>
      </c>
      <c r="U66" s="200">
        <f t="shared" si="15"/>
        <v>62.90924489155524</v>
      </c>
      <c r="V66" s="176">
        <f t="shared" si="7"/>
        <v>63</v>
      </c>
      <c r="Y66" s="91"/>
      <c r="Z66" s="88"/>
    </row>
    <row r="67" spans="5:26" ht="12.5" x14ac:dyDescent="0.25">
      <c r="E67" s="186">
        <f t="shared" si="8"/>
        <v>63</v>
      </c>
      <c r="F67" s="187">
        <f t="shared" si="0"/>
        <v>3.1500000000000004</v>
      </c>
      <c r="G67" s="188">
        <f t="shared" si="1"/>
        <v>3.8302325581395351</v>
      </c>
      <c r="H67" s="189">
        <f t="shared" si="2"/>
        <v>186.00075318840524</v>
      </c>
      <c r="I67" s="190">
        <f t="shared" si="9"/>
        <v>0.85560346466666404</v>
      </c>
      <c r="J67" s="191">
        <f t="shared" si="10"/>
        <v>23.340381303190448</v>
      </c>
      <c r="K67" s="192" t="b">
        <f t="shared" si="3"/>
        <v>1</v>
      </c>
      <c r="L67" s="193">
        <f t="shared" si="11"/>
        <v>219.75086756248294</v>
      </c>
      <c r="M67" s="194">
        <f t="shared" si="12"/>
        <v>221.832008253011</v>
      </c>
      <c r="N67" s="194">
        <f t="shared" si="13"/>
        <v>270.99972022508359</v>
      </c>
      <c r="O67" s="195">
        <f>IF(ABS(U67)&gt;80,$B$7, LOOKUP(V67,'Force mapping'!$B$7:$B$167,'Force mapping'!$J$7:$J$167))</f>
        <v>585</v>
      </c>
      <c r="P67" s="196">
        <f t="shared" si="4"/>
        <v>0.68023255813953498</v>
      </c>
      <c r="Q67" s="191">
        <f t="shared" si="5"/>
        <v>60.5350024398888</v>
      </c>
      <c r="R67" s="197">
        <f>IF(ABS(U67)&gt;80, 0, LOOKUP(V67,'Force mapping'!$B$7:$B$167,'Force mapping'!$I$7:$I$167) * (N67/5) * SIGN(U67))</f>
        <v>17.47514595899429</v>
      </c>
      <c r="S67" s="198">
        <f t="shared" si="6"/>
        <v>507.99842904053168</v>
      </c>
      <c r="T67" s="199">
        <f t="shared" si="14"/>
        <v>1.2304105255571922</v>
      </c>
      <c r="U67" s="200">
        <f t="shared" si="15"/>
        <v>62.836141735448166</v>
      </c>
      <c r="V67" s="176">
        <f t="shared" si="7"/>
        <v>63</v>
      </c>
      <c r="Y67" s="91"/>
      <c r="Z67" s="88"/>
    </row>
    <row r="68" spans="5:26" ht="12.5" x14ac:dyDescent="0.25">
      <c r="E68" s="186">
        <f t="shared" si="8"/>
        <v>64</v>
      </c>
      <c r="F68" s="187">
        <f t="shared" si="0"/>
        <v>3.2</v>
      </c>
      <c r="G68" s="188">
        <f t="shared" si="1"/>
        <v>3.8802325581395349</v>
      </c>
      <c r="H68" s="189">
        <f t="shared" si="2"/>
        <v>183.05510405552388</v>
      </c>
      <c r="I68" s="190">
        <f t="shared" si="9"/>
        <v>0.8420534786554098</v>
      </c>
      <c r="J68" s="191">
        <f t="shared" si="10"/>
        <v>22.606963144394452</v>
      </c>
      <c r="K68" s="192" t="b">
        <f t="shared" si="3"/>
        <v>1</v>
      </c>
      <c r="L68" s="193">
        <f t="shared" si="11"/>
        <v>216.27994556791307</v>
      </c>
      <c r="M68" s="194">
        <f t="shared" si="12"/>
        <v>218.33420876139931</v>
      </c>
      <c r="N68" s="194">
        <f t="shared" si="13"/>
        <v>267.38568327670902</v>
      </c>
      <c r="O68" s="195">
        <f>IF(ABS(U68)&gt;80,$B$7, LOOKUP(V68,'Force mapping'!$B$7:$B$167,'Force mapping'!$J$7:$J$167))</f>
        <v>585</v>
      </c>
      <c r="P68" s="196">
        <f t="shared" si="4"/>
        <v>0.68023255813953498</v>
      </c>
      <c r="Q68" s="191">
        <f t="shared" si="5"/>
        <v>59.727711069602528</v>
      </c>
      <c r="R68" s="197">
        <f>IF(ABS(U68)&gt;80, 0, LOOKUP(V68,'Force mapping'!$B$7:$B$167,'Force mapping'!$I$7:$I$167) * (N68/5) * SIGN(U68))</f>
        <v>17.242098400415301</v>
      </c>
      <c r="S68" s="198">
        <f t="shared" si="6"/>
        <v>501.22379070974711</v>
      </c>
      <c r="T68" s="199">
        <f t="shared" si="14"/>
        <v>1.2558104470092188</v>
      </c>
      <c r="U68" s="200">
        <f t="shared" si="15"/>
        <v>62.761921248444295</v>
      </c>
      <c r="V68" s="176">
        <f t="shared" si="7"/>
        <v>63</v>
      </c>
      <c r="Y68" s="91"/>
      <c r="Z68" s="88"/>
    </row>
    <row r="69" spans="5:26" ht="12.5" x14ac:dyDescent="0.25">
      <c r="E69" s="186">
        <f t="shared" si="8"/>
        <v>65</v>
      </c>
      <c r="F69" s="187">
        <f t="shared" si="0"/>
        <v>3.25</v>
      </c>
      <c r="G69" s="188">
        <f t="shared" si="1"/>
        <v>3.9395348837209303</v>
      </c>
      <c r="H69" s="189">
        <f t="shared" si="2"/>
        <v>180.14873793295095</v>
      </c>
      <c r="I69" s="190">
        <f t="shared" si="9"/>
        <v>0.82868419449157438</v>
      </c>
      <c r="J69" s="191">
        <f t="shared" si="10"/>
        <v>21.894800323046073</v>
      </c>
      <c r="K69" s="192" t="b">
        <f t="shared" si="3"/>
        <v>1</v>
      </c>
      <c r="L69" s="193">
        <f t="shared" si="11"/>
        <v>212.85477215758593</v>
      </c>
      <c r="M69" s="194">
        <f t="shared" si="12"/>
        <v>214.88216370099687</v>
      </c>
      <c r="N69" s="194">
        <f t="shared" si="13"/>
        <v>263.78019027814781</v>
      </c>
      <c r="O69" s="195">
        <f>IF(ABS(U69)&gt;80,$B$7, LOOKUP(V69,'Force mapping'!$B$7:$B$167,'Force mapping'!$J$7:$J$167))</f>
        <v>593</v>
      </c>
      <c r="P69" s="196">
        <f t="shared" si="4"/>
        <v>0.68953488372093019</v>
      </c>
      <c r="Q69" s="191">
        <f t="shared" si="5"/>
        <v>58.922328217975874</v>
      </c>
      <c r="R69" s="197">
        <f>IF(ABS(U69)&gt;80, 0, LOOKUP(V69,'Force mapping'!$B$7:$B$167,'Force mapping'!$I$7:$I$167) * (N69/5) * SIGN(U69))</f>
        <v>19.206890774913052</v>
      </c>
      <c r="S69" s="198">
        <f t="shared" si="6"/>
        <v>558.33984810793754</v>
      </c>
      <c r="T69" s="199">
        <f t="shared" si="14"/>
        <v>1.2808716365447061</v>
      </c>
      <c r="U69" s="200">
        <f t="shared" si="15"/>
        <v>62.686600131326088</v>
      </c>
      <c r="V69" s="176">
        <f t="shared" si="7"/>
        <v>62.5</v>
      </c>
      <c r="Y69" s="91"/>
      <c r="Z69" s="88"/>
    </row>
    <row r="70" spans="5:26" ht="12.5" x14ac:dyDescent="0.25">
      <c r="E70" s="186">
        <f t="shared" si="8"/>
        <v>66</v>
      </c>
      <c r="F70" s="187">
        <f t="shared" si="0"/>
        <v>3.3000000000000003</v>
      </c>
      <c r="G70" s="188">
        <f t="shared" si="1"/>
        <v>3.9895348837209306</v>
      </c>
      <c r="H70" s="189">
        <f t="shared" si="2"/>
        <v>177.28156195166676</v>
      </c>
      <c r="I70" s="190">
        <f t="shared" si="9"/>
        <v>0.81549518497766704</v>
      </c>
      <c r="J70" s="191">
        <f t="shared" si="10"/>
        <v>21.203408472270308</v>
      </c>
      <c r="K70" s="192" t="b">
        <f t="shared" si="3"/>
        <v>1</v>
      </c>
      <c r="L70" s="193">
        <f t="shared" si="11"/>
        <v>209.47527666622204</v>
      </c>
      <c r="M70" s="194">
        <f t="shared" si="12"/>
        <v>211.47582486908874</v>
      </c>
      <c r="N70" s="194">
        <f t="shared" si="13"/>
        <v>260.23446491083331</v>
      </c>
      <c r="O70" s="195">
        <f>IF(ABS(U70)&gt;80,$B$7, LOOKUP(V70,'Force mapping'!$B$7:$B$167,'Force mapping'!$J$7:$J$167))</f>
        <v>593</v>
      </c>
      <c r="P70" s="196">
        <f t="shared" si="4"/>
        <v>0.68953488372093019</v>
      </c>
      <c r="Q70" s="191">
        <f t="shared" si="5"/>
        <v>58.130296058004326</v>
      </c>
      <c r="R70" s="197">
        <f>IF(ABS(U70)&gt;80, 0, LOOKUP(V70,'Force mapping'!$B$7:$B$167,'Force mapping'!$I$7:$I$167) * (N70/5) * SIGN(U70))</f>
        <v>18.948712328017418</v>
      </c>
      <c r="S70" s="198">
        <f t="shared" si="6"/>
        <v>550.83466069818076</v>
      </c>
      <c r="T70" s="199">
        <f t="shared" si="14"/>
        <v>1.308788628950103</v>
      </c>
      <c r="U70" s="200">
        <f t="shared" si="15"/>
        <v>62.608598053296156</v>
      </c>
      <c r="V70" s="176">
        <f t="shared" si="7"/>
        <v>62.5</v>
      </c>
      <c r="Y70" s="91"/>
      <c r="Z70" s="88"/>
    </row>
    <row r="71" spans="5:26" ht="12.5" x14ac:dyDescent="0.25">
      <c r="E71" s="186">
        <f t="shared" si="8"/>
        <v>67</v>
      </c>
      <c r="F71" s="187">
        <f t="shared" si="0"/>
        <v>3.35</v>
      </c>
      <c r="G71" s="188">
        <f t="shared" si="1"/>
        <v>4.0395348837209299</v>
      </c>
      <c r="H71" s="189">
        <f t="shared" si="2"/>
        <v>174.45292646350552</v>
      </c>
      <c r="I71" s="190">
        <f t="shared" si="9"/>
        <v>0.80248346173212537</v>
      </c>
      <c r="J71" s="191">
        <f t="shared" si="10"/>
        <v>20.53217982909851</v>
      </c>
      <c r="K71" s="192" t="b">
        <f t="shared" si="3"/>
        <v>1</v>
      </c>
      <c r="L71" s="193">
        <f t="shared" si="11"/>
        <v>206.14135110658927</v>
      </c>
      <c r="M71" s="194">
        <f t="shared" si="12"/>
        <v>208.11510639871406</v>
      </c>
      <c r="N71" s="194">
        <f t="shared" si="13"/>
        <v>256.69884683023463</v>
      </c>
      <c r="O71" s="195">
        <f>IF(ABS(U71)&gt;80,$B$7, LOOKUP(V71,'Force mapping'!$B$7:$B$167,'Force mapping'!$J$7:$J$167))</f>
        <v>593</v>
      </c>
      <c r="P71" s="196">
        <f t="shared" si="4"/>
        <v>0.68953488372093019</v>
      </c>
      <c r="Q71" s="191">
        <f t="shared" si="5"/>
        <v>57.340521629610855</v>
      </c>
      <c r="R71" s="197">
        <f>IF(ABS(U71)&gt;80, 0, LOOKUP(V71,'Force mapping'!$B$7:$B$167,'Force mapping'!$I$7:$I$167) * (N71/5) * SIGN(U71))</f>
        <v>18.691269833096705</v>
      </c>
      <c r="S71" s="198">
        <f t="shared" si="6"/>
        <v>543.35086724118332</v>
      </c>
      <c r="T71" s="199">
        <f t="shared" si="14"/>
        <v>1.336330361985012</v>
      </c>
      <c r="U71" s="200">
        <f t="shared" si="15"/>
        <v>62.529387755331193</v>
      </c>
      <c r="V71" s="176">
        <f t="shared" si="7"/>
        <v>62.5</v>
      </c>
      <c r="Y71" s="91"/>
      <c r="Z71" s="88"/>
    </row>
    <row r="72" spans="5:26" ht="12.5" x14ac:dyDescent="0.25">
      <c r="E72" s="186">
        <f t="shared" si="8"/>
        <v>68</v>
      </c>
      <c r="F72" s="187">
        <f t="shared" si="0"/>
        <v>3.4000000000000004</v>
      </c>
      <c r="G72" s="188">
        <f t="shared" si="1"/>
        <v>4.0895348837209307</v>
      </c>
      <c r="H72" s="189">
        <f t="shared" si="2"/>
        <v>171.66272160665514</v>
      </c>
      <c r="I72" s="190">
        <f t="shared" si="9"/>
        <v>0.78964851939061365</v>
      </c>
      <c r="J72" s="191">
        <f t="shared" si="10"/>
        <v>19.880647656875688</v>
      </c>
      <c r="K72" s="192" t="b">
        <f t="shared" si="3"/>
        <v>1</v>
      </c>
      <c r="L72" s="193">
        <f t="shared" si="11"/>
        <v>202.85224007384363</v>
      </c>
      <c r="M72" s="194">
        <f t="shared" si="12"/>
        <v>204.79950061404568</v>
      </c>
      <c r="N72" s="194">
        <f t="shared" si="13"/>
        <v>253.1759111834296</v>
      </c>
      <c r="O72" s="195">
        <f>IF(ABS(U72)&gt;80,$B$7, LOOKUP(V72,'Force mapping'!$B$7:$B$167,'Force mapping'!$J$7:$J$167))</f>
        <v>593</v>
      </c>
      <c r="P72" s="196">
        <f t="shared" si="4"/>
        <v>0.68953488372093019</v>
      </c>
      <c r="Q72" s="191">
        <f t="shared" si="5"/>
        <v>56.553580160454409</v>
      </c>
      <c r="R72" s="197">
        <f>IF(ABS(U72)&gt;80, 0, LOOKUP(V72,'Force mapping'!$B$7:$B$167,'Force mapping'!$I$7:$I$167) * (N72/5) * SIGN(U72))</f>
        <v>18.434750796910244</v>
      </c>
      <c r="S72" s="198">
        <f t="shared" si="6"/>
        <v>535.89391851483265</v>
      </c>
      <c r="T72" s="199">
        <f t="shared" si="14"/>
        <v>1.363497905347071</v>
      </c>
      <c r="U72" s="200">
        <f t="shared" si="15"/>
        <v>62.448987465550914</v>
      </c>
      <c r="V72" s="176">
        <f t="shared" si="7"/>
        <v>62.5</v>
      </c>
      <c r="Y72" s="91"/>
      <c r="Z72" s="88"/>
    </row>
    <row r="73" spans="5:26" ht="12.5" x14ac:dyDescent="0.25">
      <c r="E73" s="186">
        <f t="shared" si="8"/>
        <v>69</v>
      </c>
      <c r="F73" s="187">
        <f t="shared" si="0"/>
        <v>3.45</v>
      </c>
      <c r="G73" s="188">
        <f t="shared" si="1"/>
        <v>4.1395348837209305</v>
      </c>
      <c r="H73" s="189">
        <f t="shared" si="2"/>
        <v>168.91080952857439</v>
      </c>
      <c r="I73" s="190">
        <f t="shared" si="9"/>
        <v>0.77698972383144216</v>
      </c>
      <c r="J73" s="191">
        <f t="shared" si="10"/>
        <v>19.248346483790414</v>
      </c>
      <c r="K73" s="192" t="b">
        <f t="shared" si="3"/>
        <v>1</v>
      </c>
      <c r="L73" s="193">
        <f t="shared" si="11"/>
        <v>199.60781582169201</v>
      </c>
      <c r="M73" s="194">
        <f t="shared" si="12"/>
        <v>201.52873919486288</v>
      </c>
      <c r="N73" s="194">
        <f t="shared" si="13"/>
        <v>249.66800957384527</v>
      </c>
      <c r="O73" s="195">
        <f>IF(ABS(U73)&gt;80,$B$7, LOOKUP(V73,'Force mapping'!$B$7:$B$167,'Force mapping'!$J$7:$J$167))</f>
        <v>593</v>
      </c>
      <c r="P73" s="196">
        <f t="shared" si="4"/>
        <v>0.68953488372093019</v>
      </c>
      <c r="Q73" s="191">
        <f t="shared" si="5"/>
        <v>55.769996943768028</v>
      </c>
      <c r="R73" s="197">
        <f>IF(ABS(U73)&gt;80, 0, LOOKUP(V73,'Force mapping'!$B$7:$B$167,'Force mapping'!$I$7:$I$167) * (N73/5) * SIGN(U73))</f>
        <v>18.179326449109972</v>
      </c>
      <c r="S73" s="198">
        <f t="shared" si="6"/>
        <v>528.46879212528984</v>
      </c>
      <c r="T73" s="199">
        <f t="shared" si="14"/>
        <v>1.3902926012728127</v>
      </c>
      <c r="U73" s="200">
        <f t="shared" si="15"/>
        <v>62.367415222320687</v>
      </c>
      <c r="V73" s="176">
        <f t="shared" si="7"/>
        <v>62.5</v>
      </c>
      <c r="Y73" s="91"/>
      <c r="Z73" s="88"/>
    </row>
    <row r="74" spans="5:26" ht="12.5" x14ac:dyDescent="0.25">
      <c r="E74" s="186">
        <f t="shared" si="8"/>
        <v>70</v>
      </c>
      <c r="F74" s="187">
        <f t="shared" si="0"/>
        <v>3.5</v>
      </c>
      <c r="G74" s="188">
        <f t="shared" si="1"/>
        <v>4.1895348837209303</v>
      </c>
      <c r="H74" s="189">
        <f t="shared" si="2"/>
        <v>166.19702681581521</v>
      </c>
      <c r="I74" s="190">
        <f t="shared" si="9"/>
        <v>0.76450632335274993</v>
      </c>
      <c r="J74" s="191">
        <f t="shared" si="10"/>
        <v>18.634813103333986</v>
      </c>
      <c r="K74" s="192" t="b">
        <f t="shared" si="3"/>
        <v>1</v>
      </c>
      <c r="L74" s="193">
        <f t="shared" si="11"/>
        <v>196.40791805648186</v>
      </c>
      <c r="M74" s="194">
        <f t="shared" si="12"/>
        <v>198.30262187768284</v>
      </c>
      <c r="N74" s="194">
        <f t="shared" si="13"/>
        <v>246.17730362730859</v>
      </c>
      <c r="O74" s="195">
        <f>IF(ABS(U74)&gt;80,$B$7, LOOKUP(V74,'Force mapping'!$B$7:$B$167,'Force mapping'!$J$7:$J$167))</f>
        <v>593</v>
      </c>
      <c r="P74" s="196">
        <f t="shared" si="4"/>
        <v>0.68953488372093019</v>
      </c>
      <c r="Q74" s="191">
        <f t="shared" si="5"/>
        <v>54.990254836229965</v>
      </c>
      <c r="R74" s="197">
        <f>IF(ABS(U74)&gt;80, 0, LOOKUP(V74,'Force mapping'!$B$7:$B$167,'Force mapping'!$I$7:$I$167) * (N74/5) * SIGN(U74))</f>
        <v>17.925154186318849</v>
      </c>
      <c r="S74" s="198">
        <f t="shared" si="6"/>
        <v>521.0800635557805</v>
      </c>
      <c r="T74" s="199">
        <f t="shared" si="14"/>
        <v>1.4167160408790773</v>
      </c>
      <c r="U74" s="200">
        <f t="shared" si="15"/>
        <v>62.284688872453913</v>
      </c>
      <c r="V74" s="176">
        <f t="shared" si="7"/>
        <v>62.5</v>
      </c>
      <c r="Y74" s="91"/>
      <c r="Z74" s="88"/>
    </row>
    <row r="75" spans="5:26" ht="12.5" x14ac:dyDescent="0.25">
      <c r="E75" s="186">
        <f t="shared" si="8"/>
        <v>71</v>
      </c>
      <c r="F75" s="187">
        <f t="shared" si="0"/>
        <v>3.5500000000000003</v>
      </c>
      <c r="G75" s="188">
        <f t="shared" si="1"/>
        <v>4.173</v>
      </c>
      <c r="H75" s="189">
        <f t="shared" si="2"/>
        <v>163.52118655899665</v>
      </c>
      <c r="I75" s="190">
        <f t="shared" si="9"/>
        <v>0.7521974581713845</v>
      </c>
      <c r="J75" s="191">
        <f t="shared" si="10"/>
        <v>18.03958742024772</v>
      </c>
      <c r="K75" s="192" t="b">
        <f t="shared" si="3"/>
        <v>0</v>
      </c>
      <c r="L75" s="193">
        <f t="shared" si="11"/>
        <v>0</v>
      </c>
      <c r="M75" s="194">
        <f t="shared" si="12"/>
        <v>73.37197009474265</v>
      </c>
      <c r="N75" s="194">
        <f t="shared" si="13"/>
        <v>242.70578370279947</v>
      </c>
      <c r="O75" s="195">
        <f>IF(ABS(U75)&gt;80,$B$7, LOOKUP(V75,'Force mapping'!$B$7:$B$167,'Force mapping'!$J$7:$J$167))</f>
        <v>601</v>
      </c>
      <c r="P75" s="196">
        <f t="shared" si="4"/>
        <v>0.623</v>
      </c>
      <c r="Q75" s="191">
        <f t="shared" si="5"/>
        <v>54.214798437508449</v>
      </c>
      <c r="R75" s="197">
        <f>IF(ABS(U75)&gt;80, 0, LOOKUP(V75,'Force mapping'!$B$7:$B$167,'Force mapping'!$I$7:$I$167) * (N75/5) * SIGN(U75))</f>
        <v>19.694118112779957</v>
      </c>
      <c r="S75" s="198">
        <f t="shared" si="6"/>
        <v>572.50343351104527</v>
      </c>
      <c r="T75" s="199">
        <f t="shared" si="14"/>
        <v>1.4427700440568663</v>
      </c>
      <c r="U75" s="200">
        <f t="shared" si="15"/>
        <v>62.200826068821065</v>
      </c>
      <c r="V75" s="176">
        <f t="shared" si="7"/>
        <v>62</v>
      </c>
      <c r="Y75" s="91"/>
      <c r="Z75" s="88"/>
    </row>
    <row r="76" spans="5:26" ht="12.5" x14ac:dyDescent="0.25">
      <c r="E76" s="186">
        <f t="shared" si="8"/>
        <v>72</v>
      </c>
      <c r="F76" s="187">
        <f t="shared" si="0"/>
        <v>3.6</v>
      </c>
      <c r="G76" s="188">
        <f t="shared" si="1"/>
        <v>4.2229999999999999</v>
      </c>
      <c r="H76" s="189">
        <f t="shared" si="2"/>
        <v>163.52118655899665</v>
      </c>
      <c r="I76" s="190">
        <f t="shared" si="9"/>
        <v>0.7521974581713845</v>
      </c>
      <c r="J76" s="191">
        <f t="shared" si="10"/>
        <v>18.03958742024772</v>
      </c>
      <c r="K76" s="192" t="b">
        <f t="shared" si="3"/>
        <v>0</v>
      </c>
      <c r="L76" s="193">
        <f t="shared" si="11"/>
        <v>0</v>
      </c>
      <c r="M76" s="194">
        <f t="shared" si="12"/>
        <v>27.147628935054783</v>
      </c>
      <c r="N76" s="194">
        <f t="shared" si="13"/>
        <v>229.11558999428769</v>
      </c>
      <c r="O76" s="195">
        <f>IF(ABS(U76)&gt;80,$B$7, LOOKUP(V76,'Force mapping'!$B$7:$B$167,'Force mapping'!$J$7:$J$167))</f>
        <v>601</v>
      </c>
      <c r="P76" s="196">
        <f t="shared" si="4"/>
        <v>0.623</v>
      </c>
      <c r="Q76" s="191">
        <f t="shared" si="5"/>
        <v>51.179066855866864</v>
      </c>
      <c r="R76" s="197">
        <f>IF(ABS(U76)&gt;80, 0, LOOKUP(V76,'Force mapping'!$B$7:$B$167,'Force mapping'!$I$7:$I$167) * (N76/5) * SIGN(U76))</f>
        <v>18.591355434496482</v>
      </c>
      <c r="S76" s="198">
        <f t="shared" si="6"/>
        <v>540.4463789097814</v>
      </c>
      <c r="T76" s="199">
        <f t="shared" si="14"/>
        <v>1.4713952157324186</v>
      </c>
      <c r="U76" s="200">
        <f t="shared" si="15"/>
        <v>62.114374980780447</v>
      </c>
      <c r="V76" s="176">
        <f t="shared" si="7"/>
        <v>62</v>
      </c>
      <c r="Y76" s="91"/>
      <c r="Z76" s="88"/>
    </row>
    <row r="77" spans="5:26" ht="12.5" x14ac:dyDescent="0.25">
      <c r="E77" s="186">
        <f t="shared" si="8"/>
        <v>73</v>
      </c>
      <c r="F77" s="187">
        <f t="shared" si="0"/>
        <v>3.6500000000000004</v>
      </c>
      <c r="G77" s="188">
        <f t="shared" si="1"/>
        <v>4.2730000000000006</v>
      </c>
      <c r="H77" s="189">
        <f t="shared" si="2"/>
        <v>163.52118655899665</v>
      </c>
      <c r="I77" s="190">
        <f t="shared" si="9"/>
        <v>0.7521974581713845</v>
      </c>
      <c r="J77" s="191">
        <f t="shared" si="10"/>
        <v>18.03958742024772</v>
      </c>
      <c r="K77" s="192" t="b">
        <f t="shared" si="3"/>
        <v>0</v>
      </c>
      <c r="L77" s="193">
        <f t="shared" si="11"/>
        <v>0</v>
      </c>
      <c r="M77" s="194">
        <f t="shared" si="12"/>
        <v>10.044622705970269</v>
      </c>
      <c r="N77" s="194">
        <f t="shared" si="13"/>
        <v>212.90628332821763</v>
      </c>
      <c r="O77" s="195">
        <f>IF(ABS(U77)&gt;80,$B$7, LOOKUP(V77,'Force mapping'!$B$7:$B$167,'Force mapping'!$J$7:$J$167))</f>
        <v>601</v>
      </c>
      <c r="P77" s="196">
        <f t="shared" si="4"/>
        <v>0.623</v>
      </c>
      <c r="Q77" s="191">
        <f t="shared" si="5"/>
        <v>47.558286665523937</v>
      </c>
      <c r="R77" s="197">
        <f>IF(ABS(U77)&gt;80, 0, LOOKUP(V77,'Force mapping'!$B$7:$B$167,'Force mapping'!$I$7:$I$167) * (N77/5) * SIGN(U77))</f>
        <v>17.27606745438489</v>
      </c>
      <c r="S77" s="198">
        <f t="shared" si="6"/>
        <v>502.2112632088631</v>
      </c>
      <c r="T77" s="199">
        <f t="shared" si="14"/>
        <v>1.4984175346779076</v>
      </c>
      <c r="U77" s="200">
        <f t="shared" si="15"/>
        <v>62.027294060521079</v>
      </c>
      <c r="V77" s="176">
        <f t="shared" si="7"/>
        <v>62</v>
      </c>
      <c r="Y77" s="91"/>
      <c r="Z77" s="88"/>
    </row>
    <row r="78" spans="5:26" ht="12.5" x14ac:dyDescent="0.25">
      <c r="E78" s="186">
        <f t="shared" si="8"/>
        <v>74</v>
      </c>
      <c r="F78" s="187">
        <f t="shared" si="0"/>
        <v>3.7</v>
      </c>
      <c r="G78" s="188">
        <f t="shared" si="1"/>
        <v>4.3230000000000004</v>
      </c>
      <c r="H78" s="189">
        <f t="shared" si="2"/>
        <v>163.52118655899665</v>
      </c>
      <c r="I78" s="190">
        <f t="shared" si="9"/>
        <v>0.7521974581713845</v>
      </c>
      <c r="J78" s="191">
        <f t="shared" si="10"/>
        <v>18.03958742024772</v>
      </c>
      <c r="K78" s="192" t="b">
        <f t="shared" si="3"/>
        <v>0</v>
      </c>
      <c r="L78" s="193">
        <f t="shared" si="11"/>
        <v>0</v>
      </c>
      <c r="M78" s="194">
        <f t="shared" si="12"/>
        <v>3.7165104012089998</v>
      </c>
      <c r="N78" s="194">
        <f t="shared" si="13"/>
        <v>196.62525117554929</v>
      </c>
      <c r="O78" s="195">
        <f>IF(ABS(U78)&gt;80,$B$7, LOOKUP(V78,'Force mapping'!$B$7:$B$167,'Force mapping'!$J$7:$J$167))</f>
        <v>601</v>
      </c>
      <c r="P78" s="196">
        <f t="shared" si="4"/>
        <v>0.623</v>
      </c>
      <c r="Q78" s="191">
        <f t="shared" si="5"/>
        <v>43.921484678174643</v>
      </c>
      <c r="R78" s="197">
        <f>IF(ABS(U78)&gt;80, 0, LOOKUP(V78,'Force mapping'!$B$7:$B$167,'Force mapping'!$I$7:$I$167) * (N78/5) * SIGN(U78))</f>
        <v>15.95495938138877</v>
      </c>
      <c r="S78" s="198">
        <f t="shared" si="6"/>
        <v>463.80695876130147</v>
      </c>
      <c r="T78" s="199">
        <f t="shared" si="14"/>
        <v>1.5235280978383507</v>
      </c>
      <c r="U78" s="200">
        <f t="shared" si="15"/>
        <v>61.939817902206961</v>
      </c>
      <c r="V78" s="176">
        <f t="shared" si="7"/>
        <v>62</v>
      </c>
      <c r="Y78" s="91"/>
      <c r="Z78" s="88"/>
    </row>
    <row r="79" spans="5:26" ht="12.5" x14ac:dyDescent="0.25">
      <c r="E79" s="186">
        <f t="shared" si="8"/>
        <v>75</v>
      </c>
      <c r="F79" s="187">
        <f t="shared" si="0"/>
        <v>3.75</v>
      </c>
      <c r="G79" s="188">
        <f t="shared" si="1"/>
        <v>4.3730000000000002</v>
      </c>
      <c r="H79" s="189">
        <f t="shared" si="2"/>
        <v>163.52118655899665</v>
      </c>
      <c r="I79" s="190">
        <f t="shared" si="9"/>
        <v>0.7521974581713845</v>
      </c>
      <c r="J79" s="191">
        <f t="shared" si="10"/>
        <v>18.03958742024772</v>
      </c>
      <c r="K79" s="192" t="b">
        <f t="shared" si="3"/>
        <v>0</v>
      </c>
      <c r="L79" s="193">
        <f t="shared" si="11"/>
        <v>0</v>
      </c>
      <c r="M79" s="194">
        <f t="shared" si="12"/>
        <v>1.3751088484473297</v>
      </c>
      <c r="N79" s="194">
        <f t="shared" si="13"/>
        <v>181.1430087378013</v>
      </c>
      <c r="O79" s="195">
        <f>IF(ABS(U79)&gt;80,$B$7, LOOKUP(V79,'Force mapping'!$B$7:$B$167,'Force mapping'!$J$7:$J$167))</f>
        <v>601</v>
      </c>
      <c r="P79" s="196">
        <f t="shared" si="4"/>
        <v>0.623</v>
      </c>
      <c r="Q79" s="191">
        <f t="shared" si="5"/>
        <v>40.463113640132235</v>
      </c>
      <c r="R79" s="197">
        <f>IF(ABS(U79)&gt;80, 0, LOOKUP(V79,'Force mapping'!$B$7:$B$167,'Force mapping'!$I$7:$I$167) * (N79/5) * SIGN(U79))</f>
        <v>14.698668301020149</v>
      </c>
      <c r="S79" s="198">
        <f t="shared" si="6"/>
        <v>427.28686921570198</v>
      </c>
      <c r="T79" s="199">
        <f t="shared" si="14"/>
        <v>1.5467184457764158</v>
      </c>
      <c r="U79" s="200">
        <f t="shared" si="15"/>
        <v>61.852046323346009</v>
      </c>
      <c r="V79" s="176">
        <f t="shared" si="7"/>
        <v>62</v>
      </c>
      <c r="Y79" s="91"/>
      <c r="Z79" s="88"/>
    </row>
    <row r="80" spans="5:26" ht="12.5" x14ac:dyDescent="0.25">
      <c r="E80" s="186">
        <f t="shared" si="8"/>
        <v>76</v>
      </c>
      <c r="F80" s="187">
        <f t="shared" si="0"/>
        <v>3.8000000000000003</v>
      </c>
      <c r="G80" s="188">
        <f t="shared" si="1"/>
        <v>4.423</v>
      </c>
      <c r="H80" s="189">
        <f t="shared" si="2"/>
        <v>163.52118655899665</v>
      </c>
      <c r="I80" s="190">
        <f t="shared" si="9"/>
        <v>0.7521974581713845</v>
      </c>
      <c r="J80" s="191">
        <f t="shared" si="10"/>
        <v>18.03958742024772</v>
      </c>
      <c r="K80" s="192" t="b">
        <f t="shared" si="3"/>
        <v>0</v>
      </c>
      <c r="L80" s="193">
        <f t="shared" si="11"/>
        <v>0</v>
      </c>
      <c r="M80" s="194">
        <f t="shared" si="12"/>
        <v>0.50879027392551202</v>
      </c>
      <c r="N80" s="194">
        <f t="shared" si="13"/>
        <v>166.71540842565412</v>
      </c>
      <c r="O80" s="195">
        <f>IF(ABS(U80)&gt;80,$B$7, LOOKUP(V80,'Force mapping'!$B$7:$B$167,'Force mapping'!$J$7:$J$167))</f>
        <v>601</v>
      </c>
      <c r="P80" s="196">
        <f t="shared" si="4"/>
        <v>0.623</v>
      </c>
      <c r="Q80" s="191">
        <f t="shared" si="5"/>
        <v>37.240324998977279</v>
      </c>
      <c r="R80" s="197">
        <f>IF(ABS(U80)&gt;80, 0, LOOKUP(V80,'Force mapping'!$B$7:$B$167,'Force mapping'!$I$7:$I$167) * (N80/5) * SIGN(U80))</f>
        <v>13.527955101291278</v>
      </c>
      <c r="S80" s="198">
        <f t="shared" si="6"/>
        <v>393.25450875846741</v>
      </c>
      <c r="T80" s="199">
        <f t="shared" si="14"/>
        <v>1.5680827892372009</v>
      </c>
      <c r="U80" s="200">
        <f t="shared" si="15"/>
        <v>61.764028229326797</v>
      </c>
      <c r="V80" s="176">
        <f t="shared" si="7"/>
        <v>62</v>
      </c>
      <c r="Y80" s="91"/>
      <c r="Z80" s="88"/>
    </row>
    <row r="81" spans="5:26" ht="12.5" x14ac:dyDescent="0.25">
      <c r="E81" s="186">
        <f t="shared" si="8"/>
        <v>77</v>
      </c>
      <c r="F81" s="187">
        <f t="shared" si="0"/>
        <v>3.85</v>
      </c>
      <c r="G81" s="188">
        <f t="shared" si="1"/>
        <v>4.4729999999999999</v>
      </c>
      <c r="H81" s="189">
        <f t="shared" si="2"/>
        <v>163.52118655899665</v>
      </c>
      <c r="I81" s="190">
        <f t="shared" si="9"/>
        <v>0.7521974581713845</v>
      </c>
      <c r="J81" s="191">
        <f t="shared" si="10"/>
        <v>18.03958742024772</v>
      </c>
      <c r="K81" s="192" t="b">
        <f t="shared" si="3"/>
        <v>0</v>
      </c>
      <c r="L81" s="193">
        <f t="shared" si="11"/>
        <v>0</v>
      </c>
      <c r="M81" s="194">
        <f t="shared" si="12"/>
        <v>0.18825240135243942</v>
      </c>
      <c r="N81" s="194">
        <f t="shared" si="13"/>
        <v>153.376193485708</v>
      </c>
      <c r="O81" s="195">
        <f>IF(ABS(U81)&gt;80,$B$7, LOOKUP(V81,'Force mapping'!$B$7:$B$167,'Force mapping'!$J$7:$J$167))</f>
        <v>611</v>
      </c>
      <c r="P81" s="196">
        <f t="shared" si="4"/>
        <v>0.623</v>
      </c>
      <c r="Q81" s="191">
        <f t="shared" si="5"/>
        <v>34.260656207197108</v>
      </c>
      <c r="R81" s="197">
        <f>IF(ABS(U81)&gt;80, 0, LOOKUP(V81,'Force mapping'!$B$7:$B$167,'Force mapping'!$I$7:$I$167) * (N81/5) * SIGN(U81))</f>
        <v>13.903551939479431</v>
      </c>
      <c r="S81" s="198">
        <f t="shared" si="6"/>
        <v>404.1730214964951</v>
      </c>
      <c r="T81" s="199">
        <f t="shared" si="14"/>
        <v>1.5877455146751243</v>
      </c>
      <c r="U81" s="200">
        <f t="shared" si="15"/>
        <v>61.675792727145975</v>
      </c>
      <c r="V81" s="176">
        <f t="shared" si="7"/>
        <v>61.5</v>
      </c>
      <c r="Y81" s="91"/>
      <c r="Z81" s="88"/>
    </row>
    <row r="82" spans="5:26" ht="12.5" x14ac:dyDescent="0.25">
      <c r="E82" s="186">
        <f t="shared" si="8"/>
        <v>78</v>
      </c>
      <c r="F82" s="187">
        <f t="shared" si="0"/>
        <v>3.9000000000000004</v>
      </c>
      <c r="G82" s="188">
        <f t="shared" si="1"/>
        <v>4.5230000000000006</v>
      </c>
      <c r="H82" s="189">
        <f t="shared" si="2"/>
        <v>163.52118655899665</v>
      </c>
      <c r="I82" s="190">
        <f t="shared" si="9"/>
        <v>0.7521974581713845</v>
      </c>
      <c r="J82" s="191">
        <f t="shared" si="10"/>
        <v>18.03958742024772</v>
      </c>
      <c r="K82" s="192" t="b">
        <f t="shared" si="3"/>
        <v>0</v>
      </c>
      <c r="L82" s="193">
        <f t="shared" si="11"/>
        <v>0</v>
      </c>
      <c r="M82" s="194">
        <f t="shared" si="12"/>
        <v>6.9653388500402591E-2</v>
      </c>
      <c r="N82" s="194">
        <f t="shared" si="13"/>
        <v>141.08181619161846</v>
      </c>
      <c r="O82" s="195">
        <f>IF(ABS(U82)&gt;80,$B$7, LOOKUP(V82,'Force mapping'!$B$7:$B$167,'Force mapping'!$J$7:$J$167))</f>
        <v>611</v>
      </c>
      <c r="P82" s="196">
        <f t="shared" si="4"/>
        <v>0.623</v>
      </c>
      <c r="Q82" s="191">
        <f t="shared" si="5"/>
        <v>31.514379720725159</v>
      </c>
      <c r="R82" s="197">
        <f>IF(ABS(U82)&gt;80, 0, LOOKUP(V82,'Force mapping'!$B$7:$B$167,'Force mapping'!$I$7:$I$167) * (N82/5) * SIGN(U82))</f>
        <v>12.789066637770212</v>
      </c>
      <c r="S82" s="198">
        <f t="shared" si="6"/>
        <v>371.77519295843638</v>
      </c>
      <c r="T82" s="199">
        <f t="shared" si="14"/>
        <v>1.607954165749949</v>
      </c>
      <c r="U82" s="200">
        <f t="shared" si="15"/>
        <v>61.586301125874805</v>
      </c>
      <c r="V82" s="176">
        <f t="shared" si="7"/>
        <v>61.5</v>
      </c>
      <c r="Y82" s="91"/>
      <c r="Z82" s="88"/>
    </row>
    <row r="83" spans="5:26" ht="12.5" x14ac:dyDescent="0.25">
      <c r="E83" s="186">
        <f t="shared" si="8"/>
        <v>79</v>
      </c>
      <c r="F83" s="187">
        <f t="shared" si="0"/>
        <v>3.95</v>
      </c>
      <c r="G83" s="188">
        <f t="shared" si="1"/>
        <v>4.5730000000000004</v>
      </c>
      <c r="H83" s="189">
        <f t="shared" si="2"/>
        <v>163.52118655899665</v>
      </c>
      <c r="I83" s="190">
        <f t="shared" si="9"/>
        <v>0.7521974581713845</v>
      </c>
      <c r="J83" s="191">
        <f t="shared" si="10"/>
        <v>18.03958742024772</v>
      </c>
      <c r="K83" s="192" t="b">
        <f t="shared" si="3"/>
        <v>0</v>
      </c>
      <c r="L83" s="193">
        <f t="shared" si="11"/>
        <v>0</v>
      </c>
      <c r="M83" s="194">
        <f t="shared" si="12"/>
        <v>2.5771753745148958E-2</v>
      </c>
      <c r="N83" s="194">
        <f t="shared" si="13"/>
        <v>129.76462816568602</v>
      </c>
      <c r="O83" s="195">
        <f>IF(ABS(U83)&gt;80,$B$7, LOOKUP(V83,'Force mapping'!$B$7:$B$167,'Force mapping'!$J$7:$J$167))</f>
        <v>611</v>
      </c>
      <c r="P83" s="196">
        <f t="shared" si="4"/>
        <v>0.623</v>
      </c>
      <c r="Q83" s="191">
        <f t="shared" si="5"/>
        <v>28.986384473374017</v>
      </c>
      <c r="R83" s="197">
        <f>IF(ABS(U83)&gt;80, 0, LOOKUP(V83,'Force mapping'!$B$7:$B$167,'Force mapping'!$I$7:$I$167) * (N83/5) * SIGN(U83))</f>
        <v>11.763163543219438</v>
      </c>
      <c r="S83" s="198">
        <f t="shared" si="6"/>
        <v>341.95242858196042</v>
      </c>
      <c r="T83" s="199">
        <f t="shared" si="14"/>
        <v>1.6265429253978707</v>
      </c>
      <c r="U83" s="200">
        <f t="shared" si="15"/>
        <v>61.496609037763349</v>
      </c>
      <c r="V83" s="176">
        <f t="shared" si="7"/>
        <v>61.5</v>
      </c>
      <c r="Y83" s="91"/>
      <c r="Z83" s="88"/>
    </row>
    <row r="84" spans="5:26" ht="12.5" x14ac:dyDescent="0.25">
      <c r="E84" s="186">
        <f t="shared" si="8"/>
        <v>80</v>
      </c>
      <c r="F84" s="187">
        <f t="shared" si="0"/>
        <v>4</v>
      </c>
      <c r="G84" s="188">
        <f t="shared" si="1"/>
        <v>4.6230000000000002</v>
      </c>
      <c r="H84" s="189">
        <f t="shared" si="2"/>
        <v>163.52118655899665</v>
      </c>
      <c r="I84" s="190">
        <f t="shared" si="9"/>
        <v>0.7521974581713845</v>
      </c>
      <c r="J84" s="191">
        <f t="shared" si="10"/>
        <v>18.03958742024772</v>
      </c>
      <c r="K84" s="192" t="b">
        <f t="shared" si="3"/>
        <v>0</v>
      </c>
      <c r="L84" s="193">
        <f t="shared" si="11"/>
        <v>0</v>
      </c>
      <c r="M84" s="194">
        <f t="shared" si="12"/>
        <v>9.5355488857051147E-3</v>
      </c>
      <c r="N84" s="194">
        <f t="shared" si="13"/>
        <v>119.35219988222367</v>
      </c>
      <c r="O84" s="195">
        <f>IF(ABS(U84)&gt;80,$B$7, LOOKUP(V84,'Force mapping'!$B$7:$B$167,'Force mapping'!$J$7:$J$167))</f>
        <v>611</v>
      </c>
      <c r="P84" s="196">
        <f t="shared" si="4"/>
        <v>0.623</v>
      </c>
      <c r="Q84" s="191">
        <f t="shared" si="5"/>
        <v>26.660491402262949</v>
      </c>
      <c r="R84" s="197">
        <f>IF(ABS(U84)&gt;80, 0, LOOKUP(V84,'Force mapping'!$B$7:$B$167,'Force mapping'!$I$7:$I$167) * (N84/5) * SIGN(U84))</f>
        <v>10.819276919323576</v>
      </c>
      <c r="S84" s="198">
        <f t="shared" si="6"/>
        <v>314.51386393382489</v>
      </c>
      <c r="T84" s="199">
        <f t="shared" si="14"/>
        <v>1.6436405468269688</v>
      </c>
      <c r="U84" s="200">
        <f t="shared" si="15"/>
        <v>61.406733080778906</v>
      </c>
      <c r="V84" s="176">
        <f t="shared" si="7"/>
        <v>61.5</v>
      </c>
      <c r="Y84" s="91"/>
      <c r="Z84" s="88"/>
    </row>
    <row r="85" spans="5:26" ht="12.5" x14ac:dyDescent="0.25">
      <c r="E85" s="186">
        <f t="shared" si="8"/>
        <v>81</v>
      </c>
      <c r="F85" s="187">
        <f t="shared" si="0"/>
        <v>4.05</v>
      </c>
      <c r="G85" s="188">
        <f t="shared" si="1"/>
        <v>4.673</v>
      </c>
      <c r="H85" s="189">
        <f t="shared" si="2"/>
        <v>163.52118655899665</v>
      </c>
      <c r="I85" s="190">
        <f t="shared" si="9"/>
        <v>0.7521974581713845</v>
      </c>
      <c r="J85" s="191">
        <f t="shared" si="10"/>
        <v>18.03958742024772</v>
      </c>
      <c r="K85" s="192" t="b">
        <f t="shared" si="3"/>
        <v>0</v>
      </c>
      <c r="L85" s="193">
        <f t="shared" si="11"/>
        <v>0</v>
      </c>
      <c r="M85" s="194">
        <f t="shared" si="12"/>
        <v>3.5281530877108924E-3</v>
      </c>
      <c r="N85" s="194">
        <f t="shared" si="13"/>
        <v>109.77413693412271</v>
      </c>
      <c r="O85" s="195">
        <f>IF(ABS(U85)&gt;80,$B$7, LOOKUP(V85,'Force mapping'!$B$7:$B$167,'Force mapping'!$J$7:$J$167))</f>
        <v>611</v>
      </c>
      <c r="P85" s="196">
        <f t="shared" si="4"/>
        <v>0.623</v>
      </c>
      <c r="Q85" s="191">
        <f t="shared" si="5"/>
        <v>24.52097604242741</v>
      </c>
      <c r="R85" s="197">
        <f>IF(ABS(U85)&gt;80, 0, LOOKUP(V85,'Force mapping'!$B$7:$B$167,'Force mapping'!$I$7:$I$167) * (N85/5) * SIGN(U85))</f>
        <v>9.951025513078223</v>
      </c>
      <c r="S85" s="198">
        <f t="shared" si="6"/>
        <v>289.27399747320413</v>
      </c>
      <c r="T85" s="199">
        <f t="shared" si="14"/>
        <v>1.65936624002366</v>
      </c>
      <c r="U85" s="200">
        <f t="shared" si="15"/>
        <v>61.31668820683921</v>
      </c>
      <c r="V85" s="176">
        <f t="shared" si="7"/>
        <v>61.5</v>
      </c>
      <c r="Y85" s="91"/>
      <c r="Z85" s="88"/>
    </row>
    <row r="86" spans="5:26" ht="12.5" x14ac:dyDescent="0.25">
      <c r="E86" s="186">
        <f t="shared" si="8"/>
        <v>82</v>
      </c>
      <c r="F86" s="187">
        <f t="shared" si="0"/>
        <v>4.1000000000000005</v>
      </c>
      <c r="G86" s="188">
        <f t="shared" si="1"/>
        <v>4.7230000000000008</v>
      </c>
      <c r="H86" s="189">
        <f t="shared" si="2"/>
        <v>163.52118655899665</v>
      </c>
      <c r="I86" s="190">
        <f t="shared" si="9"/>
        <v>0.7521974581713845</v>
      </c>
      <c r="J86" s="191">
        <f t="shared" si="10"/>
        <v>18.03958742024772</v>
      </c>
      <c r="K86" s="192" t="b">
        <f t="shared" si="3"/>
        <v>0</v>
      </c>
      <c r="L86" s="193">
        <f t="shared" si="11"/>
        <v>0</v>
      </c>
      <c r="M86" s="194">
        <f t="shared" si="12"/>
        <v>1.3054166424530302E-3</v>
      </c>
      <c r="N86" s="194">
        <f t="shared" si="13"/>
        <v>100.96429674302841</v>
      </c>
      <c r="O86" s="195">
        <f>IF(ABS(U86)&gt;80,$B$7, LOOKUP(V86,'Force mapping'!$B$7:$B$167,'Force mapping'!$J$7:$J$167))</f>
        <v>621</v>
      </c>
      <c r="P86" s="196">
        <f t="shared" si="4"/>
        <v>0.623</v>
      </c>
      <c r="Q86" s="191">
        <f t="shared" si="5"/>
        <v>22.553063688053101</v>
      </c>
      <c r="R86" s="197">
        <f>IF(ABS(U86)&gt;80, 0, LOOKUP(V86,'Force mapping'!$B$7:$B$167,'Force mapping'!$I$7:$I$167) * (N86/5) * SIGN(U86))</f>
        <v>10.112180104594755</v>
      </c>
      <c r="S86" s="198">
        <f t="shared" si="6"/>
        <v>293.95872397077773</v>
      </c>
      <c r="T86" s="199">
        <f t="shared" si="14"/>
        <v>1.6738299398973202</v>
      </c>
      <c r="U86" s="200">
        <f t="shared" si="15"/>
        <v>61.226488044901195</v>
      </c>
      <c r="V86" s="176">
        <f t="shared" si="7"/>
        <v>61</v>
      </c>
      <c r="Y86" s="91"/>
      <c r="Z86" s="88"/>
    </row>
    <row r="87" spans="5:26" ht="12.5" x14ac:dyDescent="0.25">
      <c r="E87" s="186">
        <f t="shared" si="8"/>
        <v>83</v>
      </c>
      <c r="F87" s="187">
        <f t="shared" si="0"/>
        <v>4.1500000000000004</v>
      </c>
      <c r="G87" s="188">
        <f t="shared" si="1"/>
        <v>4.7730000000000006</v>
      </c>
      <c r="H87" s="189">
        <f t="shared" si="2"/>
        <v>163.52118655899665</v>
      </c>
      <c r="I87" s="190">
        <f t="shared" si="9"/>
        <v>0.7521974581713845</v>
      </c>
      <c r="J87" s="191">
        <f t="shared" si="10"/>
        <v>18.03958742024772</v>
      </c>
      <c r="K87" s="192" t="b">
        <f t="shared" si="3"/>
        <v>0</v>
      </c>
      <c r="L87" s="193">
        <f t="shared" si="11"/>
        <v>0</v>
      </c>
      <c r="M87" s="194">
        <f t="shared" si="12"/>
        <v>4.8300415770762114E-4</v>
      </c>
      <c r="N87" s="194">
        <f t="shared" si="13"/>
        <v>92.86132793673741</v>
      </c>
      <c r="O87" s="195">
        <f>IF(ABS(U87)&gt;80,$B$7, LOOKUP(V87,'Force mapping'!$B$7:$B$167,'Force mapping'!$J$7:$J$167))</f>
        <v>621</v>
      </c>
      <c r="P87" s="196">
        <f t="shared" si="4"/>
        <v>0.623</v>
      </c>
      <c r="Q87" s="191">
        <f t="shared" si="5"/>
        <v>20.743049876777704</v>
      </c>
      <c r="R87" s="197">
        <f>IF(ABS(U87)&gt;80, 0, LOOKUP(V87,'Force mapping'!$B$7:$B$167,'Force mapping'!$I$7:$I$167) * (N87/5) * SIGN(U87))</f>
        <v>9.3006191608318716</v>
      </c>
      <c r="S87" s="198">
        <f t="shared" si="6"/>
        <v>270.36683607069392</v>
      </c>
      <c r="T87" s="199">
        <f t="shared" si="14"/>
        <v>1.6885278760958591</v>
      </c>
      <c r="U87" s="200">
        <f t="shared" si="15"/>
        <v>61.135447579807057</v>
      </c>
      <c r="V87" s="176">
        <f t="shared" si="7"/>
        <v>61</v>
      </c>
      <c r="Y87" s="91"/>
      <c r="Z87" s="88"/>
    </row>
    <row r="88" spans="5:26" ht="12.5" x14ac:dyDescent="0.25">
      <c r="E88" s="186">
        <f t="shared" si="8"/>
        <v>84</v>
      </c>
      <c r="F88" s="187">
        <f t="shared" si="0"/>
        <v>4.2</v>
      </c>
      <c r="G88" s="188">
        <f t="shared" si="1"/>
        <v>4.8230000000000004</v>
      </c>
      <c r="H88" s="189">
        <f t="shared" si="2"/>
        <v>163.52118655899665</v>
      </c>
      <c r="I88" s="190">
        <f t="shared" si="9"/>
        <v>0.7521974581713845</v>
      </c>
      <c r="J88" s="191">
        <f t="shared" si="10"/>
        <v>18.03958742024772</v>
      </c>
      <c r="K88" s="192" t="b">
        <f t="shared" si="3"/>
        <v>0</v>
      </c>
      <c r="L88" s="193">
        <f t="shared" si="11"/>
        <v>0</v>
      </c>
      <c r="M88" s="194">
        <f t="shared" si="12"/>
        <v>1.7871153835181985E-4</v>
      </c>
      <c r="N88" s="194">
        <f t="shared" si="13"/>
        <v>85.408611650013526</v>
      </c>
      <c r="O88" s="195">
        <f>IF(ABS(U88)&gt;80,$B$7, LOOKUP(V88,'Force mapping'!$B$7:$B$167,'Force mapping'!$J$7:$J$167))</f>
        <v>621</v>
      </c>
      <c r="P88" s="196">
        <f t="shared" si="4"/>
        <v>0.623</v>
      </c>
      <c r="Q88" s="191">
        <f t="shared" si="5"/>
        <v>19.07828727766536</v>
      </c>
      <c r="R88" s="197">
        <f>IF(ABS(U88)&gt;80, 0, LOOKUP(V88,'Force mapping'!$B$7:$B$167,'Force mapping'!$I$7:$I$167) * (N88/5) * SIGN(U88))</f>
        <v>8.5541849084187547</v>
      </c>
      <c r="S88" s="198">
        <f t="shared" si="6"/>
        <v>248.66816594240566</v>
      </c>
      <c r="T88" s="199">
        <f t="shared" si="14"/>
        <v>1.7020462178993938</v>
      </c>
      <c r="U88" s="200">
        <f t="shared" si="15"/>
        <v>61.044262015100493</v>
      </c>
      <c r="V88" s="176">
        <f t="shared" si="7"/>
        <v>61</v>
      </c>
      <c r="Y88" s="91"/>
      <c r="Z88" s="88"/>
    </row>
    <row r="89" spans="5:26" ht="12.5" x14ac:dyDescent="0.25">
      <c r="E89" s="186">
        <f t="shared" si="8"/>
        <v>85</v>
      </c>
      <c r="F89" s="187">
        <f t="shared" si="0"/>
        <v>4.25</v>
      </c>
      <c r="G89" s="188">
        <f t="shared" si="1"/>
        <v>4.8730000000000002</v>
      </c>
      <c r="H89" s="189">
        <f t="shared" si="2"/>
        <v>163.52118655899665</v>
      </c>
      <c r="I89" s="190">
        <f t="shared" si="9"/>
        <v>0.7521974581713845</v>
      </c>
      <c r="J89" s="191">
        <f t="shared" si="10"/>
        <v>18.03958742024772</v>
      </c>
      <c r="K89" s="192" t="b">
        <f t="shared" si="3"/>
        <v>0</v>
      </c>
      <c r="L89" s="193">
        <f t="shared" si="11"/>
        <v>0</v>
      </c>
      <c r="M89" s="194">
        <f t="shared" si="12"/>
        <v>6.6123269190173343E-5</v>
      </c>
      <c r="N89" s="194">
        <f t="shared" si="13"/>
        <v>78.554002264903161</v>
      </c>
      <c r="O89" s="195">
        <f>IF(ABS(U89)&gt;80,$B$7, LOOKUP(V89,'Force mapping'!$B$7:$B$167,'Force mapping'!$J$7:$J$167))</f>
        <v>621</v>
      </c>
      <c r="P89" s="196">
        <f t="shared" si="4"/>
        <v>0.623</v>
      </c>
      <c r="Q89" s="191">
        <f t="shared" si="5"/>
        <v>17.547127778653692</v>
      </c>
      <c r="R89" s="197">
        <f>IF(ABS(U89)&gt;80, 0, LOOKUP(V89,'Force mapping'!$B$7:$B$167,'Force mapping'!$I$7:$I$167) * (N89/5) * SIGN(U89))</f>
        <v>7.8676546508436411</v>
      </c>
      <c r="S89" s="198">
        <f t="shared" si="6"/>
        <v>228.71089101289655</v>
      </c>
      <c r="T89" s="199">
        <f t="shared" si="14"/>
        <v>1.7144796261965141</v>
      </c>
      <c r="U89" s="200">
        <f t="shared" si="15"/>
        <v>60.952943000056962</v>
      </c>
      <c r="V89" s="176">
        <f t="shared" si="7"/>
        <v>61</v>
      </c>
      <c r="Y89" s="91"/>
      <c r="Z89" s="88"/>
    </row>
    <row r="90" spans="5:26" ht="12.5" x14ac:dyDescent="0.25">
      <c r="E90" s="186">
        <f t="shared" si="8"/>
        <v>86</v>
      </c>
      <c r="F90" s="187">
        <f t="shared" si="0"/>
        <v>4.3</v>
      </c>
      <c r="G90" s="188">
        <f t="shared" si="1"/>
        <v>4.923</v>
      </c>
      <c r="H90" s="189">
        <f t="shared" si="2"/>
        <v>163.52118655899665</v>
      </c>
      <c r="I90" s="190">
        <f t="shared" si="9"/>
        <v>0.7521974581713845</v>
      </c>
      <c r="J90" s="191">
        <f t="shared" si="10"/>
        <v>18.03958742024772</v>
      </c>
      <c r="K90" s="192" t="b">
        <f t="shared" si="3"/>
        <v>0</v>
      </c>
      <c r="L90" s="193">
        <f t="shared" si="11"/>
        <v>0</v>
      </c>
      <c r="M90" s="194">
        <f t="shared" si="12"/>
        <v>2.4465609600364135E-5</v>
      </c>
      <c r="N90" s="194">
        <f t="shared" si="13"/>
        <v>72.249513007950199</v>
      </c>
      <c r="O90" s="195">
        <f>IF(ABS(U90)&gt;80,$B$7, LOOKUP(V90,'Force mapping'!$B$7:$B$167,'Force mapping'!$J$7:$J$167))</f>
        <v>621</v>
      </c>
      <c r="P90" s="196">
        <f t="shared" si="4"/>
        <v>0.623</v>
      </c>
      <c r="Q90" s="191">
        <f t="shared" si="5"/>
        <v>16.138852256321343</v>
      </c>
      <c r="R90" s="197">
        <f>IF(ABS(U90)&gt;80, 0, LOOKUP(V90,'Force mapping'!$B$7:$B$167,'Force mapping'!$I$7:$I$167) * (N90/5) * SIGN(U90))</f>
        <v>7.2362222248242603</v>
      </c>
      <c r="S90" s="198">
        <f t="shared" si="6"/>
        <v>210.35529723326337</v>
      </c>
      <c r="T90" s="199">
        <f t="shared" si="14"/>
        <v>1.7259151707471589</v>
      </c>
      <c r="U90" s="200">
        <f t="shared" si="15"/>
        <v>60.861501246471811</v>
      </c>
      <c r="V90" s="176">
        <f t="shared" si="7"/>
        <v>61</v>
      </c>
      <c r="Y90" s="91"/>
      <c r="Z90" s="88"/>
    </row>
    <row r="91" spans="5:26" ht="12.5" x14ac:dyDescent="0.25">
      <c r="E91" s="186">
        <f t="shared" si="8"/>
        <v>87</v>
      </c>
      <c r="F91" s="187">
        <f t="shared" si="0"/>
        <v>4.3500000000000005</v>
      </c>
      <c r="G91" s="188">
        <f t="shared" si="1"/>
        <v>4.9730000000000008</v>
      </c>
      <c r="H91" s="189">
        <f t="shared" si="2"/>
        <v>163.52118655899665</v>
      </c>
      <c r="I91" s="190">
        <f t="shared" si="9"/>
        <v>0.7521974581713845</v>
      </c>
      <c r="J91" s="191">
        <f t="shared" si="10"/>
        <v>18.03958742024772</v>
      </c>
      <c r="K91" s="192" t="b">
        <f t="shared" si="3"/>
        <v>0</v>
      </c>
      <c r="L91" s="193">
        <f t="shared" si="11"/>
        <v>0</v>
      </c>
      <c r="M91" s="194">
        <f t="shared" si="12"/>
        <v>9.0522755521347299E-6</v>
      </c>
      <c r="N91" s="194">
        <f t="shared" si="13"/>
        <v>66.450998678709382</v>
      </c>
      <c r="O91" s="195">
        <f>IF(ABS(U91)&gt;80,$B$7, LOOKUP(V91,'Force mapping'!$B$7:$B$167,'Force mapping'!$J$7:$J$167))</f>
        <v>621</v>
      </c>
      <c r="P91" s="196">
        <f t="shared" si="4"/>
        <v>0.623</v>
      </c>
      <c r="Q91" s="191">
        <f t="shared" si="5"/>
        <v>14.843599704854563</v>
      </c>
      <c r="R91" s="197">
        <f>IF(ABS(U91)&gt;80, 0, LOOKUP(V91,'Force mapping'!$B$7:$B$167,'Force mapping'!$I$7:$I$167) * (N91/5) * SIGN(U91))</f>
        <v>6.655466223664817</v>
      </c>
      <c r="S91" s="198">
        <f t="shared" si="6"/>
        <v>193.47285533909351</v>
      </c>
      <c r="T91" s="199">
        <f t="shared" si="14"/>
        <v>1.7364329356088222</v>
      </c>
      <c r="U91" s="200">
        <f t="shared" si="15"/>
        <v>60.76994660550362</v>
      </c>
      <c r="V91" s="176">
        <f t="shared" si="7"/>
        <v>61</v>
      </c>
      <c r="Y91" s="91"/>
      <c r="Z91" s="88"/>
    </row>
    <row r="92" spans="5:26" ht="12.5" x14ac:dyDescent="0.25">
      <c r="E92" s="186">
        <f t="shared" si="8"/>
        <v>88</v>
      </c>
      <c r="F92" s="187">
        <f t="shared" si="0"/>
        <v>4.4000000000000004</v>
      </c>
      <c r="G92" s="188">
        <f t="shared" si="1"/>
        <v>5.0230000000000006</v>
      </c>
      <c r="H92" s="189">
        <f t="shared" si="2"/>
        <v>163.52118655899665</v>
      </c>
      <c r="I92" s="190">
        <f t="shared" si="9"/>
        <v>0.7521974581713845</v>
      </c>
      <c r="J92" s="191">
        <f t="shared" si="10"/>
        <v>18.03958742024772</v>
      </c>
      <c r="K92" s="192" t="b">
        <f t="shared" si="3"/>
        <v>0</v>
      </c>
      <c r="L92" s="193">
        <f t="shared" si="11"/>
        <v>0</v>
      </c>
      <c r="M92" s="194">
        <f t="shared" si="12"/>
        <v>3.3493419542898502E-6</v>
      </c>
      <c r="N92" s="194">
        <f t="shared" si="13"/>
        <v>61.117853443843103</v>
      </c>
      <c r="O92" s="195">
        <f>IF(ABS(U92)&gt;80,$B$7, LOOKUP(V92,'Force mapping'!$B$7:$B$167,'Force mapping'!$J$7:$J$167))</f>
        <v>633.5</v>
      </c>
      <c r="P92" s="196">
        <f t="shared" si="4"/>
        <v>0.623</v>
      </c>
      <c r="Q92" s="191">
        <f t="shared" si="5"/>
        <v>13.652299730313006</v>
      </c>
      <c r="R92" s="197">
        <f>IF(ABS(U92)&gt;80, 0, LOOKUP(V92,'Force mapping'!$B$7:$B$167,'Force mapping'!$I$7:$I$167) * (N92/5) * SIGN(U92))</f>
        <v>6.7861597392836748</v>
      </c>
      <c r="S92" s="198">
        <f t="shared" si="6"/>
        <v>197.27208544429288</v>
      </c>
      <c r="T92" s="199">
        <f t="shared" si="14"/>
        <v>1.7461065783757768</v>
      </c>
      <c r="U92" s="200">
        <f t="shared" si="15"/>
        <v>60.678288137339699</v>
      </c>
      <c r="V92" s="176">
        <f t="shared" si="7"/>
        <v>60.5</v>
      </c>
      <c r="Y92" s="91"/>
      <c r="Z92" s="88"/>
    </row>
    <row r="93" spans="5:26" ht="12.5" x14ac:dyDescent="0.25">
      <c r="E93" s="186">
        <f t="shared" si="8"/>
        <v>89</v>
      </c>
      <c r="F93" s="187">
        <f t="shared" si="0"/>
        <v>4.45</v>
      </c>
      <c r="G93" s="188">
        <f t="shared" si="1"/>
        <v>5.0730000000000004</v>
      </c>
      <c r="H93" s="189">
        <f t="shared" si="2"/>
        <v>163.52118655899665</v>
      </c>
      <c r="I93" s="190">
        <f t="shared" si="9"/>
        <v>0.7521974581713845</v>
      </c>
      <c r="J93" s="191">
        <f t="shared" si="10"/>
        <v>18.03958742024772</v>
      </c>
      <c r="K93" s="192" t="b">
        <f t="shared" si="3"/>
        <v>0</v>
      </c>
      <c r="L93" s="193">
        <f t="shared" si="11"/>
        <v>0</v>
      </c>
      <c r="M93" s="194">
        <f t="shared" si="12"/>
        <v>1.2392565230872445E-6</v>
      </c>
      <c r="N93" s="194">
        <f t="shared" si="13"/>
        <v>56.212729038184904</v>
      </c>
      <c r="O93" s="195">
        <f>IF(ABS(U93)&gt;80,$B$7, LOOKUP(V93,'Force mapping'!$B$7:$B$167,'Force mapping'!$J$7:$J$167))</f>
        <v>633.5</v>
      </c>
      <c r="P93" s="196">
        <f t="shared" si="4"/>
        <v>0.623</v>
      </c>
      <c r="Q93" s="191">
        <f t="shared" si="5"/>
        <v>12.55660960333481</v>
      </c>
      <c r="R93" s="197">
        <f>IF(ABS(U93)&gt;80, 0, LOOKUP(V93,'Force mapping'!$B$7:$B$167,'Force mapping'!$I$7:$I$167) * (N93/5) * SIGN(U93))</f>
        <v>6.2415241560258226</v>
      </c>
      <c r="S93" s="198">
        <f t="shared" si="6"/>
        <v>181.43965569842507</v>
      </c>
      <c r="T93" s="199">
        <f t="shared" si="14"/>
        <v>1.7559701826479914</v>
      </c>
      <c r="U93" s="200">
        <f t="shared" si="15"/>
        <v>60.586051006284805</v>
      </c>
      <c r="V93" s="176">
        <f t="shared" si="7"/>
        <v>60.5</v>
      </c>
      <c r="Y93" s="91"/>
      <c r="Z93" s="88"/>
    </row>
    <row r="94" spans="5:26" ht="12.5" x14ac:dyDescent="0.25">
      <c r="E94" s="186">
        <f t="shared" si="8"/>
        <v>90</v>
      </c>
      <c r="F94" s="187">
        <f t="shared" si="0"/>
        <v>4.5</v>
      </c>
      <c r="G94" s="188">
        <f t="shared" si="1"/>
        <v>5.1230000000000002</v>
      </c>
      <c r="H94" s="189">
        <f t="shared" si="2"/>
        <v>163.52118655899665</v>
      </c>
      <c r="I94" s="190">
        <f t="shared" si="9"/>
        <v>0.7521974581713845</v>
      </c>
      <c r="J94" s="191">
        <f t="shared" si="10"/>
        <v>18.03958742024772</v>
      </c>
      <c r="K94" s="192" t="b">
        <f t="shared" si="3"/>
        <v>0</v>
      </c>
      <c r="L94" s="193">
        <f t="shared" si="11"/>
        <v>0</v>
      </c>
      <c r="M94" s="194">
        <f t="shared" si="12"/>
        <v>4.5852491354228043E-7</v>
      </c>
      <c r="N94" s="194">
        <f t="shared" si="13"/>
        <v>51.70127415865614</v>
      </c>
      <c r="O94" s="195">
        <f>IF(ABS(U94)&gt;80,$B$7, LOOKUP(V94,'Force mapping'!$B$7:$B$167,'Force mapping'!$J$7:$J$167))</f>
        <v>633.5</v>
      </c>
      <c r="P94" s="196">
        <f t="shared" si="4"/>
        <v>0.623</v>
      </c>
      <c r="Q94" s="191">
        <f t="shared" si="5"/>
        <v>11.548856045829684</v>
      </c>
      <c r="R94" s="197">
        <f>IF(ABS(U94)&gt;80, 0, LOOKUP(V94,'Force mapping'!$B$7:$B$167,'Force mapping'!$I$7:$I$167) * (N94/5) * SIGN(U94))</f>
        <v>5.740599274932225</v>
      </c>
      <c r="S94" s="198">
        <f t="shared" si="6"/>
        <v>166.87788589919259</v>
      </c>
      <c r="T94" s="199">
        <f t="shared" si="14"/>
        <v>1.7650421654329127</v>
      </c>
      <c r="U94" s="200">
        <f t="shared" si="15"/>
        <v>60.493716505759942</v>
      </c>
      <c r="V94" s="176">
        <f t="shared" si="7"/>
        <v>60.5</v>
      </c>
      <c r="Y94" s="91"/>
      <c r="Z94" s="88"/>
    </row>
    <row r="95" spans="5:26" ht="12.5" x14ac:dyDescent="0.25">
      <c r="E95" s="186">
        <f t="shared" si="8"/>
        <v>91</v>
      </c>
      <c r="F95" s="187">
        <f t="shared" si="0"/>
        <v>4.55</v>
      </c>
      <c r="G95" s="188">
        <f t="shared" si="1"/>
        <v>5.173</v>
      </c>
      <c r="H95" s="189">
        <f t="shared" si="2"/>
        <v>163.52118655899665</v>
      </c>
      <c r="I95" s="190">
        <f t="shared" si="9"/>
        <v>0.7521974581713845</v>
      </c>
      <c r="J95" s="191">
        <f t="shared" si="10"/>
        <v>18.03958742024772</v>
      </c>
      <c r="K95" s="192" t="b">
        <f t="shared" si="3"/>
        <v>0</v>
      </c>
      <c r="L95" s="193">
        <f t="shared" si="11"/>
        <v>0</v>
      </c>
      <c r="M95" s="194">
        <f t="shared" si="12"/>
        <v>1.6965421801064375E-7</v>
      </c>
      <c r="N95" s="194">
        <f t="shared" si="13"/>
        <v>47.551894246928114</v>
      </c>
      <c r="O95" s="195">
        <f>IF(ABS(U95)&gt;80,$B$7, LOOKUP(V95,'Force mapping'!$B$7:$B$167,'Force mapping'!$J$7:$J$167))</f>
        <v>633.5</v>
      </c>
      <c r="P95" s="196">
        <f t="shared" si="4"/>
        <v>0.623</v>
      </c>
      <c r="Q95" s="191">
        <f t="shared" si="5"/>
        <v>10.621981572041085</v>
      </c>
      <c r="R95" s="197">
        <f>IF(ABS(U95)&gt;80, 0, LOOKUP(V95,'Force mapping'!$B$7:$B$167,'Force mapping'!$I$7:$I$167) * (N95/5) * SIGN(U95))</f>
        <v>5.2798770258134153</v>
      </c>
      <c r="S95" s="198">
        <f t="shared" si="6"/>
        <v>153.48479726201788</v>
      </c>
      <c r="T95" s="199">
        <f t="shared" si="14"/>
        <v>1.7733860597278723</v>
      </c>
      <c r="U95" s="200">
        <f t="shared" si="15"/>
        <v>60.401292450340819</v>
      </c>
      <c r="V95" s="176">
        <f t="shared" si="7"/>
        <v>60.5</v>
      </c>
      <c r="Y95" s="91"/>
      <c r="Z95" s="88"/>
    </row>
    <row r="96" spans="5:26" ht="12.5" x14ac:dyDescent="0.25">
      <c r="E96" s="186">
        <f t="shared" si="8"/>
        <v>92</v>
      </c>
      <c r="F96" s="187">
        <f t="shared" si="0"/>
        <v>4.6000000000000005</v>
      </c>
      <c r="G96" s="188">
        <f t="shared" si="1"/>
        <v>5.2230000000000008</v>
      </c>
      <c r="H96" s="189">
        <f t="shared" si="2"/>
        <v>163.52118655899665</v>
      </c>
      <c r="I96" s="190">
        <f t="shared" si="9"/>
        <v>0.7521974581713845</v>
      </c>
      <c r="J96" s="191">
        <f t="shared" si="10"/>
        <v>18.03958742024772</v>
      </c>
      <c r="K96" s="192" t="b">
        <f t="shared" si="3"/>
        <v>0</v>
      </c>
      <c r="L96" s="193">
        <f t="shared" si="11"/>
        <v>0</v>
      </c>
      <c r="M96" s="194">
        <f t="shared" si="12"/>
        <v>6.2772060663938193E-8</v>
      </c>
      <c r="N96" s="194">
        <f t="shared" si="13"/>
        <v>43.735530356296181</v>
      </c>
      <c r="O96" s="195">
        <f>IF(ABS(U96)&gt;80,$B$7, LOOKUP(V96,'Force mapping'!$B$7:$B$167,'Force mapping'!$J$7:$J$167))</f>
        <v>633.5</v>
      </c>
      <c r="P96" s="196">
        <f t="shared" si="4"/>
        <v>0.623</v>
      </c>
      <c r="Q96" s="191">
        <f t="shared" si="5"/>
        <v>9.7694950925752497</v>
      </c>
      <c r="R96" s="197">
        <f>IF(ABS(U96)&gt;80, 0, LOOKUP(V96,'Force mapping'!$B$7:$B$167,'Force mapping'!$I$7:$I$167) * (N96/5) * SIGN(U96))</f>
        <v>4.8561308775809895</v>
      </c>
      <c r="S96" s="198">
        <f t="shared" si="6"/>
        <v>141.16659527851715</v>
      </c>
      <c r="T96" s="199">
        <f t="shared" si="14"/>
        <v>1.7810602995909732</v>
      </c>
      <c r="U96" s="200">
        <f t="shared" si="15"/>
        <v>60.308786027422876</v>
      </c>
      <c r="V96" s="176">
        <f t="shared" si="7"/>
        <v>60.5</v>
      </c>
      <c r="Y96" s="91"/>
      <c r="Z96" s="88"/>
    </row>
    <row r="97" spans="5:26" ht="12.5" x14ac:dyDescent="0.25">
      <c r="E97" s="186">
        <f t="shared" si="8"/>
        <v>93</v>
      </c>
      <c r="F97" s="187">
        <f t="shared" si="0"/>
        <v>4.6500000000000004</v>
      </c>
      <c r="G97" s="188">
        <f t="shared" si="1"/>
        <v>5.2730000000000006</v>
      </c>
      <c r="H97" s="189">
        <f t="shared" si="2"/>
        <v>163.52118655899665</v>
      </c>
      <c r="I97" s="190">
        <f t="shared" si="9"/>
        <v>0.7521974581713845</v>
      </c>
      <c r="J97" s="191">
        <f t="shared" si="10"/>
        <v>18.03958742024772</v>
      </c>
      <c r="K97" s="192" t="b">
        <f t="shared" si="3"/>
        <v>0</v>
      </c>
      <c r="L97" s="193">
        <f t="shared" si="11"/>
        <v>0</v>
      </c>
      <c r="M97" s="194">
        <f t="shared" si="12"/>
        <v>2.3225662445657131E-8</v>
      </c>
      <c r="N97" s="194">
        <f t="shared" si="13"/>
        <v>40.225455693894567</v>
      </c>
      <c r="O97" s="195">
        <f>IF(ABS(U97)&gt;80,$B$7, LOOKUP(V97,'Force mapping'!$B$7:$B$167,'Force mapping'!$J$7:$J$167))</f>
        <v>646</v>
      </c>
      <c r="P97" s="196">
        <f t="shared" si="4"/>
        <v>0.623</v>
      </c>
      <c r="Q97" s="191">
        <f t="shared" si="5"/>
        <v>8.9854264666881374</v>
      </c>
      <c r="R97" s="197">
        <f>IF(ABS(U97)&gt;80, 0, LOOKUP(V97,'Force mapping'!$B$7:$B$167,'Force mapping'!$I$7:$I$167) * (N97/5) * SIGN(U97))</f>
        <v>4.9039657545540738</v>
      </c>
      <c r="S97" s="198">
        <f t="shared" si="6"/>
        <v>142.55714402773469</v>
      </c>
      <c r="T97" s="199">
        <f t="shared" si="14"/>
        <v>1.7881186293548992</v>
      </c>
      <c r="U97" s="200">
        <f t="shared" si="15"/>
        <v>60.216203847561367</v>
      </c>
      <c r="V97" s="176">
        <f t="shared" si="7"/>
        <v>60</v>
      </c>
      <c r="Y97" s="91"/>
      <c r="Z97" s="88"/>
    </row>
    <row r="98" spans="5:26" ht="12.5" x14ac:dyDescent="0.25">
      <c r="E98" s="186">
        <f t="shared" si="8"/>
        <v>94</v>
      </c>
      <c r="F98" s="187">
        <f t="shared" si="0"/>
        <v>4.7</v>
      </c>
      <c r="G98" s="188">
        <f t="shared" si="1"/>
        <v>5.3230000000000004</v>
      </c>
      <c r="H98" s="189">
        <f t="shared" si="2"/>
        <v>163.52118655899665</v>
      </c>
      <c r="I98" s="190">
        <f t="shared" si="9"/>
        <v>0.7521974581713845</v>
      </c>
      <c r="J98" s="191">
        <f t="shared" si="10"/>
        <v>18.03958742024772</v>
      </c>
      <c r="K98" s="192" t="b">
        <f t="shared" si="3"/>
        <v>0</v>
      </c>
      <c r="L98" s="193">
        <f t="shared" si="11"/>
        <v>0</v>
      </c>
      <c r="M98" s="194">
        <f t="shared" si="12"/>
        <v>8.5934951048931392E-9</v>
      </c>
      <c r="N98" s="194">
        <f t="shared" si="13"/>
        <v>36.997088465108945</v>
      </c>
      <c r="O98" s="195">
        <f>IF(ABS(U98)&gt;80,$B$7, LOOKUP(V98,'Force mapping'!$B$7:$B$167,'Force mapping'!$J$7:$J$167))</f>
        <v>646</v>
      </c>
      <c r="P98" s="196">
        <f t="shared" si="4"/>
        <v>0.623</v>
      </c>
      <c r="Q98" s="191">
        <f t="shared" si="5"/>
        <v>8.2642846961022567</v>
      </c>
      <c r="R98" s="197">
        <f>IF(ABS(U98)&gt;80, 0, LOOKUP(V98,'Force mapping'!$B$7:$B$167,'Force mapping'!$I$7:$I$167) * (N98/5) * SIGN(U98))</f>
        <v>4.5103890489583618</v>
      </c>
      <c r="S98" s="198">
        <f t="shared" si="6"/>
        <v>131.11596072553377</v>
      </c>
      <c r="T98" s="199">
        <f t="shared" si="14"/>
        <v>1.7952464865562858</v>
      </c>
      <c r="U98" s="200">
        <f t="shared" si="15"/>
        <v>60.123233987492931</v>
      </c>
      <c r="V98" s="176">
        <f t="shared" si="7"/>
        <v>60</v>
      </c>
      <c r="Y98" s="91"/>
      <c r="Z98" s="88"/>
    </row>
    <row r="99" spans="5:26" ht="12.5" x14ac:dyDescent="0.25">
      <c r="E99" s="186">
        <f t="shared" si="8"/>
        <v>95</v>
      </c>
      <c r="F99" s="187">
        <f t="shared" si="0"/>
        <v>4.75</v>
      </c>
      <c r="G99" s="188">
        <f t="shared" si="1"/>
        <v>5.3730000000000002</v>
      </c>
      <c r="H99" s="189">
        <f t="shared" si="2"/>
        <v>163.52118655899665</v>
      </c>
      <c r="I99" s="190">
        <f t="shared" si="9"/>
        <v>0.7521974581713845</v>
      </c>
      <c r="J99" s="191">
        <f t="shared" si="10"/>
        <v>18.03958742024772</v>
      </c>
      <c r="K99" s="192" t="b">
        <f t="shared" si="3"/>
        <v>0</v>
      </c>
      <c r="L99" s="193">
        <f t="shared" si="11"/>
        <v>0</v>
      </c>
      <c r="M99" s="194">
        <f t="shared" si="12"/>
        <v>3.1795931888104611E-9</v>
      </c>
      <c r="N99" s="194">
        <f t="shared" si="13"/>
        <v>34.02781972863098</v>
      </c>
      <c r="O99" s="195">
        <f>IF(ABS(U99)&gt;80,$B$7, LOOKUP(V99,'Force mapping'!$B$7:$B$167,'Force mapping'!$J$7:$J$167))</f>
        <v>646</v>
      </c>
      <c r="P99" s="196">
        <f t="shared" si="4"/>
        <v>0.623</v>
      </c>
      <c r="Q99" s="191">
        <f t="shared" si="5"/>
        <v>7.6010194718500372</v>
      </c>
      <c r="R99" s="197">
        <f>IF(ABS(U99)&gt;80, 0, LOOKUP(V99,'Force mapping'!$B$7:$B$167,'Force mapping'!$I$7:$I$167) * (N99/5) * SIGN(U99))</f>
        <v>4.1483995587568598</v>
      </c>
      <c r="S99" s="198">
        <f t="shared" si="6"/>
        <v>120.59301042897849</v>
      </c>
      <c r="T99" s="199">
        <f t="shared" si="14"/>
        <v>1.8018022845925625</v>
      </c>
      <c r="U99" s="200">
        <f t="shared" si="15"/>
        <v>60.030193764146979</v>
      </c>
      <c r="V99" s="176">
        <f t="shared" si="7"/>
        <v>60</v>
      </c>
      <c r="Y99" s="91"/>
      <c r="Z99" s="88"/>
    </row>
    <row r="100" spans="5:26" ht="12.5" x14ac:dyDescent="0.25">
      <c r="E100" s="186">
        <f t="shared" si="8"/>
        <v>96</v>
      </c>
      <c r="F100" s="187">
        <f t="shared" si="0"/>
        <v>4.8000000000000007</v>
      </c>
      <c r="G100" s="188">
        <f t="shared" si="1"/>
        <v>5.4230000000000009</v>
      </c>
      <c r="H100" s="189">
        <f t="shared" si="2"/>
        <v>163.52118655899665</v>
      </c>
      <c r="I100" s="190">
        <f t="shared" si="9"/>
        <v>0.7521974581713845</v>
      </c>
      <c r="J100" s="191">
        <f t="shared" si="10"/>
        <v>18.03958742024772</v>
      </c>
      <c r="K100" s="192" t="b">
        <f t="shared" si="3"/>
        <v>0</v>
      </c>
      <c r="L100" s="193">
        <f t="shared" si="11"/>
        <v>0</v>
      </c>
      <c r="M100" s="194">
        <f t="shared" si="12"/>
        <v>1.1764494798598704E-9</v>
      </c>
      <c r="N100" s="194">
        <f t="shared" si="13"/>
        <v>31.296855063666985</v>
      </c>
      <c r="O100" s="195">
        <f>IF(ABS(U100)&gt;80,$B$7, LOOKUP(V100,'Force mapping'!$B$7:$B$167,'Force mapping'!$J$7:$J$167))</f>
        <v>646</v>
      </c>
      <c r="P100" s="196">
        <f t="shared" si="4"/>
        <v>0.623</v>
      </c>
      <c r="Q100" s="191">
        <f t="shared" si="5"/>
        <v>6.9909858064295074</v>
      </c>
      <c r="R100" s="197">
        <f>IF(ABS(U100)&gt;80, 0, LOOKUP(V100,'Force mapping'!$B$7:$B$167,'Force mapping'!$I$7:$I$167) * (N100/5) * SIGN(U100))</f>
        <v>3.8154621945217695</v>
      </c>
      <c r="S100" s="198">
        <f t="shared" si="6"/>
        <v>110.91459867795841</v>
      </c>
      <c r="T100" s="199">
        <f t="shared" si="14"/>
        <v>1.8078319351140115</v>
      </c>
      <c r="U100" s="200">
        <f t="shared" si="15"/>
        <v>59.937088824656627</v>
      </c>
      <c r="V100" s="176">
        <f t="shared" si="7"/>
        <v>60</v>
      </c>
      <c r="Y100" s="91"/>
      <c r="Z100" s="88"/>
    </row>
    <row r="101" spans="5:26" ht="12.5" x14ac:dyDescent="0.25">
      <c r="E101" s="186">
        <f t="shared" si="8"/>
        <v>97</v>
      </c>
      <c r="F101" s="187">
        <f t="shared" si="0"/>
        <v>4.8500000000000005</v>
      </c>
      <c r="G101" s="188">
        <f t="shared" si="1"/>
        <v>5.4730000000000008</v>
      </c>
      <c r="H101" s="189">
        <f t="shared" si="2"/>
        <v>163.52118655899665</v>
      </c>
      <c r="I101" s="190">
        <f t="shared" si="9"/>
        <v>0.7521974581713845</v>
      </c>
      <c r="J101" s="191">
        <f t="shared" si="10"/>
        <v>18.03958742024772</v>
      </c>
      <c r="K101" s="192" t="b">
        <f t="shared" si="3"/>
        <v>0</v>
      </c>
      <c r="L101" s="193">
        <f t="shared" si="11"/>
        <v>0</v>
      </c>
      <c r="M101" s="194">
        <f t="shared" si="12"/>
        <v>4.3528630754815204E-10</v>
      </c>
      <c r="N101" s="194">
        <f t="shared" si="13"/>
        <v>28.785068943081871</v>
      </c>
      <c r="O101" s="195">
        <f>IF(ABS(U101)&gt;80,$B$7, LOOKUP(V101,'Force mapping'!$B$7:$B$167,'Force mapping'!$J$7:$J$167))</f>
        <v>646</v>
      </c>
      <c r="P101" s="196">
        <f t="shared" si="4"/>
        <v>0.623</v>
      </c>
      <c r="Q101" s="191">
        <f t="shared" si="5"/>
        <v>6.4299115041689374</v>
      </c>
      <c r="R101" s="197">
        <f>IF(ABS(U101)&gt;80, 0, LOOKUP(V101,'Force mapping'!$B$7:$B$167,'Force mapping'!$I$7:$I$167) * (N101/5) * SIGN(U101))</f>
        <v>3.5092453249889974</v>
      </c>
      <c r="S101" s="198">
        <f t="shared" si="6"/>
        <v>102.0129454938662</v>
      </c>
      <c r="T101" s="199">
        <f t="shared" si="14"/>
        <v>1.8133776650479094</v>
      </c>
      <c r="U101" s="200">
        <f t="shared" si="15"/>
        <v>59.843924362933976</v>
      </c>
      <c r="V101" s="176">
        <f t="shared" si="7"/>
        <v>60</v>
      </c>
      <c r="Y101" s="91"/>
      <c r="Z101" s="88"/>
    </row>
    <row r="102" spans="5:26" ht="12.5" x14ac:dyDescent="0.25">
      <c r="E102" s="186">
        <f t="shared" si="8"/>
        <v>98</v>
      </c>
      <c r="F102" s="187">
        <f t="shared" si="0"/>
        <v>4.9000000000000004</v>
      </c>
      <c r="G102" s="188">
        <f t="shared" si="1"/>
        <v>5.5230000000000006</v>
      </c>
      <c r="H102" s="189">
        <f t="shared" si="2"/>
        <v>163.52118655899665</v>
      </c>
      <c r="I102" s="190">
        <f t="shared" si="9"/>
        <v>0.7521974581713845</v>
      </c>
      <c r="J102" s="191">
        <f t="shared" si="10"/>
        <v>18.03958742024772</v>
      </c>
      <c r="K102" s="192" t="b">
        <f t="shared" si="3"/>
        <v>0</v>
      </c>
      <c r="L102" s="193">
        <f t="shared" si="11"/>
        <v>0</v>
      </c>
      <c r="M102" s="194">
        <f t="shared" si="12"/>
        <v>1.6105593379281623E-10</v>
      </c>
      <c r="N102" s="194">
        <f t="shared" si="13"/>
        <v>26.474870793591776</v>
      </c>
      <c r="O102" s="195">
        <f>IF(ABS(U102)&gt;80,$B$7, LOOKUP(V102,'Force mapping'!$B$7:$B$167,'Force mapping'!$J$7:$J$167))</f>
        <v>646</v>
      </c>
      <c r="P102" s="196">
        <f t="shared" si="4"/>
        <v>0.623</v>
      </c>
      <c r="Q102" s="191">
        <f t="shared" si="5"/>
        <v>5.9138672422049163</v>
      </c>
      <c r="R102" s="197">
        <f>IF(ABS(U102)&gt;80, 0, LOOKUP(V102,'Force mapping'!$B$7:$B$167,'Force mapping'!$I$7:$I$167) * (N102/5) * SIGN(U102))</f>
        <v>3.227604448188361</v>
      </c>
      <c r="S102" s="198">
        <f t="shared" si="6"/>
        <v>93.825710703150023</v>
      </c>
      <c r="T102" s="199">
        <f t="shared" si="14"/>
        <v>1.8184783123226027</v>
      </c>
      <c r="U102" s="200">
        <f t="shared" si="15"/>
        <v>59.750705156044233</v>
      </c>
      <c r="V102" s="176">
        <f t="shared" si="7"/>
        <v>60</v>
      </c>
      <c r="Y102" s="91"/>
      <c r="Z102" s="88"/>
    </row>
    <row r="103" spans="5:26" ht="12.5" x14ac:dyDescent="0.25">
      <c r="E103" s="186">
        <f t="shared" si="8"/>
        <v>99</v>
      </c>
      <c r="F103" s="187">
        <f t="shared" si="0"/>
        <v>4.95</v>
      </c>
      <c r="G103" s="188">
        <f t="shared" si="1"/>
        <v>5.5730000000000004</v>
      </c>
      <c r="H103" s="189">
        <f t="shared" si="2"/>
        <v>163.52118655899665</v>
      </c>
      <c r="I103" s="190">
        <f t="shared" si="9"/>
        <v>0.7521974581713845</v>
      </c>
      <c r="J103" s="191">
        <f t="shared" si="10"/>
        <v>18.03958742024772</v>
      </c>
      <c r="K103" s="192" t="b">
        <f t="shared" si="3"/>
        <v>0</v>
      </c>
      <c r="L103" s="193">
        <f t="shared" si="11"/>
        <v>0</v>
      </c>
      <c r="M103" s="194">
        <f t="shared" si="12"/>
        <v>5.9590695503342006E-11</v>
      </c>
      <c r="N103" s="194">
        <f t="shared" si="13"/>
        <v>24.350081805354961</v>
      </c>
      <c r="O103" s="195">
        <f>IF(ABS(U103)&gt;80,$B$7, LOOKUP(V103,'Force mapping'!$B$7:$B$167,'Force mapping'!$J$7:$J$167))</f>
        <v>659.5</v>
      </c>
      <c r="P103" s="196">
        <f t="shared" si="4"/>
        <v>0.623</v>
      </c>
      <c r="Q103" s="191">
        <f t="shared" si="5"/>
        <v>5.4392390526247443</v>
      </c>
      <c r="R103" s="197">
        <f>IF(ABS(U103)&gt;80, 0, LOOKUP(V103,'Force mapping'!$B$7:$B$167,'Force mapping'!$I$7:$I$167) * (N103/5) * SIGN(U103))</f>
        <v>3.2764009072377314</v>
      </c>
      <c r="S103" s="198">
        <f t="shared" si="6"/>
        <v>95.244212419701498</v>
      </c>
      <c r="T103" s="199">
        <f t="shared" si="14"/>
        <v>1.8231695978577602</v>
      </c>
      <c r="U103" s="200">
        <f t="shared" si="15"/>
        <v>59.657435597660523</v>
      </c>
      <c r="V103" s="176">
        <f t="shared" si="7"/>
        <v>59.5</v>
      </c>
      <c r="Y103" s="91"/>
      <c r="Z103" s="88"/>
    </row>
    <row r="104" spans="5:26" ht="12.5" x14ac:dyDescent="0.25">
      <c r="E104" s="186">
        <f t="shared" si="8"/>
        <v>100</v>
      </c>
      <c r="F104" s="187">
        <f t="shared" si="0"/>
        <v>5</v>
      </c>
      <c r="G104" s="188">
        <f t="shared" si="1"/>
        <v>5.6230000000000002</v>
      </c>
      <c r="H104" s="189">
        <f t="shared" si="2"/>
        <v>163.52118655899665</v>
      </c>
      <c r="I104" s="190">
        <f t="shared" si="9"/>
        <v>0.7521974581713845</v>
      </c>
      <c r="J104" s="191">
        <f t="shared" si="10"/>
        <v>18.03958742024772</v>
      </c>
      <c r="K104" s="192" t="b">
        <f t="shared" si="3"/>
        <v>0</v>
      </c>
      <c r="L104" s="193">
        <f t="shared" si="11"/>
        <v>0</v>
      </c>
      <c r="M104" s="194">
        <f t="shared" si="12"/>
        <v>2.2048557336236542E-11</v>
      </c>
      <c r="N104" s="194">
        <f t="shared" si="13"/>
        <v>22.395821628364963</v>
      </c>
      <c r="O104" s="195">
        <f>IF(ABS(U104)&gt;80,$B$7, LOOKUP(V104,'Force mapping'!$B$7:$B$167,'Force mapping'!$J$7:$J$167))</f>
        <v>659.5</v>
      </c>
      <c r="P104" s="196">
        <f t="shared" si="4"/>
        <v>0.623</v>
      </c>
      <c r="Q104" s="191">
        <f t="shared" si="5"/>
        <v>5.0027030130893166</v>
      </c>
      <c r="R104" s="197">
        <f>IF(ABS(U104)&gt;80, 0, LOOKUP(V104,'Force mapping'!$B$7:$B$167,'Force mapping'!$I$7:$I$167) * (N104/5) * SIGN(U104))</f>
        <v>3.0134473833830189</v>
      </c>
      <c r="S104" s="198">
        <f t="shared" si="6"/>
        <v>87.600214633227296</v>
      </c>
      <c r="T104" s="199">
        <f t="shared" si="14"/>
        <v>1.8279318084787453</v>
      </c>
      <c r="U104" s="200">
        <f t="shared" si="15"/>
        <v>59.563896012457143</v>
      </c>
      <c r="V104" s="176">
        <f t="shared" si="7"/>
        <v>59.5</v>
      </c>
      <c r="Y104" s="91"/>
      <c r="Z104" s="88"/>
    </row>
    <row r="105" spans="5:26" ht="12.5" x14ac:dyDescent="0.25">
      <c r="E105" s="186">
        <f t="shared" si="8"/>
        <v>101</v>
      </c>
      <c r="F105" s="187">
        <f t="shared" si="0"/>
        <v>5.0500000000000007</v>
      </c>
      <c r="G105" s="188">
        <f t="shared" si="1"/>
        <v>5.6730000000000009</v>
      </c>
      <c r="H105" s="189">
        <f t="shared" si="2"/>
        <v>163.52118655899665</v>
      </c>
      <c r="I105" s="190">
        <f t="shared" si="9"/>
        <v>0.7521974581713845</v>
      </c>
      <c r="J105" s="191">
        <f t="shared" si="10"/>
        <v>18.03958742024772</v>
      </c>
      <c r="K105" s="192" t="b">
        <f t="shared" si="3"/>
        <v>0</v>
      </c>
      <c r="L105" s="193">
        <f t="shared" si="11"/>
        <v>0</v>
      </c>
      <c r="M105" s="194">
        <f t="shared" si="12"/>
        <v>8.1579662144075197E-12</v>
      </c>
      <c r="N105" s="194">
        <f t="shared" si="13"/>
        <v>20.598404162205821</v>
      </c>
      <c r="O105" s="195">
        <f>IF(ABS(U105)&gt;80,$B$7, LOOKUP(V105,'Force mapping'!$B$7:$B$167,'Force mapping'!$J$7:$J$167))</f>
        <v>659.5</v>
      </c>
      <c r="P105" s="196">
        <f t="shared" si="4"/>
        <v>0.623</v>
      </c>
      <c r="Q105" s="191">
        <f t="shared" si="5"/>
        <v>4.6012019687005212</v>
      </c>
      <c r="R105" s="197">
        <f>IF(ABS(U105)&gt;80, 0, LOOKUP(V105,'Force mapping'!$B$7:$B$167,'Force mapping'!$I$7:$I$167) * (N105/5) * SIGN(U105))</f>
        <v>2.7715976736414416</v>
      </c>
      <c r="S105" s="198">
        <f t="shared" si="6"/>
        <v>80.569699815158188</v>
      </c>
      <c r="T105" s="199">
        <f t="shared" si="14"/>
        <v>1.8323118192104066</v>
      </c>
      <c r="U105" s="200">
        <f t="shared" si="15"/>
        <v>59.470309416667376</v>
      </c>
      <c r="V105" s="176">
        <f t="shared" si="7"/>
        <v>59.5</v>
      </c>
      <c r="Y105" s="91"/>
      <c r="Z105" s="88"/>
    </row>
    <row r="106" spans="5:26" ht="12.5" x14ac:dyDescent="0.25">
      <c r="E106" s="186">
        <f t="shared" si="8"/>
        <v>102</v>
      </c>
      <c r="F106" s="187">
        <f t="shared" si="0"/>
        <v>5.1000000000000005</v>
      </c>
      <c r="G106" s="188">
        <f t="shared" si="1"/>
        <v>5.7230000000000008</v>
      </c>
      <c r="H106" s="189">
        <f t="shared" si="2"/>
        <v>163.52118655899665</v>
      </c>
      <c r="I106" s="190">
        <f t="shared" si="9"/>
        <v>0.7521974581713845</v>
      </c>
      <c r="J106" s="191">
        <f t="shared" si="10"/>
        <v>18.03958742024772</v>
      </c>
      <c r="K106" s="192" t="b">
        <f t="shared" si="3"/>
        <v>0</v>
      </c>
      <c r="L106" s="193">
        <f t="shared" si="11"/>
        <v>0</v>
      </c>
      <c r="M106" s="194">
        <f t="shared" si="12"/>
        <v>3.0184474993307819E-12</v>
      </c>
      <c r="N106" s="194">
        <f t="shared" si="13"/>
        <v>18.945241709380969</v>
      </c>
      <c r="O106" s="195">
        <f>IF(ABS(U106)&gt;80,$B$7, LOOKUP(V106,'Force mapping'!$B$7:$B$167,'Force mapping'!$J$7:$J$167))</f>
        <v>659.5</v>
      </c>
      <c r="P106" s="196">
        <f t="shared" si="4"/>
        <v>0.623</v>
      </c>
      <c r="Q106" s="191">
        <f t="shared" si="5"/>
        <v>4.2319241220954895</v>
      </c>
      <c r="R106" s="197">
        <f>IF(ABS(U106)&gt;80, 0, LOOKUP(V106,'Force mapping'!$B$7:$B$167,'Force mapping'!$I$7:$I$167) * (N106/5) * SIGN(U106))</f>
        <v>2.5491580529640467</v>
      </c>
      <c r="S106" s="198">
        <f t="shared" si="6"/>
        <v>74.103431772210655</v>
      </c>
      <c r="T106" s="199">
        <f t="shared" si="14"/>
        <v>1.8363403042011646</v>
      </c>
      <c r="U106" s="200">
        <f t="shared" si="15"/>
        <v>59.376679583211477</v>
      </c>
      <c r="V106" s="176">
        <f t="shared" si="7"/>
        <v>59.5</v>
      </c>
      <c r="Y106" s="91"/>
      <c r="Z106" s="88"/>
    </row>
    <row r="107" spans="5:26" ht="12.5" x14ac:dyDescent="0.25">
      <c r="E107" s="186">
        <f t="shared" si="8"/>
        <v>103</v>
      </c>
      <c r="F107" s="187">
        <f t="shared" si="0"/>
        <v>5.15</v>
      </c>
      <c r="G107" s="188">
        <f t="shared" si="1"/>
        <v>5.7730000000000006</v>
      </c>
      <c r="H107" s="189">
        <f t="shared" si="2"/>
        <v>163.52118655899665</v>
      </c>
      <c r="I107" s="190">
        <f t="shared" si="9"/>
        <v>0.7521974581713845</v>
      </c>
      <c r="J107" s="191">
        <f t="shared" si="10"/>
        <v>18.03958742024772</v>
      </c>
      <c r="K107" s="192" t="b">
        <f t="shared" si="3"/>
        <v>0</v>
      </c>
      <c r="L107" s="193">
        <f t="shared" si="11"/>
        <v>0</v>
      </c>
      <c r="M107" s="194">
        <f t="shared" si="12"/>
        <v>1.1168255747523891E-12</v>
      </c>
      <c r="N107" s="194">
        <f t="shared" si="13"/>
        <v>17.424756820987877</v>
      </c>
      <c r="O107" s="195">
        <f>IF(ABS(U107)&gt;80,$B$7, LOOKUP(V107,'Force mapping'!$B$7:$B$167,'Force mapping'!$J$7:$J$167))</f>
        <v>659.5</v>
      </c>
      <c r="P107" s="196">
        <f t="shared" si="4"/>
        <v>0.623</v>
      </c>
      <c r="Q107" s="191">
        <f t="shared" si="5"/>
        <v>3.8922833418310585</v>
      </c>
      <c r="R107" s="197">
        <f>IF(ABS(U107)&gt;80, 0, LOOKUP(V107,'Force mapping'!$B$7:$B$167,'Force mapping'!$I$7:$I$167) * (N107/5) * SIGN(U107))</f>
        <v>2.3445707292912026</v>
      </c>
      <c r="S107" s="198">
        <f t="shared" si="6"/>
        <v>68.15612585148844</v>
      </c>
      <c r="T107" s="199">
        <f t="shared" si="14"/>
        <v>1.8400454757897751</v>
      </c>
      <c r="U107" s="200">
        <f t="shared" si="15"/>
        <v>59.283009982207112</v>
      </c>
      <c r="V107" s="176">
        <f t="shared" si="7"/>
        <v>59.5</v>
      </c>
      <c r="Y107" s="91"/>
      <c r="Z107" s="88"/>
    </row>
    <row r="108" spans="5:26" ht="12.5" x14ac:dyDescent="0.25">
      <c r="E108" s="186">
        <f t="shared" si="8"/>
        <v>104</v>
      </c>
      <c r="F108" s="187">
        <f t="shared" si="0"/>
        <v>5.2</v>
      </c>
      <c r="G108" s="188">
        <f t="shared" si="1"/>
        <v>5.8230000000000004</v>
      </c>
      <c r="H108" s="189">
        <f t="shared" si="2"/>
        <v>163.52118655899665</v>
      </c>
      <c r="I108" s="190">
        <f t="shared" si="9"/>
        <v>0.7521974581713845</v>
      </c>
      <c r="J108" s="191">
        <f t="shared" si="10"/>
        <v>18.03958742024772</v>
      </c>
      <c r="K108" s="192" t="b">
        <f t="shared" si="3"/>
        <v>0</v>
      </c>
      <c r="L108" s="193">
        <f t="shared" si="11"/>
        <v>0</v>
      </c>
      <c r="M108" s="194">
        <f t="shared" si="12"/>
        <v>4.1322546265838394E-13</v>
      </c>
      <c r="N108" s="194">
        <f t="shared" si="13"/>
        <v>16.026301217377384</v>
      </c>
      <c r="O108" s="195">
        <f>IF(ABS(U108)&gt;80,$B$7, LOOKUP(V108,'Force mapping'!$B$7:$B$167,'Force mapping'!$J$7:$J$167))</f>
        <v>673</v>
      </c>
      <c r="P108" s="196">
        <f t="shared" si="4"/>
        <v>0.623</v>
      </c>
      <c r="Q108" s="191">
        <f t="shared" si="5"/>
        <v>3.5799010511544287</v>
      </c>
      <c r="R108" s="197">
        <f>IF(ABS(U108)&gt;80, 0, LOOKUP(V108,'Force mapping'!$B$7:$B$167,'Force mapping'!$I$7:$I$167) * (N108/5) * SIGN(U108))</f>
        <v>2.3590074339930811</v>
      </c>
      <c r="S108" s="198">
        <f t="shared" si="6"/>
        <v>68.575797499798867</v>
      </c>
      <c r="T108" s="199">
        <f t="shared" si="14"/>
        <v>1.8434532820823495</v>
      </c>
      <c r="U108" s="200">
        <f t="shared" si="15"/>
        <v>59.189303805271337</v>
      </c>
      <c r="V108" s="176">
        <f t="shared" si="7"/>
        <v>59</v>
      </c>
      <c r="Y108" s="91"/>
      <c r="Z108" s="88"/>
    </row>
    <row r="109" spans="5:26" ht="12.5" x14ac:dyDescent="0.25">
      <c r="E109" s="186">
        <f t="shared" si="8"/>
        <v>105</v>
      </c>
      <c r="F109" s="187">
        <f t="shared" si="0"/>
        <v>5.25</v>
      </c>
      <c r="G109" s="188">
        <f t="shared" si="1"/>
        <v>5.8730000000000002</v>
      </c>
      <c r="H109" s="189">
        <f t="shared" si="2"/>
        <v>163.52118655899665</v>
      </c>
      <c r="I109" s="190">
        <f t="shared" si="9"/>
        <v>0.7521974581713845</v>
      </c>
      <c r="J109" s="191">
        <f t="shared" si="10"/>
        <v>18.03958742024772</v>
      </c>
      <c r="K109" s="192" t="b">
        <f t="shared" si="3"/>
        <v>0</v>
      </c>
      <c r="L109" s="193">
        <f t="shared" si="11"/>
        <v>0</v>
      </c>
      <c r="M109" s="194">
        <f t="shared" si="12"/>
        <v>1.5289342118360204E-13</v>
      </c>
      <c r="N109" s="194">
        <f t="shared" si="13"/>
        <v>14.740081215982764</v>
      </c>
      <c r="O109" s="195">
        <f>IF(ABS(U109)&gt;80,$B$7, LOOKUP(V109,'Force mapping'!$B$7:$B$167,'Force mapping'!$J$7:$J$167))</f>
        <v>673</v>
      </c>
      <c r="P109" s="196">
        <f t="shared" si="4"/>
        <v>0.623</v>
      </c>
      <c r="Q109" s="191">
        <f t="shared" si="5"/>
        <v>3.2925895703234223</v>
      </c>
      <c r="R109" s="197">
        <f>IF(ABS(U109)&gt;80, 0, LOOKUP(V109,'Force mapping'!$B$7:$B$167,'Force mapping'!$I$7:$I$167) * (N109/5) * SIGN(U109))</f>
        <v>2.1696809946677988</v>
      </c>
      <c r="S109" s="198">
        <f t="shared" si="6"/>
        <v>63.072121938017411</v>
      </c>
      <c r="T109" s="199">
        <f t="shared" si="14"/>
        <v>1.8468820719573393</v>
      </c>
      <c r="U109" s="200">
        <f t="shared" si="15"/>
        <v>59.095416746229724</v>
      </c>
      <c r="V109" s="176">
        <f t="shared" si="7"/>
        <v>59</v>
      </c>
      <c r="Y109" s="91"/>
      <c r="Z109" s="88"/>
    </row>
    <row r="110" spans="5:26" ht="12.5" x14ac:dyDescent="0.25">
      <c r="E110" s="186">
        <f t="shared" si="8"/>
        <v>106</v>
      </c>
      <c r="F110" s="187">
        <f t="shared" si="0"/>
        <v>5.3000000000000007</v>
      </c>
      <c r="G110" s="188">
        <f t="shared" si="1"/>
        <v>5.9230000000000009</v>
      </c>
      <c r="H110" s="189">
        <f t="shared" si="2"/>
        <v>163.52118655899665</v>
      </c>
      <c r="I110" s="190">
        <f t="shared" si="9"/>
        <v>0.7521974581713845</v>
      </c>
      <c r="J110" s="191">
        <f t="shared" si="10"/>
        <v>18.03958742024772</v>
      </c>
      <c r="K110" s="192" t="b">
        <f t="shared" si="3"/>
        <v>0</v>
      </c>
      <c r="L110" s="193">
        <f t="shared" si="11"/>
        <v>0</v>
      </c>
      <c r="M110" s="194">
        <f t="shared" si="12"/>
        <v>5.657056583793276E-14</v>
      </c>
      <c r="N110" s="194">
        <f t="shared" si="13"/>
        <v>13.557089144074048</v>
      </c>
      <c r="O110" s="195">
        <f>IF(ABS(U110)&gt;80,$B$7, LOOKUP(V110,'Force mapping'!$B$7:$B$167,'Force mapping'!$J$7:$J$167))</f>
        <v>673</v>
      </c>
      <c r="P110" s="196">
        <f t="shared" si="4"/>
        <v>0.623</v>
      </c>
      <c r="Q110" s="191">
        <f t="shared" si="5"/>
        <v>3.0283367958191381</v>
      </c>
      <c r="R110" s="197">
        <f>IF(ABS(U110)&gt;80, 0, LOOKUP(V110,'Force mapping'!$B$7:$B$167,'Force mapping'!$I$7:$I$167) * (N110/5) * SIGN(U110))</f>
        <v>1.9955492936511234</v>
      </c>
      <c r="S110" s="198">
        <f t="shared" si="6"/>
        <v>58.010153885207075</v>
      </c>
      <c r="T110" s="199">
        <f t="shared" si="14"/>
        <v>1.8500356780542402</v>
      </c>
      <c r="U110" s="200">
        <f t="shared" si="15"/>
        <v>59.001495839583406</v>
      </c>
      <c r="V110" s="176">
        <f t="shared" si="7"/>
        <v>59</v>
      </c>
      <c r="Y110" s="91"/>
      <c r="Z110" s="88"/>
    </row>
    <row r="111" spans="5:26" ht="12.5" x14ac:dyDescent="0.25">
      <c r="E111" s="186">
        <f t="shared" si="8"/>
        <v>107</v>
      </c>
      <c r="F111" s="187">
        <f t="shared" si="0"/>
        <v>5.3500000000000005</v>
      </c>
      <c r="G111" s="188">
        <f t="shared" si="1"/>
        <v>5.9730000000000008</v>
      </c>
      <c r="H111" s="189">
        <f t="shared" si="2"/>
        <v>163.52118655899665</v>
      </c>
      <c r="I111" s="190">
        <f t="shared" si="9"/>
        <v>0.7521974581713845</v>
      </c>
      <c r="J111" s="191">
        <f t="shared" si="10"/>
        <v>18.03958742024772</v>
      </c>
      <c r="K111" s="192" t="b">
        <f t="shared" si="3"/>
        <v>0</v>
      </c>
      <c r="L111" s="193">
        <f t="shared" si="11"/>
        <v>0</v>
      </c>
      <c r="M111" s="194">
        <f t="shared" si="12"/>
        <v>2.0931109360035121E-14</v>
      </c>
      <c r="N111" s="194">
        <f t="shared" si="13"/>
        <v>12.469040256106634</v>
      </c>
      <c r="O111" s="195">
        <f>IF(ABS(U111)&gt;80,$B$7, LOOKUP(V111,'Force mapping'!$B$7:$B$167,'Force mapping'!$J$7:$J$167))</f>
        <v>673</v>
      </c>
      <c r="P111" s="196">
        <f t="shared" si="4"/>
        <v>0.623</v>
      </c>
      <c r="Q111" s="191">
        <f t="shared" si="5"/>
        <v>2.7852921091562872</v>
      </c>
      <c r="R111" s="197">
        <f>IF(ABS(U111)&gt;80, 0, LOOKUP(V111,'Force mapping'!$B$7:$B$167,'Force mapping'!$I$7:$I$167) * (N111/5) * SIGN(U111))</f>
        <v>1.835392849537872</v>
      </c>
      <c r="S111" s="198">
        <f t="shared" si="6"/>
        <v>53.354443300519534</v>
      </c>
      <c r="T111" s="199">
        <f t="shared" si="14"/>
        <v>1.8529361857485005</v>
      </c>
      <c r="U111" s="200">
        <f t="shared" si="15"/>
        <v>58.907543801833562</v>
      </c>
      <c r="V111" s="176">
        <f t="shared" si="7"/>
        <v>59</v>
      </c>
      <c r="Y111" s="91"/>
      <c r="Z111" s="88"/>
    </row>
    <row r="112" spans="5:26" ht="12.5" x14ac:dyDescent="0.25">
      <c r="E112" s="186">
        <f t="shared" si="8"/>
        <v>108</v>
      </c>
      <c r="F112" s="187">
        <f t="shared" si="0"/>
        <v>5.4</v>
      </c>
      <c r="G112" s="188">
        <f t="shared" si="1"/>
        <v>6.0230000000000006</v>
      </c>
      <c r="H112" s="189">
        <f t="shared" si="2"/>
        <v>163.52118655899665</v>
      </c>
      <c r="I112" s="190">
        <f t="shared" si="9"/>
        <v>0.7521974581713845</v>
      </c>
      <c r="J112" s="191">
        <f t="shared" si="10"/>
        <v>18.03958742024772</v>
      </c>
      <c r="K112" s="192" t="b">
        <f t="shared" si="3"/>
        <v>0</v>
      </c>
      <c r="L112" s="193">
        <f t="shared" si="11"/>
        <v>0</v>
      </c>
      <c r="M112" s="194">
        <f t="shared" si="12"/>
        <v>7.744510463212995E-15</v>
      </c>
      <c r="N112" s="194">
        <f t="shared" si="13"/>
        <v>11.46831471388299</v>
      </c>
      <c r="O112" s="195">
        <f>IF(ABS(U112)&gt;80,$B$7, LOOKUP(V112,'Force mapping'!$B$7:$B$167,'Force mapping'!$J$7:$J$167))</f>
        <v>673</v>
      </c>
      <c r="P112" s="196">
        <f t="shared" si="4"/>
        <v>0.623</v>
      </c>
      <c r="Q112" s="191">
        <f t="shared" si="5"/>
        <v>2.5617534166076288</v>
      </c>
      <c r="R112" s="197">
        <f>IF(ABS(U112)&gt;80, 0, LOOKUP(V112,'Force mapping'!$B$7:$B$167,'Force mapping'!$I$7:$I$167) * (N112/5) * SIGN(U112))</f>
        <v>1.6880900526247204</v>
      </c>
      <c r="S112" s="198">
        <f t="shared" si="6"/>
        <v>49.072385250718618</v>
      </c>
      <c r="T112" s="199">
        <f t="shared" si="14"/>
        <v>1.8556039079135265</v>
      </c>
      <c r="U112" s="200">
        <f t="shared" si="15"/>
        <v>58.813563131463624</v>
      </c>
      <c r="V112" s="176">
        <f t="shared" si="7"/>
        <v>59</v>
      </c>
      <c r="Y112" s="91"/>
      <c r="Z112" s="88"/>
    </row>
    <row r="113" spans="5:26" ht="12.5" x14ac:dyDescent="0.25">
      <c r="E113" s="186">
        <f t="shared" si="8"/>
        <v>109</v>
      </c>
      <c r="F113" s="187">
        <f t="shared" si="0"/>
        <v>5.45</v>
      </c>
      <c r="G113" s="188">
        <f t="shared" si="1"/>
        <v>6.0730000000000004</v>
      </c>
      <c r="H113" s="189">
        <f t="shared" si="2"/>
        <v>163.52118655899665</v>
      </c>
      <c r="I113" s="190">
        <f t="shared" si="9"/>
        <v>0.7521974581713845</v>
      </c>
      <c r="J113" s="191">
        <f t="shared" si="10"/>
        <v>18.03958742024772</v>
      </c>
      <c r="K113" s="192" t="b">
        <f t="shared" si="3"/>
        <v>0</v>
      </c>
      <c r="L113" s="193">
        <f t="shared" si="11"/>
        <v>0</v>
      </c>
      <c r="M113" s="194">
        <f t="shared" si="12"/>
        <v>2.8654688713888084E-15</v>
      </c>
      <c r="N113" s="194">
        <f t="shared" si="13"/>
        <v>10.547904223202172</v>
      </c>
      <c r="O113" s="195">
        <f>IF(ABS(U113)&gt;80,$B$7, LOOKUP(V113,'Force mapping'!$B$7:$B$167,'Force mapping'!$J$7:$J$167))</f>
        <v>688.5</v>
      </c>
      <c r="P113" s="196">
        <f t="shared" si="4"/>
        <v>0.623</v>
      </c>
      <c r="Q113" s="191">
        <f t="shared" si="5"/>
        <v>2.3561552290789267</v>
      </c>
      <c r="R113" s="197">
        <f>IF(ABS(U113)&gt;80, 0, LOOKUP(V113,'Force mapping'!$B$7:$B$167,'Force mapping'!$I$7:$I$167) * (N113/5) * SIGN(U113))</f>
        <v>1.655978771425848</v>
      </c>
      <c r="S113" s="198">
        <f t="shared" si="6"/>
        <v>48.138917774007211</v>
      </c>
      <c r="T113" s="199">
        <f t="shared" si="14"/>
        <v>1.8580575271760624</v>
      </c>
      <c r="U113" s="200">
        <f t="shared" si="15"/>
        <v>58.719556126436679</v>
      </c>
      <c r="V113" s="176">
        <f t="shared" si="7"/>
        <v>58.5</v>
      </c>
      <c r="Y113" s="91"/>
      <c r="Z113" s="88"/>
    </row>
    <row r="114" spans="5:26" ht="12.5" x14ac:dyDescent="0.25">
      <c r="E114" s="186">
        <f t="shared" si="8"/>
        <v>110</v>
      </c>
      <c r="F114" s="187">
        <f t="shared" si="0"/>
        <v>5.5</v>
      </c>
      <c r="G114" s="188">
        <f t="shared" si="1"/>
        <v>6.1230000000000002</v>
      </c>
      <c r="H114" s="189">
        <f t="shared" si="2"/>
        <v>163.52118655899665</v>
      </c>
      <c r="I114" s="190">
        <f t="shared" si="9"/>
        <v>0.7521974581713845</v>
      </c>
      <c r="J114" s="191">
        <f t="shared" si="10"/>
        <v>18.03958742024772</v>
      </c>
      <c r="K114" s="192" t="b">
        <f t="shared" si="3"/>
        <v>0</v>
      </c>
      <c r="L114" s="193">
        <f t="shared" si="11"/>
        <v>0</v>
      </c>
      <c r="M114" s="194">
        <f t="shared" si="12"/>
        <v>1.060223482413859E-15</v>
      </c>
      <c r="N114" s="194">
        <f t="shared" si="13"/>
        <v>9.7013629532822545</v>
      </c>
      <c r="O114" s="195">
        <f>IF(ABS(U114)&gt;80,$B$7, LOOKUP(V114,'Force mapping'!$B$7:$B$167,'Force mapping'!$J$7:$J$167))</f>
        <v>688.5</v>
      </c>
      <c r="P114" s="196">
        <f t="shared" si="4"/>
        <v>0.623</v>
      </c>
      <c r="Q114" s="191">
        <f t="shared" si="5"/>
        <v>2.167057698655257</v>
      </c>
      <c r="R114" s="197">
        <f>IF(ABS(U114)&gt;80, 0, LOOKUP(V114,'Force mapping'!$B$7:$B$167,'Force mapping'!$I$7:$I$167) * (N114/5) * SIGN(U114))</f>
        <v>1.5230751782135008</v>
      </c>
      <c r="S114" s="198">
        <f t="shared" si="6"/>
        <v>44.275441227136653</v>
      </c>
      <c r="T114" s="199">
        <f t="shared" si="14"/>
        <v>1.8604644730647628</v>
      </c>
      <c r="U114" s="200">
        <f t="shared" si="15"/>
        <v>58.625449777133525</v>
      </c>
      <c r="V114" s="176">
        <f t="shared" si="7"/>
        <v>58.5</v>
      </c>
      <c r="Y114" s="91"/>
      <c r="Z114" s="88"/>
    </row>
    <row r="115" spans="5:26" ht="12.5" x14ac:dyDescent="0.25">
      <c r="E115" s="186">
        <f t="shared" si="8"/>
        <v>111</v>
      </c>
      <c r="F115" s="187">
        <f t="shared" si="0"/>
        <v>5.5500000000000007</v>
      </c>
      <c r="G115" s="188">
        <f t="shared" si="1"/>
        <v>6.1730000000000009</v>
      </c>
      <c r="H115" s="189">
        <f t="shared" si="2"/>
        <v>163.52118655899665</v>
      </c>
      <c r="I115" s="190">
        <f t="shared" si="9"/>
        <v>0.7521974581713845</v>
      </c>
      <c r="J115" s="191">
        <f t="shared" si="10"/>
        <v>18.03958742024772</v>
      </c>
      <c r="K115" s="192" t="b">
        <f t="shared" si="3"/>
        <v>0</v>
      </c>
      <c r="L115" s="193">
        <f t="shared" si="11"/>
        <v>0</v>
      </c>
      <c r="M115" s="194">
        <f t="shared" si="12"/>
        <v>3.922826884931278E-16</v>
      </c>
      <c r="N115" s="194">
        <f t="shared" si="13"/>
        <v>8.9227623952339208</v>
      </c>
      <c r="O115" s="195">
        <f>IF(ABS(U115)&gt;80,$B$7, LOOKUP(V115,'Force mapping'!$B$7:$B$167,'Force mapping'!$J$7:$J$167))</f>
        <v>688.5</v>
      </c>
      <c r="P115" s="196">
        <f t="shared" si="4"/>
        <v>0.623</v>
      </c>
      <c r="Q115" s="191">
        <f t="shared" si="5"/>
        <v>1.9931365350392651</v>
      </c>
      <c r="R115" s="197">
        <f>IF(ABS(U115)&gt;80, 0, LOOKUP(V115,'Force mapping'!$B$7:$B$167,'Force mapping'!$I$7:$I$167) * (N115/5) * SIGN(U115))</f>
        <v>1.4008380050021447</v>
      </c>
      <c r="S115" s="198">
        <f t="shared" si="6"/>
        <v>40.722035029132115</v>
      </c>
      <c r="T115" s="199">
        <f t="shared" si="14"/>
        <v>1.8626782451261197</v>
      </c>
      <c r="U115" s="200">
        <f t="shared" si="15"/>
        <v>58.531319667449608</v>
      </c>
      <c r="V115" s="176">
        <f t="shared" si="7"/>
        <v>58.5</v>
      </c>
      <c r="Y115" s="91"/>
      <c r="Z115" s="88"/>
    </row>
    <row r="116" spans="5:26" ht="12.5" x14ac:dyDescent="0.25">
      <c r="E116" s="186">
        <f t="shared" si="8"/>
        <v>112</v>
      </c>
      <c r="F116" s="187">
        <f t="shared" si="0"/>
        <v>5.6000000000000005</v>
      </c>
      <c r="G116" s="188">
        <f t="shared" si="1"/>
        <v>6.2230000000000008</v>
      </c>
      <c r="H116" s="189">
        <f t="shared" si="2"/>
        <v>163.52118655899665</v>
      </c>
      <c r="I116" s="190">
        <f t="shared" si="9"/>
        <v>0.7521974581713845</v>
      </c>
      <c r="J116" s="191">
        <f t="shared" si="10"/>
        <v>18.03958742024772</v>
      </c>
      <c r="K116" s="192" t="b">
        <f t="shared" si="3"/>
        <v>0</v>
      </c>
      <c r="L116" s="193">
        <f t="shared" si="11"/>
        <v>0</v>
      </c>
      <c r="M116" s="194">
        <f t="shared" si="12"/>
        <v>1.4514459474245727E-16</v>
      </c>
      <c r="N116" s="194">
        <f t="shared" si="13"/>
        <v>8.2066498434494974</v>
      </c>
      <c r="O116" s="195">
        <f>IF(ABS(U116)&gt;80,$B$7, LOOKUP(V116,'Force mapping'!$B$7:$B$167,'Force mapping'!$J$7:$J$167))</f>
        <v>688.5</v>
      </c>
      <c r="P116" s="196">
        <f t="shared" si="4"/>
        <v>0.623</v>
      </c>
      <c r="Q116" s="191">
        <f t="shared" si="5"/>
        <v>1.8331737312640435</v>
      </c>
      <c r="R116" s="197">
        <f>IF(ABS(U116)&gt;80, 0, LOOKUP(V116,'Force mapping'!$B$7:$B$167,'Force mapping'!$I$7:$I$167) * (N116/5) * SIGN(U116))</f>
        <v>1.2884111988221973</v>
      </c>
      <c r="S116" s="198">
        <f t="shared" si="6"/>
        <v>37.453813919249924</v>
      </c>
      <c r="T116" s="199">
        <f t="shared" si="14"/>
        <v>1.8647143468775762</v>
      </c>
      <c r="U116" s="200">
        <f t="shared" si="15"/>
        <v>58.437167704317574</v>
      </c>
      <c r="V116" s="176">
        <f t="shared" si="7"/>
        <v>58.5</v>
      </c>
      <c r="Y116" s="91"/>
      <c r="Z116" s="88"/>
    </row>
    <row r="117" spans="5:26" ht="12.5" x14ac:dyDescent="0.25">
      <c r="E117" s="186">
        <f t="shared" si="8"/>
        <v>113</v>
      </c>
      <c r="F117" s="187">
        <f t="shared" si="0"/>
        <v>5.65</v>
      </c>
      <c r="G117" s="188">
        <f t="shared" si="1"/>
        <v>6.2730000000000006</v>
      </c>
      <c r="H117" s="189">
        <f t="shared" si="2"/>
        <v>163.52118655899665</v>
      </c>
      <c r="I117" s="190">
        <f t="shared" si="9"/>
        <v>0.7521974581713845</v>
      </c>
      <c r="J117" s="191">
        <f t="shared" si="10"/>
        <v>18.03958742024772</v>
      </c>
      <c r="K117" s="192" t="b">
        <f t="shared" si="3"/>
        <v>0</v>
      </c>
      <c r="L117" s="193">
        <f t="shared" si="11"/>
        <v>0</v>
      </c>
      <c r="M117" s="194">
        <f t="shared" si="12"/>
        <v>5.3703500054709193E-17</v>
      </c>
      <c r="N117" s="194">
        <f t="shared" si="13"/>
        <v>7.5480102091437598</v>
      </c>
      <c r="O117" s="195">
        <f>IF(ABS(U117)&gt;80,$B$7, LOOKUP(V117,'Force mapping'!$B$7:$B$167,'Force mapping'!$J$7:$J$167))</f>
        <v>688.5</v>
      </c>
      <c r="P117" s="196">
        <f t="shared" si="4"/>
        <v>0.623</v>
      </c>
      <c r="Q117" s="191">
        <f t="shared" si="5"/>
        <v>1.6860490337308138</v>
      </c>
      <c r="R117" s="197">
        <f>IF(ABS(U117)&gt;80, 0, LOOKUP(V117,'Force mapping'!$B$7:$B$167,'Force mapping'!$I$7:$I$167) * (N117/5) * SIGN(U117))</f>
        <v>1.1850074107947337</v>
      </c>
      <c r="S117" s="198">
        <f t="shared" si="6"/>
        <v>34.44788984868412</v>
      </c>
      <c r="T117" s="199">
        <f t="shared" si="14"/>
        <v>1.8665870375735387</v>
      </c>
      <c r="U117" s="200">
        <f t="shared" si="15"/>
        <v>58.342995641625713</v>
      </c>
      <c r="V117" s="176">
        <f t="shared" si="7"/>
        <v>58.5</v>
      </c>
      <c r="Y117" s="91"/>
      <c r="Z117" s="88"/>
    </row>
    <row r="118" spans="5:26" ht="12.5" x14ac:dyDescent="0.25">
      <c r="E118" s="186">
        <f t="shared" si="8"/>
        <v>114</v>
      </c>
      <c r="F118" s="187">
        <f t="shared" si="0"/>
        <v>5.7</v>
      </c>
      <c r="G118" s="188">
        <f t="shared" si="1"/>
        <v>6.3230000000000004</v>
      </c>
      <c r="H118" s="189">
        <f t="shared" si="2"/>
        <v>163.52118655899665</v>
      </c>
      <c r="I118" s="190">
        <f t="shared" si="9"/>
        <v>0.7521974581713845</v>
      </c>
      <c r="J118" s="191">
        <f t="shared" si="10"/>
        <v>18.03958742024772</v>
      </c>
      <c r="K118" s="192" t="b">
        <f t="shared" si="3"/>
        <v>0</v>
      </c>
      <c r="L118" s="193">
        <f t="shared" si="11"/>
        <v>0</v>
      </c>
      <c r="M118" s="194">
        <f t="shared" si="12"/>
        <v>1.9870295020242404E-17</v>
      </c>
      <c r="N118" s="194">
        <f t="shared" si="13"/>
        <v>6.942230898618579</v>
      </c>
      <c r="O118" s="195">
        <f>IF(ABS(U118)&gt;80,$B$7, LOOKUP(V118,'Force mapping'!$B$7:$B$167,'Force mapping'!$J$7:$J$167))</f>
        <v>704</v>
      </c>
      <c r="P118" s="196">
        <f t="shared" si="4"/>
        <v>0.623</v>
      </c>
      <c r="Q118" s="191">
        <f t="shared" si="5"/>
        <v>1.5507320968342799</v>
      </c>
      <c r="R118" s="197">
        <f>IF(ABS(U118)&gt;80, 0, LOOKUP(V118,'Force mapping'!$B$7:$B$167,'Force mapping'!$I$7:$I$167) * (N118/5) * SIGN(U118))</f>
        <v>1.1579363449659843</v>
      </c>
      <c r="S118" s="198">
        <f t="shared" si="6"/>
        <v>33.66094026063908</v>
      </c>
      <c r="T118" s="199">
        <f t="shared" si="14"/>
        <v>1.868309432065973</v>
      </c>
      <c r="U118" s="200">
        <f t="shared" si="15"/>
        <v>58.248805092500817</v>
      </c>
      <c r="V118" s="176">
        <f t="shared" si="7"/>
        <v>58</v>
      </c>
      <c r="Y118" s="91"/>
      <c r="Z118" s="88"/>
    </row>
    <row r="119" spans="5:26" ht="12.5" x14ac:dyDescent="0.25">
      <c r="E119" s="186">
        <f t="shared" si="8"/>
        <v>115</v>
      </c>
      <c r="F119" s="187">
        <f t="shared" si="0"/>
        <v>5.75</v>
      </c>
      <c r="G119" s="188">
        <f t="shared" si="1"/>
        <v>6.3730000000000002</v>
      </c>
      <c r="H119" s="189">
        <f t="shared" si="2"/>
        <v>163.52118655899665</v>
      </c>
      <c r="I119" s="190">
        <f t="shared" si="9"/>
        <v>0.7521974581713845</v>
      </c>
      <c r="J119" s="191">
        <f t="shared" si="10"/>
        <v>18.03958742024772</v>
      </c>
      <c r="K119" s="192" t="b">
        <f t="shared" si="3"/>
        <v>0</v>
      </c>
      <c r="L119" s="193">
        <f t="shared" si="11"/>
        <v>0</v>
      </c>
      <c r="M119" s="194">
        <f t="shared" si="12"/>
        <v>7.3520091574896896E-18</v>
      </c>
      <c r="N119" s="194">
        <f t="shared" si="13"/>
        <v>6.3850695102864297</v>
      </c>
      <c r="O119" s="195">
        <f>IF(ABS(U119)&gt;80,$B$7, LOOKUP(V119,'Force mapping'!$B$7:$B$167,'Force mapping'!$J$7:$J$167))</f>
        <v>704</v>
      </c>
      <c r="P119" s="196">
        <f t="shared" si="4"/>
        <v>0.623</v>
      </c>
      <c r="Q119" s="191">
        <f t="shared" si="5"/>
        <v>1.4262752672328127</v>
      </c>
      <c r="R119" s="197">
        <f>IF(ABS(U119)&gt;80, 0, LOOKUP(V119,'Force mapping'!$B$7:$B$167,'Force mapping'!$I$7:$I$167) * (N119/5) * SIGN(U119))</f>
        <v>1.0650040540377352</v>
      </c>
      <c r="S119" s="198">
        <f t="shared" si="6"/>
        <v>30.959420175515561</v>
      </c>
      <c r="T119" s="199">
        <f t="shared" si="14"/>
        <v>1.869992479079005</v>
      </c>
      <c r="U119" s="200">
        <f t="shared" si="15"/>
        <v>58.154548097391</v>
      </c>
      <c r="V119" s="176">
        <f t="shared" si="7"/>
        <v>58</v>
      </c>
      <c r="Y119" s="91"/>
      <c r="Z119" s="88"/>
    </row>
    <row r="120" spans="5:26" ht="12.5" x14ac:dyDescent="0.25">
      <c r="E120" s="186">
        <f t="shared" si="8"/>
        <v>116</v>
      </c>
      <c r="F120" s="187">
        <f t="shared" si="0"/>
        <v>5.8000000000000007</v>
      </c>
      <c r="G120" s="188">
        <f t="shared" si="1"/>
        <v>6.4230000000000009</v>
      </c>
      <c r="H120" s="189">
        <f t="shared" si="2"/>
        <v>163.52118655899665</v>
      </c>
      <c r="I120" s="190">
        <f t="shared" si="9"/>
        <v>0.7521974581713845</v>
      </c>
      <c r="J120" s="191">
        <f t="shared" si="10"/>
        <v>18.03958742024772</v>
      </c>
      <c r="K120" s="192" t="b">
        <f t="shared" si="3"/>
        <v>0</v>
      </c>
      <c r="L120" s="193">
        <f t="shared" si="11"/>
        <v>0</v>
      </c>
      <c r="M120" s="194">
        <f t="shared" si="12"/>
        <v>2.7202433882711848E-18</v>
      </c>
      <c r="N120" s="194">
        <f t="shared" si="13"/>
        <v>5.8726241242281292</v>
      </c>
      <c r="O120" s="195">
        <f>IF(ABS(U120)&gt;80,$B$7, LOOKUP(V120,'Force mapping'!$B$7:$B$167,'Force mapping'!$J$7:$J$167))</f>
        <v>704</v>
      </c>
      <c r="P120" s="196">
        <f t="shared" si="4"/>
        <v>0.623</v>
      </c>
      <c r="Q120" s="191">
        <f t="shared" si="5"/>
        <v>1.3118069472301794</v>
      </c>
      <c r="R120" s="197">
        <f>IF(ABS(U120)&gt;80, 0, LOOKUP(V120,'Force mapping'!$B$7:$B$167,'Force mapping'!$I$7:$I$167) * (N120/5) * SIGN(U120))</f>
        <v>0.97953021342475499</v>
      </c>
      <c r="S120" s="198">
        <f t="shared" si="6"/>
        <v>28.474715506533574</v>
      </c>
      <c r="T120" s="199">
        <f t="shared" si="14"/>
        <v>1.8715404500877808</v>
      </c>
      <c r="U120" s="200">
        <f t="shared" si="15"/>
        <v>58.060274487932659</v>
      </c>
      <c r="V120" s="176">
        <f t="shared" si="7"/>
        <v>58</v>
      </c>
      <c r="Y120" s="91"/>
      <c r="Z120" s="88"/>
    </row>
    <row r="121" spans="5:26" ht="12.5" x14ac:dyDescent="0.25">
      <c r="E121" s="186">
        <f t="shared" si="8"/>
        <v>117</v>
      </c>
      <c r="F121" s="187">
        <f t="shared" si="0"/>
        <v>5.8500000000000005</v>
      </c>
      <c r="G121" s="188">
        <f t="shared" si="1"/>
        <v>6.4730000000000008</v>
      </c>
      <c r="H121" s="189">
        <f t="shared" si="2"/>
        <v>163.52118655899665</v>
      </c>
      <c r="I121" s="190">
        <f t="shared" si="9"/>
        <v>0.7521974581713845</v>
      </c>
      <c r="J121" s="191">
        <f t="shared" si="10"/>
        <v>18.03958742024772</v>
      </c>
      <c r="K121" s="192" t="b">
        <f t="shared" si="3"/>
        <v>0</v>
      </c>
      <c r="L121" s="193">
        <f t="shared" si="11"/>
        <v>0</v>
      </c>
      <c r="M121" s="194">
        <f t="shared" si="12"/>
        <v>1.0064900536603384E-18</v>
      </c>
      <c r="N121" s="194">
        <f t="shared" si="13"/>
        <v>5.401305976216241</v>
      </c>
      <c r="O121" s="195">
        <f>IF(ABS(U121)&gt;80,$B$7, LOOKUP(V121,'Force mapping'!$B$7:$B$167,'Force mapping'!$J$7:$J$167))</f>
        <v>704</v>
      </c>
      <c r="P121" s="196">
        <f t="shared" si="4"/>
        <v>0.623</v>
      </c>
      <c r="Q121" s="191">
        <f t="shared" si="5"/>
        <v>1.2065254907911602</v>
      </c>
      <c r="R121" s="197">
        <f>IF(ABS(U121)&gt;80, 0, LOOKUP(V121,'Force mapping'!$B$7:$B$167,'Force mapping'!$I$7:$I$167) * (N121/5) * SIGN(U121))</f>
        <v>0.90091623160896406</v>
      </c>
      <c r="S121" s="198">
        <f t="shared" si="6"/>
        <v>26.189425337469885</v>
      </c>
      <c r="T121" s="199">
        <f t="shared" si="14"/>
        <v>1.8729641858631074</v>
      </c>
      <c r="U121" s="200">
        <f t="shared" si="15"/>
        <v>57.965985597540609</v>
      </c>
      <c r="V121" s="176">
        <f t="shared" si="7"/>
        <v>58</v>
      </c>
      <c r="Y121" s="91"/>
      <c r="Z121" s="88"/>
    </row>
    <row r="122" spans="5:26" ht="12.5" x14ac:dyDescent="0.25">
      <c r="E122" s="186">
        <f t="shared" si="8"/>
        <v>118</v>
      </c>
      <c r="F122" s="187">
        <f t="shared" si="0"/>
        <v>5.9</v>
      </c>
      <c r="G122" s="188">
        <f t="shared" si="1"/>
        <v>6.5230000000000006</v>
      </c>
      <c r="H122" s="189">
        <f t="shared" si="2"/>
        <v>163.52118655899665</v>
      </c>
      <c r="I122" s="190">
        <f t="shared" si="9"/>
        <v>0.7521974581713845</v>
      </c>
      <c r="J122" s="191">
        <f t="shared" si="10"/>
        <v>18.03958742024772</v>
      </c>
      <c r="K122" s="192" t="b">
        <f t="shared" si="3"/>
        <v>0</v>
      </c>
      <c r="L122" s="193">
        <f t="shared" si="11"/>
        <v>0</v>
      </c>
      <c r="M122" s="194">
        <f t="shared" si="12"/>
        <v>3.7240131985432515E-19</v>
      </c>
      <c r="N122" s="194">
        <f t="shared" si="13"/>
        <v>4.9678143248345208</v>
      </c>
      <c r="O122" s="195">
        <f>IF(ABS(U122)&gt;80,$B$7, LOOKUP(V122,'Force mapping'!$B$7:$B$167,'Force mapping'!$J$7:$J$167))</f>
        <v>704</v>
      </c>
      <c r="P122" s="196">
        <f t="shared" si="4"/>
        <v>0.623</v>
      </c>
      <c r="Q122" s="191">
        <f t="shared" si="5"/>
        <v>1.1096935894435551</v>
      </c>
      <c r="R122" s="197">
        <f>IF(ABS(U122)&gt;80, 0, LOOKUP(V122,'Force mapping'!$B$7:$B$167,'Force mapping'!$I$7:$I$167) * (N122/5) * SIGN(U122))</f>
        <v>0.82861155812509868</v>
      </c>
      <c r="S122" s="198">
        <f t="shared" si="6"/>
        <v>24.087545294334262</v>
      </c>
      <c r="T122" s="199">
        <f t="shared" si="14"/>
        <v>1.874273657129981</v>
      </c>
      <c r="U122" s="200">
        <f t="shared" si="15"/>
        <v>57.87168265261402</v>
      </c>
      <c r="V122" s="176">
        <f t="shared" si="7"/>
        <v>58</v>
      </c>
      <c r="Y122" s="91"/>
      <c r="Z122" s="88"/>
    </row>
    <row r="123" spans="5:26" ht="12.5" x14ac:dyDescent="0.25">
      <c r="E123" s="186">
        <f t="shared" si="8"/>
        <v>119</v>
      </c>
      <c r="F123" s="187">
        <f t="shared" si="0"/>
        <v>5.95</v>
      </c>
      <c r="G123" s="188">
        <f t="shared" si="1"/>
        <v>6.5730000000000004</v>
      </c>
      <c r="H123" s="189">
        <f t="shared" si="2"/>
        <v>163.52118655899665</v>
      </c>
      <c r="I123" s="190">
        <f t="shared" si="9"/>
        <v>0.7521974581713845</v>
      </c>
      <c r="J123" s="191">
        <f t="shared" si="10"/>
        <v>18.03958742024772</v>
      </c>
      <c r="K123" s="192" t="b">
        <f t="shared" si="3"/>
        <v>0</v>
      </c>
      <c r="L123" s="193">
        <f t="shared" si="11"/>
        <v>0</v>
      </c>
      <c r="M123" s="194">
        <f t="shared" si="12"/>
        <v>1.3778848834610029E-19</v>
      </c>
      <c r="N123" s="194">
        <f t="shared" si="13"/>
        <v>4.5691133356824727</v>
      </c>
      <c r="O123" s="195">
        <f>IF(ABS(U123)&gt;80,$B$7, LOOKUP(V123,'Force mapping'!$B$7:$B$167,'Force mapping'!$J$7:$J$167))</f>
        <v>704</v>
      </c>
      <c r="P123" s="196">
        <f t="shared" si="4"/>
        <v>0.623</v>
      </c>
      <c r="Q123" s="191">
        <f t="shared" si="5"/>
        <v>1.020633108749851</v>
      </c>
      <c r="R123" s="197">
        <f>IF(ABS(U123)&gt;80, 0, LOOKUP(V123,'Force mapping'!$B$7:$B$167,'Force mapping'!$I$7:$I$167) * (N123/5) * SIGN(U123))</f>
        <v>0.76210982793849369</v>
      </c>
      <c r="S123" s="198">
        <f t="shared" si="6"/>
        <v>22.154355463328304</v>
      </c>
      <c r="T123" s="199">
        <f t="shared" si="14"/>
        <v>1.8754780343946977</v>
      </c>
      <c r="U123" s="200">
        <f t="shared" si="15"/>
        <v>57.77736678112516</v>
      </c>
      <c r="V123" s="176">
        <f t="shared" si="7"/>
        <v>58</v>
      </c>
      <c r="Y123" s="91"/>
      <c r="Z123" s="88"/>
    </row>
    <row r="124" spans="5:26" ht="12.5" x14ac:dyDescent="0.25">
      <c r="E124" s="186">
        <f t="shared" si="8"/>
        <v>120</v>
      </c>
      <c r="F124" s="187">
        <f t="shared" si="0"/>
        <v>6</v>
      </c>
      <c r="G124" s="188">
        <f t="shared" si="1"/>
        <v>6.6230000000000002</v>
      </c>
      <c r="H124" s="189">
        <f t="shared" si="2"/>
        <v>163.52118655899665</v>
      </c>
      <c r="I124" s="190">
        <f t="shared" si="9"/>
        <v>0.7521974581713845</v>
      </c>
      <c r="J124" s="191">
        <f t="shared" si="10"/>
        <v>18.03958742024772</v>
      </c>
      <c r="K124" s="192" t="b">
        <f t="shared" si="3"/>
        <v>0</v>
      </c>
      <c r="L124" s="193">
        <f t="shared" si="11"/>
        <v>0</v>
      </c>
      <c r="M124" s="194">
        <f t="shared" si="12"/>
        <v>5.0981740688057108E-20</v>
      </c>
      <c r="N124" s="194">
        <f t="shared" si="13"/>
        <v>4.2024108207801874</v>
      </c>
      <c r="O124" s="195">
        <f>IF(ABS(U124)&gt;80,$B$7, LOOKUP(V124,'Force mapping'!$B$7:$B$167,'Force mapping'!$J$7:$J$167))</f>
        <v>722.5</v>
      </c>
      <c r="P124" s="196">
        <f t="shared" si="4"/>
        <v>0.623</v>
      </c>
      <c r="Q124" s="191">
        <f t="shared" si="5"/>
        <v>0.93872033918726261</v>
      </c>
      <c r="R124" s="197">
        <f>IF(ABS(U124)&gt;80, 0, LOOKUP(V124,'Force mapping'!$B$7:$B$167,'Force mapping'!$I$7:$I$167) * (N124/5) * SIGN(U124))</f>
        <v>0.75036566651522707</v>
      </c>
      <c r="S124" s="198">
        <f t="shared" si="6"/>
        <v>21.812955421954275</v>
      </c>
      <c r="T124" s="199">
        <f t="shared" si="14"/>
        <v>1.8765857521678642</v>
      </c>
      <c r="U124" s="200">
        <f t="shared" si="15"/>
        <v>57.683039020518841</v>
      </c>
      <c r="V124" s="176">
        <f t="shared" si="7"/>
        <v>57.5</v>
      </c>
      <c r="Y124" s="91"/>
      <c r="Z124" s="88"/>
    </row>
    <row r="125" spans="5:26" ht="12.5" x14ac:dyDescent="0.25">
      <c r="E125" s="186">
        <f t="shared" si="8"/>
        <v>121</v>
      </c>
      <c r="F125" s="187">
        <f t="shared" si="0"/>
        <v>6.0500000000000007</v>
      </c>
      <c r="G125" s="188">
        <f t="shared" si="1"/>
        <v>6.6730000000000009</v>
      </c>
      <c r="H125" s="189">
        <f t="shared" si="2"/>
        <v>163.52118655899665</v>
      </c>
      <c r="I125" s="190">
        <f t="shared" si="9"/>
        <v>0.7521974581713845</v>
      </c>
      <c r="J125" s="191">
        <f t="shared" si="10"/>
        <v>18.03958742024772</v>
      </c>
      <c r="K125" s="192" t="b">
        <f t="shared" si="3"/>
        <v>0</v>
      </c>
      <c r="L125" s="193">
        <f t="shared" si="11"/>
        <v>0</v>
      </c>
      <c r="M125" s="194">
        <f t="shared" si="12"/>
        <v>1.8863244054581132E-20</v>
      </c>
      <c r="N125" s="194">
        <f t="shared" si="13"/>
        <v>3.865138684280975</v>
      </c>
      <c r="O125" s="195">
        <f>IF(ABS(U125)&gt;80,$B$7, LOOKUP(V125,'Force mapping'!$B$7:$B$167,'Force mapping'!$J$7:$J$167))</f>
        <v>722.5</v>
      </c>
      <c r="P125" s="196">
        <f t="shared" si="4"/>
        <v>0.623</v>
      </c>
      <c r="Q125" s="191">
        <f t="shared" si="5"/>
        <v>0.863381628177049</v>
      </c>
      <c r="R125" s="197">
        <f>IF(ABS(U125)&gt;80, 0, LOOKUP(V125,'Force mapping'!$B$7:$B$167,'Force mapping'!$I$7:$I$167) * (N125/5) * SIGN(U125))</f>
        <v>0.69014370291047367</v>
      </c>
      <c r="S125" s="198">
        <f t="shared" si="6"/>
        <v>20.06231694507191</v>
      </c>
      <c r="T125" s="199">
        <f t="shared" si="14"/>
        <v>1.8776763999389618</v>
      </c>
      <c r="U125" s="200">
        <f t="shared" si="15"/>
        <v>57.588664409024901</v>
      </c>
      <c r="V125" s="176">
        <f t="shared" si="7"/>
        <v>57.5</v>
      </c>
      <c r="Y125" s="91"/>
      <c r="Z125" s="88"/>
    </row>
    <row r="126" spans="5:26" ht="12.5" x14ac:dyDescent="0.25">
      <c r="E126" s="186">
        <f t="shared" si="8"/>
        <v>122</v>
      </c>
      <c r="F126" s="187">
        <f t="shared" si="0"/>
        <v>6.1000000000000005</v>
      </c>
      <c r="G126" s="188">
        <f t="shared" si="1"/>
        <v>6.7230000000000008</v>
      </c>
      <c r="H126" s="189">
        <f t="shared" si="2"/>
        <v>163.52118655899665</v>
      </c>
      <c r="I126" s="190">
        <f t="shared" si="9"/>
        <v>0.7521974581713845</v>
      </c>
      <c r="J126" s="191">
        <f t="shared" si="10"/>
        <v>18.03958742024772</v>
      </c>
      <c r="K126" s="192" t="b">
        <f t="shared" si="3"/>
        <v>0</v>
      </c>
      <c r="L126" s="193">
        <f t="shared" si="11"/>
        <v>0</v>
      </c>
      <c r="M126" s="194">
        <f t="shared" si="12"/>
        <v>6.979400300195018E-21</v>
      </c>
      <c r="N126" s="194">
        <f t="shared" si="13"/>
        <v>3.5549349375489547</v>
      </c>
      <c r="O126" s="195">
        <f>IF(ABS(U126)&gt;80,$B$7, LOOKUP(V126,'Force mapping'!$B$7:$B$167,'Force mapping'!$J$7:$J$167))</f>
        <v>722.5</v>
      </c>
      <c r="P126" s="196">
        <f t="shared" si="4"/>
        <v>0.623</v>
      </c>
      <c r="Q126" s="191">
        <f t="shared" si="5"/>
        <v>0.7940893626732729</v>
      </c>
      <c r="R126" s="197">
        <f>IF(ABS(U126)&gt;80, 0, LOOKUP(V126,'Force mapping'!$B$7:$B$167,'Force mapping'!$I$7:$I$167) * (N126/5) * SIGN(U126))</f>
        <v>0.63475496270899112</v>
      </c>
      <c r="S126" s="198">
        <f t="shared" si="6"/>
        <v>18.452179148517185</v>
      </c>
      <c r="T126" s="199">
        <f t="shared" si="14"/>
        <v>1.8786795157862155</v>
      </c>
      <c r="U126" s="200">
        <f t="shared" si="15"/>
        <v>57.494279031104327</v>
      </c>
      <c r="V126" s="176">
        <f t="shared" si="7"/>
        <v>57.5</v>
      </c>
      <c r="Y126" s="91"/>
      <c r="Z126" s="88"/>
    </row>
    <row r="127" spans="5:26" ht="12.5" x14ac:dyDescent="0.25">
      <c r="E127" s="186">
        <f t="shared" si="8"/>
        <v>123</v>
      </c>
      <c r="F127" s="187">
        <f t="shared" si="0"/>
        <v>6.15</v>
      </c>
      <c r="G127" s="188">
        <f t="shared" si="1"/>
        <v>6.7730000000000006</v>
      </c>
      <c r="H127" s="189">
        <f t="shared" si="2"/>
        <v>163.52118655899665</v>
      </c>
      <c r="I127" s="190">
        <f t="shared" si="9"/>
        <v>0.7521974581713845</v>
      </c>
      <c r="J127" s="191">
        <f t="shared" si="10"/>
        <v>18.03958742024772</v>
      </c>
      <c r="K127" s="192" t="b">
        <f t="shared" si="3"/>
        <v>0</v>
      </c>
      <c r="L127" s="193">
        <f t="shared" si="11"/>
        <v>0</v>
      </c>
      <c r="M127" s="194">
        <f t="shared" si="12"/>
        <v>2.5823781110721569E-21</v>
      </c>
      <c r="N127" s="194">
        <f t="shared" si="13"/>
        <v>3.2696271576493596</v>
      </c>
      <c r="O127" s="195">
        <f>IF(ABS(U127)&gt;80,$B$7, LOOKUP(V127,'Force mapping'!$B$7:$B$167,'Force mapping'!$J$7:$J$167))</f>
        <v>722.5</v>
      </c>
      <c r="P127" s="196">
        <f t="shared" si="4"/>
        <v>0.623</v>
      </c>
      <c r="Q127" s="191">
        <f t="shared" si="5"/>
        <v>0.73035827417622057</v>
      </c>
      <c r="R127" s="197">
        <f>IF(ABS(U127)&gt;80, 0, LOOKUP(V127,'Force mapping'!$B$7:$B$167,'Force mapping'!$I$7:$I$167) * (N127/5) * SIGN(U127))</f>
        <v>0.58381154676123903</v>
      </c>
      <c r="S127" s="198">
        <f t="shared" si="6"/>
        <v>16.971265894222064</v>
      </c>
      <c r="T127" s="199">
        <f t="shared" si="14"/>
        <v>1.8796021247436414</v>
      </c>
      <c r="U127" s="200">
        <f t="shared" si="15"/>
        <v>57.399883750836302</v>
      </c>
      <c r="V127" s="176">
        <f t="shared" si="7"/>
        <v>57.5</v>
      </c>
      <c r="Y127" s="91"/>
      <c r="Z127" s="88"/>
    </row>
    <row r="128" spans="5:26" ht="12.5" x14ac:dyDescent="0.25">
      <c r="E128" s="186">
        <f t="shared" si="8"/>
        <v>124</v>
      </c>
      <c r="F128" s="187">
        <f t="shared" si="0"/>
        <v>6.2</v>
      </c>
      <c r="G128" s="188">
        <f t="shared" si="1"/>
        <v>6.8230000000000004</v>
      </c>
      <c r="H128" s="189">
        <f t="shared" si="2"/>
        <v>163.52118655899665</v>
      </c>
      <c r="I128" s="190">
        <f t="shared" si="9"/>
        <v>0.7521974581713845</v>
      </c>
      <c r="J128" s="191">
        <f t="shared" si="10"/>
        <v>18.03958742024772</v>
      </c>
      <c r="K128" s="192" t="b">
        <f t="shared" si="3"/>
        <v>0</v>
      </c>
      <c r="L128" s="193">
        <f t="shared" si="11"/>
        <v>0</v>
      </c>
      <c r="M128" s="194">
        <f t="shared" si="12"/>
        <v>9.5547990109669798E-22</v>
      </c>
      <c r="N128" s="194">
        <f t="shared" si="13"/>
        <v>3.007217273407838</v>
      </c>
      <c r="O128" s="195">
        <f>IF(ABS(U128)&gt;80,$B$7, LOOKUP(V128,'Force mapping'!$B$7:$B$167,'Force mapping'!$J$7:$J$167))</f>
        <v>722.5</v>
      </c>
      <c r="P128" s="196">
        <f t="shared" si="4"/>
        <v>0.623</v>
      </c>
      <c r="Q128" s="191">
        <f t="shared" si="5"/>
        <v>0.67174204029369888</v>
      </c>
      <c r="R128" s="197">
        <f>IF(ABS(U128)&gt;80, 0, LOOKUP(V128,'Force mapping'!$B$7:$B$167,'Force mapping'!$I$7:$I$167) * (N128/5) * SIGN(U128))</f>
        <v>0.53695668747060987</v>
      </c>
      <c r="S128" s="198">
        <f t="shared" si="6"/>
        <v>15.60920603112238</v>
      </c>
      <c r="T128" s="199">
        <f t="shared" si="14"/>
        <v>1.8804506880383525</v>
      </c>
      <c r="U128" s="200">
        <f t="shared" si="15"/>
        <v>57.305479362951765</v>
      </c>
      <c r="V128" s="176">
        <f t="shared" si="7"/>
        <v>57.5</v>
      </c>
      <c r="Y128" s="91"/>
      <c r="Z128" s="88"/>
    </row>
    <row r="129" spans="5:26" ht="12.5" x14ac:dyDescent="0.25">
      <c r="E129" s="186">
        <f t="shared" si="8"/>
        <v>125</v>
      </c>
      <c r="F129" s="187">
        <f t="shared" si="0"/>
        <v>6.25</v>
      </c>
      <c r="G129" s="188">
        <f t="shared" si="1"/>
        <v>6.8730000000000002</v>
      </c>
      <c r="H129" s="189">
        <f t="shared" si="2"/>
        <v>163.52118655899665</v>
      </c>
      <c r="I129" s="190">
        <f t="shared" si="9"/>
        <v>0.7521974581713845</v>
      </c>
      <c r="J129" s="191">
        <f t="shared" si="10"/>
        <v>18.03958742024772</v>
      </c>
      <c r="K129" s="192" t="b">
        <f t="shared" si="3"/>
        <v>0</v>
      </c>
      <c r="L129" s="193">
        <f t="shared" si="11"/>
        <v>0</v>
      </c>
      <c r="M129" s="194">
        <f t="shared" si="12"/>
        <v>3.5352756340577824E-22</v>
      </c>
      <c r="N129" s="194">
        <f t="shared" si="13"/>
        <v>2.7658675724922812</v>
      </c>
      <c r="O129" s="195">
        <f>IF(ABS(U129)&gt;80,$B$7, LOOKUP(V129,'Force mapping'!$B$7:$B$167,'Force mapping'!$J$7:$J$167))</f>
        <v>741</v>
      </c>
      <c r="P129" s="196">
        <f t="shared" si="4"/>
        <v>0.623</v>
      </c>
      <c r="Q129" s="191">
        <f t="shared" si="5"/>
        <v>0.61783015905022376</v>
      </c>
      <c r="R129" s="197">
        <f>IF(ABS(U129)&gt;80, 0, LOOKUP(V129,'Force mapping'!$B$7:$B$167,'Force mapping'!$I$7:$I$167) * (N129/5) * SIGN(U129))</f>
        <v>0.52638885292644089</v>
      </c>
      <c r="S129" s="198">
        <f t="shared" si="6"/>
        <v>15.302001538559328</v>
      </c>
      <c r="T129" s="199">
        <f t="shared" si="14"/>
        <v>1.8812311483399087</v>
      </c>
      <c r="U129" s="200">
        <f t="shared" si="15"/>
        <v>57.211066598399071</v>
      </c>
      <c r="V129" s="176">
        <f t="shared" si="7"/>
        <v>57</v>
      </c>
      <c r="Y129" s="91"/>
      <c r="Z129" s="88"/>
    </row>
    <row r="130" spans="5:26" ht="12.5" x14ac:dyDescent="0.25">
      <c r="E130" s="186">
        <f t="shared" si="8"/>
        <v>126</v>
      </c>
      <c r="F130" s="187">
        <f t="shared" si="0"/>
        <v>6.3000000000000007</v>
      </c>
      <c r="G130" s="188">
        <f t="shared" si="1"/>
        <v>6.9230000000000009</v>
      </c>
      <c r="H130" s="189">
        <f t="shared" si="2"/>
        <v>163.52118655899665</v>
      </c>
      <c r="I130" s="190">
        <f t="shared" si="9"/>
        <v>0.7521974581713845</v>
      </c>
      <c r="J130" s="191">
        <f t="shared" si="10"/>
        <v>18.03958742024772</v>
      </c>
      <c r="K130" s="192" t="b">
        <f t="shared" si="3"/>
        <v>0</v>
      </c>
      <c r="L130" s="193">
        <f t="shared" si="11"/>
        <v>0</v>
      </c>
      <c r="M130" s="194">
        <f t="shared" si="12"/>
        <v>1.3080519846013794E-22</v>
      </c>
      <c r="N130" s="194">
        <f t="shared" si="13"/>
        <v>2.5438878315217934</v>
      </c>
      <c r="O130" s="195">
        <f>IF(ABS(U130)&gt;80,$B$7, LOOKUP(V130,'Force mapping'!$B$7:$B$167,'Force mapping'!$J$7:$J$167))</f>
        <v>741</v>
      </c>
      <c r="P130" s="196">
        <f t="shared" si="4"/>
        <v>0.623</v>
      </c>
      <c r="Q130" s="191">
        <f t="shared" si="5"/>
        <v>0.56824507405421876</v>
      </c>
      <c r="R130" s="197">
        <f>IF(ABS(U130)&gt;80, 0, LOOKUP(V130,'Force mapping'!$B$7:$B$167,'Force mapping'!$I$7:$I$167) * (N130/5) * SIGN(U130))</f>
        <v>0.48414255654390154</v>
      </c>
      <c r="S130" s="198">
        <f t="shared" si="6"/>
        <v>14.073911527438998</v>
      </c>
      <c r="T130" s="199">
        <f t="shared" si="14"/>
        <v>1.8819962484168367</v>
      </c>
      <c r="U130" s="200">
        <f t="shared" si="15"/>
        <v>57.116622490943612</v>
      </c>
      <c r="V130" s="176">
        <f t="shared" si="7"/>
        <v>57</v>
      </c>
      <c r="Y130" s="91"/>
      <c r="Z130" s="88"/>
    </row>
    <row r="131" spans="5:26" ht="12.5" x14ac:dyDescent="0.25">
      <c r="E131" s="186">
        <f t="shared" si="8"/>
        <v>127</v>
      </c>
      <c r="F131" s="187">
        <f t="shared" si="0"/>
        <v>6.3500000000000005</v>
      </c>
      <c r="G131" s="188">
        <f t="shared" si="1"/>
        <v>6.9730000000000008</v>
      </c>
      <c r="H131" s="189">
        <f t="shared" si="2"/>
        <v>163.52118655899665</v>
      </c>
      <c r="I131" s="190">
        <f t="shared" si="9"/>
        <v>0.7521974581713845</v>
      </c>
      <c r="J131" s="191">
        <f t="shared" si="10"/>
        <v>18.03958742024772</v>
      </c>
      <c r="K131" s="192" t="b">
        <f t="shared" si="3"/>
        <v>0</v>
      </c>
      <c r="L131" s="193">
        <f t="shared" si="11"/>
        <v>0</v>
      </c>
      <c r="M131" s="194">
        <f t="shared" si="12"/>
        <v>4.8397923430251037E-23</v>
      </c>
      <c r="N131" s="194">
        <f t="shared" si="13"/>
        <v>2.3397234790722115</v>
      </c>
      <c r="O131" s="195">
        <f>IF(ABS(U131)&gt;80,$B$7, LOOKUP(V131,'Force mapping'!$B$7:$B$167,'Force mapping'!$J$7:$J$167))</f>
        <v>741</v>
      </c>
      <c r="P131" s="196">
        <f t="shared" si="4"/>
        <v>0.623</v>
      </c>
      <c r="Q131" s="191">
        <f t="shared" si="5"/>
        <v>0.52263953039015631</v>
      </c>
      <c r="R131" s="197">
        <f>IF(ABS(U131)&gt;80, 0, LOOKUP(V131,'Force mapping'!$B$7:$B$167,'Force mapping'!$I$7:$I$167) * (N131/5) * SIGN(U131))</f>
        <v>0.44528681364310696</v>
      </c>
      <c r="S131" s="198">
        <f t="shared" si="6"/>
        <v>12.944384117532179</v>
      </c>
      <c r="T131" s="199">
        <f t="shared" si="14"/>
        <v>1.8826999439932086</v>
      </c>
      <c r="U131" s="200">
        <f t="shared" si="15"/>
        <v>57.022170830734588</v>
      </c>
      <c r="V131" s="176">
        <f t="shared" si="7"/>
        <v>57</v>
      </c>
      <c r="Y131" s="91"/>
      <c r="Z131" s="88"/>
    </row>
    <row r="132" spans="5:26" ht="12.5" x14ac:dyDescent="0.25">
      <c r="E132" s="186">
        <f t="shared" si="8"/>
        <v>128</v>
      </c>
      <c r="F132" s="187">
        <f t="shared" si="0"/>
        <v>6.4</v>
      </c>
      <c r="G132" s="188">
        <f t="shared" si="1"/>
        <v>7.0230000000000006</v>
      </c>
      <c r="H132" s="189">
        <f t="shared" si="2"/>
        <v>163.52118655899665</v>
      </c>
      <c r="I132" s="190">
        <f t="shared" si="9"/>
        <v>0.7521974581713845</v>
      </c>
      <c r="J132" s="191">
        <f t="shared" si="10"/>
        <v>18.03958742024772</v>
      </c>
      <c r="K132" s="192" t="b">
        <f t="shared" si="3"/>
        <v>0</v>
      </c>
      <c r="L132" s="193">
        <f t="shared" si="11"/>
        <v>0</v>
      </c>
      <c r="M132" s="194">
        <f t="shared" si="12"/>
        <v>1.7907231669192883E-23</v>
      </c>
      <c r="N132" s="194">
        <f t="shared" si="13"/>
        <v>2.1519447086811834</v>
      </c>
      <c r="O132" s="195">
        <f>IF(ABS(U132)&gt;80,$B$7, LOOKUP(V132,'Force mapping'!$B$7:$B$167,'Force mapping'!$J$7:$J$167))</f>
        <v>741</v>
      </c>
      <c r="P132" s="196">
        <f t="shared" si="4"/>
        <v>0.623</v>
      </c>
      <c r="Q132" s="191">
        <f t="shared" si="5"/>
        <v>0.48069414271839422</v>
      </c>
      <c r="R132" s="197">
        <f>IF(ABS(U132)&gt;80, 0, LOOKUP(V132,'Force mapping'!$B$7:$B$167,'Force mapping'!$I$7:$I$167) * (N132/5) * SIGN(U132))</f>
        <v>0.40954950917736804</v>
      </c>
      <c r="S132" s="198">
        <f t="shared" si="6"/>
        <v>11.905508987714187</v>
      </c>
      <c r="T132" s="199">
        <f t="shared" si="14"/>
        <v>1.8833471631990852</v>
      </c>
      <c r="U132" s="200">
        <f t="shared" si="15"/>
        <v>56.927712223931991</v>
      </c>
      <c r="V132" s="176">
        <f t="shared" si="7"/>
        <v>57</v>
      </c>
      <c r="Y132" s="91"/>
      <c r="Z132" s="88"/>
    </row>
    <row r="133" spans="5:26" ht="12.5" x14ac:dyDescent="0.25">
      <c r="E133" s="186">
        <f t="shared" si="8"/>
        <v>129</v>
      </c>
      <c r="F133" s="187">
        <f t="shared" si="0"/>
        <v>6.45</v>
      </c>
      <c r="G133" s="188">
        <f t="shared" si="1"/>
        <v>7.0730000000000004</v>
      </c>
      <c r="H133" s="189">
        <f t="shared" si="2"/>
        <v>163.52118655899665</v>
      </c>
      <c r="I133" s="190">
        <f t="shared" si="9"/>
        <v>0.7521974581713845</v>
      </c>
      <c r="J133" s="191">
        <f t="shared" si="10"/>
        <v>18.03958742024772</v>
      </c>
      <c r="K133" s="192" t="b">
        <f t="shared" si="3"/>
        <v>0</v>
      </c>
      <c r="L133" s="193">
        <f t="shared" si="11"/>
        <v>0</v>
      </c>
      <c r="M133" s="194">
        <f t="shared" si="12"/>
        <v>6.6256757176013666E-24</v>
      </c>
      <c r="N133" s="194">
        <f t="shared" si="13"/>
        <v>1.9792364656088572</v>
      </c>
      <c r="O133" s="195">
        <f>IF(ABS(U133)&gt;80,$B$7, LOOKUP(V133,'Force mapping'!$B$7:$B$167,'Force mapping'!$J$7:$J$167))</f>
        <v>741</v>
      </c>
      <c r="P133" s="196">
        <f t="shared" si="4"/>
        <v>0.623</v>
      </c>
      <c r="Q133" s="191">
        <f t="shared" si="5"/>
        <v>0.44211515855158889</v>
      </c>
      <c r="R133" s="197">
        <f>IF(ABS(U133)&gt;80, 0, LOOKUP(V133,'Force mapping'!$B$7:$B$167,'Force mapping'!$I$7:$I$167) * (N133/5) * SIGN(U133))</f>
        <v>0.37668036718881526</v>
      </c>
      <c r="S133" s="198">
        <f t="shared" si="6"/>
        <v>10.950010674093466</v>
      </c>
      <c r="T133" s="199">
        <f t="shared" si="14"/>
        <v>1.8839424386484709</v>
      </c>
      <c r="U133" s="200">
        <f t="shared" si="15"/>
        <v>56.833247228047341</v>
      </c>
      <c r="V133" s="176">
        <f t="shared" si="7"/>
        <v>57</v>
      </c>
      <c r="Y133" s="91"/>
      <c r="Z133" s="88"/>
    </row>
    <row r="134" spans="5:26" ht="12.5" x14ac:dyDescent="0.25">
      <c r="E134" s="186">
        <f t="shared" si="8"/>
        <v>130</v>
      </c>
      <c r="F134" s="187">
        <f t="shared" si="0"/>
        <v>6.5</v>
      </c>
      <c r="G134" s="188">
        <f t="shared" si="1"/>
        <v>7.1230000000000002</v>
      </c>
      <c r="H134" s="189">
        <f t="shared" si="2"/>
        <v>163.52118655899665</v>
      </c>
      <c r="I134" s="190">
        <f t="shared" si="9"/>
        <v>0.7521974581713845</v>
      </c>
      <c r="J134" s="191">
        <f t="shared" si="10"/>
        <v>18.03958742024772</v>
      </c>
      <c r="K134" s="192" t="b">
        <f t="shared" si="3"/>
        <v>0</v>
      </c>
      <c r="L134" s="193">
        <f t="shared" si="11"/>
        <v>0</v>
      </c>
      <c r="M134" s="194">
        <f t="shared" si="12"/>
        <v>2.4515000155125056E-24</v>
      </c>
      <c r="N134" s="194">
        <f t="shared" si="13"/>
        <v>1.8203892372293342</v>
      </c>
      <c r="O134" s="195">
        <f>IF(ABS(U134)&gt;80,$B$7, LOOKUP(V134,'Force mapping'!$B$7:$B$167,'Force mapping'!$J$7:$J$167))</f>
        <v>763</v>
      </c>
      <c r="P134" s="196">
        <f t="shared" si="4"/>
        <v>0.623</v>
      </c>
      <c r="Q134" s="191">
        <f t="shared" si="5"/>
        <v>0.40663240104343568</v>
      </c>
      <c r="R134" s="197">
        <f>IF(ABS(U134)&gt;80, 0, LOOKUP(V134,'Force mapping'!$B$7:$B$167,'Force mapping'!$I$7:$I$167) * (N134/5) * SIGN(U134))</f>
        <v>0.37071134582633053</v>
      </c>
      <c r="S134" s="198">
        <f t="shared" si="6"/>
        <v>10.776492611230539</v>
      </c>
      <c r="T134" s="199">
        <f t="shared" si="14"/>
        <v>1.8844899391821757</v>
      </c>
      <c r="U134" s="200">
        <f t="shared" si="15"/>
        <v>56.738776355848067</v>
      </c>
      <c r="V134" s="176">
        <f t="shared" si="7"/>
        <v>56.5</v>
      </c>
      <c r="Y134" s="91"/>
      <c r="Z134" s="88"/>
    </row>
    <row r="135" spans="5:26" ht="12.5" x14ac:dyDescent="0.25">
      <c r="E135" s="186">
        <f t="shared" si="8"/>
        <v>131</v>
      </c>
      <c r="F135" s="187">
        <f t="shared" si="0"/>
        <v>6.5500000000000007</v>
      </c>
      <c r="G135" s="188">
        <f t="shared" si="1"/>
        <v>7.1730000000000009</v>
      </c>
      <c r="H135" s="189">
        <f t="shared" si="2"/>
        <v>163.52118655899665</v>
      </c>
      <c r="I135" s="190">
        <f t="shared" si="9"/>
        <v>0.7521974581713845</v>
      </c>
      <c r="J135" s="191">
        <f t="shared" si="10"/>
        <v>18.03958742024772</v>
      </c>
      <c r="K135" s="192" t="b">
        <f t="shared" si="3"/>
        <v>0</v>
      </c>
      <c r="L135" s="193">
        <f t="shared" si="11"/>
        <v>0</v>
      </c>
      <c r="M135" s="194">
        <f t="shared" si="12"/>
        <v>9.0705500573962697E-25</v>
      </c>
      <c r="N135" s="194">
        <f t="shared" si="13"/>
        <v>1.674290582556033</v>
      </c>
      <c r="O135" s="195">
        <f>IF(ABS(U135)&gt;80,$B$7, LOOKUP(V135,'Force mapping'!$B$7:$B$167,'Force mapping'!$J$7:$J$167))</f>
        <v>763</v>
      </c>
      <c r="P135" s="196">
        <f t="shared" si="4"/>
        <v>0.623</v>
      </c>
      <c r="Q135" s="191">
        <f t="shared" si="5"/>
        <v>0.37399737688264634</v>
      </c>
      <c r="R135" s="197">
        <f>IF(ABS(U135)&gt;80, 0, LOOKUP(V135,'Force mapping'!$B$7:$B$167,'Force mapping'!$I$7:$I$167) * (N135/5) * SIGN(U135))</f>
        <v>0.34095923139404077</v>
      </c>
      <c r="S135" s="198">
        <f t="shared" si="6"/>
        <v>9.9116055637802543</v>
      </c>
      <c r="T135" s="199">
        <f t="shared" si="14"/>
        <v>1.8850287638127372</v>
      </c>
      <c r="U135" s="200">
        <f t="shared" si="15"/>
        <v>56.644282446573676</v>
      </c>
      <c r="V135" s="176">
        <f t="shared" si="7"/>
        <v>56.5</v>
      </c>
      <c r="Y135" s="91"/>
      <c r="Z135" s="88"/>
    </row>
    <row r="136" spans="5:26" ht="12.5" x14ac:dyDescent="0.25">
      <c r="E136" s="186">
        <f t="shared" si="8"/>
        <v>132</v>
      </c>
      <c r="F136" s="187">
        <f t="shared" si="0"/>
        <v>6.6000000000000005</v>
      </c>
      <c r="G136" s="188">
        <f t="shared" si="1"/>
        <v>7.2230000000000008</v>
      </c>
      <c r="H136" s="189">
        <f t="shared" si="2"/>
        <v>163.52118655899665</v>
      </c>
      <c r="I136" s="190">
        <f t="shared" si="9"/>
        <v>0.7521974581713845</v>
      </c>
      <c r="J136" s="191">
        <f t="shared" si="10"/>
        <v>18.03958742024772</v>
      </c>
      <c r="K136" s="192" t="b">
        <f t="shared" si="3"/>
        <v>0</v>
      </c>
      <c r="L136" s="193">
        <f t="shared" si="11"/>
        <v>0</v>
      </c>
      <c r="M136" s="194">
        <f t="shared" si="12"/>
        <v>3.35610352123662E-25</v>
      </c>
      <c r="N136" s="194">
        <f t="shared" si="13"/>
        <v>1.5399173415804286</v>
      </c>
      <c r="O136" s="195">
        <f>IF(ABS(U136)&gt;80,$B$7, LOOKUP(V136,'Force mapping'!$B$7:$B$167,'Force mapping'!$J$7:$J$167))</f>
        <v>763</v>
      </c>
      <c r="P136" s="196">
        <f t="shared" si="4"/>
        <v>0.623</v>
      </c>
      <c r="Q136" s="191">
        <f t="shared" si="5"/>
        <v>0.34398153604134252</v>
      </c>
      <c r="R136" s="197">
        <f>IF(ABS(U136)&gt;80, 0, LOOKUP(V136,'Force mapping'!$B$7:$B$167,'Force mapping'!$I$7:$I$167) * (N136/5) * SIGN(U136))</f>
        <v>0.31359492710880477</v>
      </c>
      <c r="S136" s="198">
        <f t="shared" si="6"/>
        <v>9.1161316020001379</v>
      </c>
      <c r="T136" s="199">
        <f t="shared" si="14"/>
        <v>1.8855243440909262</v>
      </c>
      <c r="U136" s="200">
        <f t="shared" si="15"/>
        <v>56.549783218243945</v>
      </c>
      <c r="V136" s="176">
        <f t="shared" si="7"/>
        <v>56.5</v>
      </c>
      <c r="Y136" s="91"/>
      <c r="Z136" s="88"/>
    </row>
    <row r="137" spans="5:26" ht="12.5" x14ac:dyDescent="0.25">
      <c r="E137" s="186">
        <f t="shared" si="8"/>
        <v>133</v>
      </c>
      <c r="F137" s="187">
        <f t="shared" si="0"/>
        <v>6.65</v>
      </c>
      <c r="G137" s="188">
        <f t="shared" si="1"/>
        <v>7.2730000000000006</v>
      </c>
      <c r="H137" s="189">
        <f t="shared" si="2"/>
        <v>163.52118655899665</v>
      </c>
      <c r="I137" s="190">
        <f t="shared" si="9"/>
        <v>0.7521974581713845</v>
      </c>
      <c r="J137" s="191">
        <f t="shared" si="10"/>
        <v>18.03958742024772</v>
      </c>
      <c r="K137" s="192" t="b">
        <f t="shared" si="3"/>
        <v>0</v>
      </c>
      <c r="L137" s="193">
        <f t="shared" si="11"/>
        <v>0</v>
      </c>
      <c r="M137" s="194">
        <f t="shared" si="12"/>
        <v>1.2417583028575492E-25</v>
      </c>
      <c r="N137" s="194">
        <f t="shared" si="13"/>
        <v>1.4163284698645033</v>
      </c>
      <c r="O137" s="195">
        <f>IF(ABS(U137)&gt;80,$B$7, LOOKUP(V137,'Force mapping'!$B$7:$B$167,'Force mapping'!$J$7:$J$167))</f>
        <v>763</v>
      </c>
      <c r="P137" s="196">
        <f t="shared" si="4"/>
        <v>0.623</v>
      </c>
      <c r="Q137" s="191">
        <f t="shared" si="5"/>
        <v>0.31637467119051244</v>
      </c>
      <c r="R137" s="197">
        <f>IF(ABS(U137)&gt;80, 0, LOOKUP(V137,'Force mapping'!$B$7:$B$167,'Force mapping'!$I$7:$I$167) * (N137/5) * SIGN(U137))</f>
        <v>0.28842679491708689</v>
      </c>
      <c r="S137" s="198">
        <f t="shared" si="6"/>
        <v>8.3844998522408982</v>
      </c>
      <c r="T137" s="199">
        <f t="shared" si="14"/>
        <v>1.8859801506710261</v>
      </c>
      <c r="U137" s="200">
        <f t="shared" si="15"/>
        <v>56.455279097749347</v>
      </c>
      <c r="V137" s="176">
        <f t="shared" si="7"/>
        <v>56.5</v>
      </c>
      <c r="Y137" s="91"/>
      <c r="Z137" s="88"/>
    </row>
    <row r="138" spans="5:26" ht="12.5" x14ac:dyDescent="0.25">
      <c r="E138" s="186">
        <f t="shared" si="8"/>
        <v>134</v>
      </c>
      <c r="F138" s="187">
        <f t="shared" si="0"/>
        <v>6.7</v>
      </c>
      <c r="G138" s="188">
        <f t="shared" si="1"/>
        <v>7.3230000000000004</v>
      </c>
      <c r="H138" s="189">
        <f t="shared" si="2"/>
        <v>163.52118655899665</v>
      </c>
      <c r="I138" s="190">
        <f t="shared" si="9"/>
        <v>0.7521974581713845</v>
      </c>
      <c r="J138" s="191">
        <f t="shared" si="10"/>
        <v>18.03958742024772</v>
      </c>
      <c r="K138" s="192" t="b">
        <f t="shared" si="3"/>
        <v>0</v>
      </c>
      <c r="L138" s="193">
        <f t="shared" si="11"/>
        <v>0</v>
      </c>
      <c r="M138" s="194">
        <f t="shared" si="12"/>
        <v>4.594505720572932E-26</v>
      </c>
      <c r="N138" s="194">
        <f t="shared" si="13"/>
        <v>1.3026584482060359</v>
      </c>
      <c r="O138" s="195">
        <f>IF(ABS(U138)&gt;80,$B$7, LOOKUP(V138,'Force mapping'!$B$7:$B$167,'Force mapping'!$J$7:$J$167))</f>
        <v>763</v>
      </c>
      <c r="P138" s="196">
        <f t="shared" si="4"/>
        <v>0.623</v>
      </c>
      <c r="Q138" s="191">
        <f t="shared" si="5"/>
        <v>0.29098344557329631</v>
      </c>
      <c r="R138" s="197">
        <f>IF(ABS(U138)&gt;80, 0, LOOKUP(V138,'Force mapping'!$B$7:$B$167,'Force mapping'!$I$7:$I$167) * (N138/5) * SIGN(U138))</f>
        <v>0.26527857702646995</v>
      </c>
      <c r="S138" s="198">
        <f t="shared" si="6"/>
        <v>7.7115865414671498</v>
      </c>
      <c r="T138" s="199">
        <f t="shared" si="14"/>
        <v>1.8863993756636381</v>
      </c>
      <c r="U138" s="200">
        <f t="shared" si="15"/>
        <v>56.360770477719491</v>
      </c>
      <c r="V138" s="176">
        <f t="shared" si="7"/>
        <v>56.5</v>
      </c>
      <c r="Y138" s="91"/>
      <c r="Z138" s="88"/>
    </row>
    <row r="139" spans="5:26" ht="12.5" x14ac:dyDescent="0.25">
      <c r="E139" s="186">
        <f t="shared" si="8"/>
        <v>135</v>
      </c>
      <c r="F139" s="187">
        <f t="shared" si="0"/>
        <v>6.75</v>
      </c>
      <c r="G139" s="188">
        <f t="shared" si="1"/>
        <v>7.3730000000000002</v>
      </c>
      <c r="H139" s="189">
        <f t="shared" si="2"/>
        <v>163.52118655899665</v>
      </c>
      <c r="I139" s="190">
        <f t="shared" si="9"/>
        <v>0.7521974581713845</v>
      </c>
      <c r="J139" s="191">
        <f t="shared" si="10"/>
        <v>18.03958742024772</v>
      </c>
      <c r="K139" s="192" t="b">
        <f t="shared" si="3"/>
        <v>0</v>
      </c>
      <c r="L139" s="193">
        <f t="shared" si="11"/>
        <v>0</v>
      </c>
      <c r="M139" s="194">
        <f t="shared" si="12"/>
        <v>1.699967116611985E-26</v>
      </c>
      <c r="N139" s="194">
        <f t="shared" si="13"/>
        <v>1.1981112212232081</v>
      </c>
      <c r="O139" s="195">
        <f>IF(ABS(U139)&gt;80,$B$7, LOOKUP(V139,'Force mapping'!$B$7:$B$167,'Force mapping'!$J$7:$J$167))</f>
        <v>763</v>
      </c>
      <c r="P139" s="196">
        <f t="shared" si="4"/>
        <v>0.623</v>
      </c>
      <c r="Q139" s="191">
        <f t="shared" si="5"/>
        <v>0.26763003902648286</v>
      </c>
      <c r="R139" s="197">
        <f>IF(ABS(U139)&gt;80, 0, LOOKUP(V139,'Force mapping'!$B$7:$B$167,'Force mapping'!$I$7:$I$167) * (N139/5) * SIGN(U139))</f>
        <v>0.24398816153477898</v>
      </c>
      <c r="S139" s="198">
        <f t="shared" si="6"/>
        <v>7.0926791143831096</v>
      </c>
      <c r="T139" s="199">
        <f t="shared" si="14"/>
        <v>1.8867849549907114</v>
      </c>
      <c r="U139" s="200">
        <f t="shared" si="15"/>
        <v>56.266257719272772</v>
      </c>
      <c r="V139" s="176">
        <f t="shared" si="7"/>
        <v>56.5</v>
      </c>
      <c r="Y139" s="91"/>
      <c r="Z139" s="88"/>
    </row>
    <row r="140" spans="5:26" ht="12.5" x14ac:dyDescent="0.25">
      <c r="E140" s="186">
        <f t="shared" si="8"/>
        <v>136</v>
      </c>
      <c r="F140" s="187">
        <f t="shared" si="0"/>
        <v>6.8000000000000007</v>
      </c>
      <c r="G140" s="188">
        <f t="shared" si="1"/>
        <v>7.4230000000000009</v>
      </c>
      <c r="H140" s="189">
        <f t="shared" si="2"/>
        <v>163.52118655899665</v>
      </c>
      <c r="I140" s="190">
        <f t="shared" si="9"/>
        <v>0.7521974581713845</v>
      </c>
      <c r="J140" s="191">
        <f t="shared" si="10"/>
        <v>18.03958742024772</v>
      </c>
      <c r="K140" s="192" t="b">
        <f t="shared" si="3"/>
        <v>0</v>
      </c>
      <c r="L140" s="193">
        <f t="shared" si="11"/>
        <v>0</v>
      </c>
      <c r="M140" s="194">
        <f t="shared" si="12"/>
        <v>6.2898783314643441E-27</v>
      </c>
      <c r="N140" s="194">
        <f t="shared" si="13"/>
        <v>1.1019546224091465</v>
      </c>
      <c r="O140" s="195">
        <f>IF(ABS(U140)&gt;80,$B$7, LOOKUP(V140,'Force mapping'!$B$7:$B$167,'Force mapping'!$J$7:$J$167))</f>
        <v>785</v>
      </c>
      <c r="P140" s="196">
        <f t="shared" si="4"/>
        <v>0.623</v>
      </c>
      <c r="Q140" s="191">
        <f t="shared" si="5"/>
        <v>0.24615090266801712</v>
      </c>
      <c r="R140" s="197">
        <f>IF(ABS(U140)&gt;80, 0, LOOKUP(V140,'Force mapping'!$B$7:$B$167,'Force mapping'!$I$7:$I$167) * (N140/5) * SIGN(U140))</f>
        <v>0.23909329833335732</v>
      </c>
      <c r="S140" s="198">
        <f t="shared" si="6"/>
        <v>6.9503865794580619</v>
      </c>
      <c r="T140" s="199">
        <f t="shared" si="14"/>
        <v>1.8871395889464306</v>
      </c>
      <c r="U140" s="200">
        <f t="shared" si="15"/>
        <v>56.17174115454538</v>
      </c>
      <c r="V140" s="176">
        <f t="shared" si="7"/>
        <v>56</v>
      </c>
      <c r="Y140" s="91"/>
      <c r="Z140" s="88"/>
    </row>
    <row r="141" spans="5:26" ht="12.5" x14ac:dyDescent="0.25">
      <c r="E141" s="186">
        <f t="shared" si="8"/>
        <v>137</v>
      </c>
      <c r="F141" s="187">
        <f t="shared" si="0"/>
        <v>6.8500000000000005</v>
      </c>
      <c r="G141" s="188">
        <f t="shared" si="1"/>
        <v>7.4730000000000008</v>
      </c>
      <c r="H141" s="189">
        <f t="shared" si="2"/>
        <v>163.52118655899665</v>
      </c>
      <c r="I141" s="190">
        <f t="shared" si="9"/>
        <v>0.7521974581713845</v>
      </c>
      <c r="J141" s="191">
        <f t="shared" si="10"/>
        <v>18.03958742024772</v>
      </c>
      <c r="K141" s="192" t="b">
        <f t="shared" si="3"/>
        <v>0</v>
      </c>
      <c r="L141" s="193">
        <f t="shared" si="11"/>
        <v>0</v>
      </c>
      <c r="M141" s="194">
        <f t="shared" si="12"/>
        <v>2.3272549826418076E-27</v>
      </c>
      <c r="N141" s="194">
        <f t="shared" si="13"/>
        <v>1.0135152466138699</v>
      </c>
      <c r="O141" s="195">
        <f>IF(ABS(U141)&gt;80,$B$7, LOOKUP(V141,'Force mapping'!$B$7:$B$167,'Force mapping'!$J$7:$J$167))</f>
        <v>785</v>
      </c>
      <c r="P141" s="196">
        <f t="shared" si="4"/>
        <v>0.623</v>
      </c>
      <c r="Q141" s="191">
        <f t="shared" si="5"/>
        <v>0.22639561352933196</v>
      </c>
      <c r="R141" s="197">
        <f>IF(ABS(U141)&gt;80, 0, LOOKUP(V141,'Force mapping'!$B$7:$B$167,'Force mapping'!$I$7:$I$167) * (N141/5) * SIGN(U141))</f>
        <v>0.2199044300883046</v>
      </c>
      <c r="S141" s="198">
        <f t="shared" si="6"/>
        <v>6.3925706421018775</v>
      </c>
      <c r="T141" s="199">
        <f t="shared" si="14"/>
        <v>1.8874871082754034</v>
      </c>
      <c r="U141" s="200">
        <f t="shared" si="15"/>
        <v>56.077210415433569</v>
      </c>
      <c r="V141" s="176">
        <f t="shared" si="7"/>
        <v>56</v>
      </c>
      <c r="Y141" s="91"/>
      <c r="Z141" s="88"/>
    </row>
    <row r="142" spans="5:26" ht="12.5" x14ac:dyDescent="0.25">
      <c r="E142" s="186">
        <f t="shared" si="8"/>
        <v>138</v>
      </c>
      <c r="F142" s="187">
        <f t="shared" si="0"/>
        <v>6.9</v>
      </c>
      <c r="G142" s="188">
        <f t="shared" si="1"/>
        <v>7.5230000000000006</v>
      </c>
      <c r="H142" s="189">
        <f t="shared" si="2"/>
        <v>163.52118655899665</v>
      </c>
      <c r="I142" s="190">
        <f t="shared" si="9"/>
        <v>0.7521974581713845</v>
      </c>
      <c r="J142" s="191">
        <f t="shared" si="10"/>
        <v>18.03958742024772</v>
      </c>
      <c r="K142" s="192" t="b">
        <f t="shared" si="3"/>
        <v>0</v>
      </c>
      <c r="L142" s="193">
        <f t="shared" si="11"/>
        <v>0</v>
      </c>
      <c r="M142" s="194">
        <f t="shared" si="12"/>
        <v>8.6108434357746886E-28</v>
      </c>
      <c r="N142" s="194">
        <f t="shared" si="13"/>
        <v>0.93217373404453852</v>
      </c>
      <c r="O142" s="195">
        <f>IF(ABS(U142)&gt;80,$B$7, LOOKUP(V142,'Force mapping'!$B$7:$B$167,'Force mapping'!$J$7:$J$167))</f>
        <v>785</v>
      </c>
      <c r="P142" s="196">
        <f t="shared" si="4"/>
        <v>0.623</v>
      </c>
      <c r="Q142" s="191">
        <f t="shared" si="5"/>
        <v>0.20822582111124757</v>
      </c>
      <c r="R142" s="197">
        <f>IF(ABS(U142)&gt;80, 0, LOOKUP(V142,'Force mapping'!$B$7:$B$167,'Force mapping'!$I$7:$I$167) * (N142/5) * SIGN(U142))</f>
        <v>0.20225559942311161</v>
      </c>
      <c r="S142" s="198">
        <f t="shared" si="6"/>
        <v>5.8795232390439418</v>
      </c>
      <c r="T142" s="199">
        <f t="shared" si="14"/>
        <v>1.8878067368075084</v>
      </c>
      <c r="U142" s="200">
        <f t="shared" si="15"/>
        <v>55.982676245753744</v>
      </c>
      <c r="V142" s="176">
        <f t="shared" si="7"/>
        <v>56</v>
      </c>
      <c r="Y142" s="91"/>
      <c r="Z142" s="88"/>
    </row>
    <row r="143" spans="5:26" ht="12.5" x14ac:dyDescent="0.25">
      <c r="E143" s="186">
        <f t="shared" si="8"/>
        <v>139</v>
      </c>
      <c r="F143" s="187">
        <f t="shared" si="0"/>
        <v>6.95</v>
      </c>
      <c r="G143" s="188">
        <f t="shared" si="1"/>
        <v>7.5730000000000004</v>
      </c>
      <c r="H143" s="189">
        <f t="shared" si="2"/>
        <v>163.52118655899665</v>
      </c>
      <c r="I143" s="190">
        <f t="shared" si="9"/>
        <v>0.7521974581713845</v>
      </c>
      <c r="J143" s="191">
        <f t="shared" si="10"/>
        <v>18.03958742024772</v>
      </c>
      <c r="K143" s="192" t="b">
        <f t="shared" si="3"/>
        <v>0</v>
      </c>
      <c r="L143" s="193">
        <f t="shared" si="11"/>
        <v>0</v>
      </c>
      <c r="M143" s="194">
        <f t="shared" si="12"/>
        <v>3.1860120712366344E-28</v>
      </c>
      <c r="N143" s="194">
        <f t="shared" si="13"/>
        <v>0.85736043275685492</v>
      </c>
      <c r="O143" s="195">
        <f>IF(ABS(U143)&gt;80,$B$7, LOOKUP(V143,'Force mapping'!$B$7:$B$167,'Force mapping'!$J$7:$J$167))</f>
        <v>785</v>
      </c>
      <c r="P143" s="196">
        <f t="shared" si="4"/>
        <v>0.623</v>
      </c>
      <c r="Q143" s="191">
        <f t="shared" si="5"/>
        <v>0.19151427848594682</v>
      </c>
      <c r="R143" s="197">
        <f>IF(ABS(U143)&gt;80, 0, LOOKUP(V143,'Force mapping'!$B$7:$B$167,'Force mapping'!$I$7:$I$167) * (N143/5) * SIGN(U143))</f>
        <v>0.18602320781612031</v>
      </c>
      <c r="S143" s="198">
        <f t="shared" si="6"/>
        <v>5.4076513900034975</v>
      </c>
      <c r="T143" s="199">
        <f t="shared" si="14"/>
        <v>1.8881007129694607</v>
      </c>
      <c r="U143" s="200">
        <f t="shared" si="15"/>
        <v>55.88813892083239</v>
      </c>
      <c r="V143" s="176">
        <f t="shared" si="7"/>
        <v>56</v>
      </c>
      <c r="Y143" s="91"/>
      <c r="Z143" s="88"/>
    </row>
    <row r="144" spans="5:26" ht="12.5" x14ac:dyDescent="0.25">
      <c r="E144" s="186">
        <f t="shared" si="8"/>
        <v>140</v>
      </c>
      <c r="F144" s="187">
        <f t="shared" si="0"/>
        <v>7</v>
      </c>
      <c r="G144" s="188">
        <f t="shared" si="1"/>
        <v>7.6230000000000002</v>
      </c>
      <c r="H144" s="189">
        <f t="shared" si="2"/>
        <v>163.52118655899665</v>
      </c>
      <c r="I144" s="190">
        <f t="shared" si="9"/>
        <v>0.7521974581713845</v>
      </c>
      <c r="J144" s="191">
        <f t="shared" si="10"/>
        <v>18.03958742024772</v>
      </c>
      <c r="K144" s="192" t="b">
        <f t="shared" si="3"/>
        <v>0</v>
      </c>
      <c r="L144" s="193">
        <f t="shared" si="11"/>
        <v>0</v>
      </c>
      <c r="M144" s="194">
        <f t="shared" si="12"/>
        <v>1.1788244663575546E-28</v>
      </c>
      <c r="N144" s="194">
        <f t="shared" si="13"/>
        <v>0.78855140926112022</v>
      </c>
      <c r="O144" s="195">
        <f>IF(ABS(U144)&gt;80,$B$7, LOOKUP(V144,'Force mapping'!$B$7:$B$167,'Force mapping'!$J$7:$J$167))</f>
        <v>785</v>
      </c>
      <c r="P144" s="196">
        <f t="shared" si="4"/>
        <v>0.623</v>
      </c>
      <c r="Q144" s="191">
        <f t="shared" si="5"/>
        <v>0.17614395115962683</v>
      </c>
      <c r="R144" s="197">
        <f>IF(ABS(U144)&gt;80, 0, LOOKUP(V144,'Force mapping'!$B$7:$B$167,'Force mapping'!$I$7:$I$167) * (N144/5) * SIGN(U144))</f>
        <v>0.17109357637020378</v>
      </c>
      <c r="S144" s="198">
        <f t="shared" si="6"/>
        <v>4.9736504758780171</v>
      </c>
      <c r="T144" s="199">
        <f t="shared" si="14"/>
        <v>1.8883710955389608</v>
      </c>
      <c r="U144" s="200">
        <f t="shared" si="15"/>
        <v>55.793598693899163</v>
      </c>
      <c r="V144" s="176">
        <f t="shared" si="7"/>
        <v>56</v>
      </c>
      <c r="Y144" s="91"/>
      <c r="Z144" s="88"/>
    </row>
    <row r="145" spans="5:26" ht="12.5" x14ac:dyDescent="0.25">
      <c r="E145" s="186">
        <f t="shared" si="8"/>
        <v>141</v>
      </c>
      <c r="F145" s="187">
        <f t="shared" si="0"/>
        <v>7.0500000000000007</v>
      </c>
      <c r="G145" s="188">
        <f t="shared" si="1"/>
        <v>7.6730000000000009</v>
      </c>
      <c r="H145" s="189">
        <f t="shared" si="2"/>
        <v>163.52118655899665</v>
      </c>
      <c r="I145" s="190">
        <f t="shared" si="9"/>
        <v>0.7521974581713845</v>
      </c>
      <c r="J145" s="191">
        <f t="shared" si="10"/>
        <v>18.03958742024772</v>
      </c>
      <c r="K145" s="192" t="b">
        <f t="shared" si="3"/>
        <v>0</v>
      </c>
      <c r="L145" s="193">
        <f t="shared" si="11"/>
        <v>0</v>
      </c>
      <c r="M145" s="194">
        <f t="shared" si="12"/>
        <v>4.3616505255229524E-29</v>
      </c>
      <c r="N145" s="194">
        <f t="shared" si="13"/>
        <v>0.72526477930436906</v>
      </c>
      <c r="O145" s="195">
        <f>IF(ABS(U145)&gt;80,$B$7, LOOKUP(V145,'Force mapping'!$B$7:$B$167,'Force mapping'!$J$7:$J$167))</f>
        <v>809.5</v>
      </c>
      <c r="P145" s="196">
        <f t="shared" si="4"/>
        <v>0.623</v>
      </c>
      <c r="Q145" s="191">
        <f t="shared" si="5"/>
        <v>0.16200719745500192</v>
      </c>
      <c r="R145" s="197">
        <f>IF(ABS(U145)&gt;80, 0, LOOKUP(V145,'Force mapping'!$B$7:$B$167,'Force mapping'!$I$7:$I$167) * (N145/5) * SIGN(U145))</f>
        <v>0.16667309893193702</v>
      </c>
      <c r="S145" s="198">
        <f t="shared" si="6"/>
        <v>4.8451482247656115</v>
      </c>
      <c r="T145" s="199">
        <f t="shared" si="14"/>
        <v>1.8886197780627547</v>
      </c>
      <c r="U145" s="200">
        <f t="shared" si="15"/>
        <v>55.699055797860318</v>
      </c>
      <c r="V145" s="176">
        <f t="shared" si="7"/>
        <v>55.5</v>
      </c>
      <c r="Y145" s="91"/>
      <c r="Z145" s="88"/>
    </row>
    <row r="146" spans="5:26" ht="12.5" x14ac:dyDescent="0.25">
      <c r="E146" s="186">
        <f t="shared" si="8"/>
        <v>142</v>
      </c>
      <c r="F146" s="187">
        <f t="shared" si="0"/>
        <v>7.1000000000000005</v>
      </c>
      <c r="G146" s="188">
        <f t="shared" si="1"/>
        <v>7.7230000000000008</v>
      </c>
      <c r="H146" s="189">
        <f t="shared" si="2"/>
        <v>163.52118655899665</v>
      </c>
      <c r="I146" s="190">
        <f t="shared" si="9"/>
        <v>0.7521974581713845</v>
      </c>
      <c r="J146" s="191">
        <f t="shared" si="10"/>
        <v>18.03958742024772</v>
      </c>
      <c r="K146" s="192" t="b">
        <f t="shared" si="3"/>
        <v>0</v>
      </c>
      <c r="L146" s="193">
        <f t="shared" si="11"/>
        <v>0</v>
      </c>
      <c r="M146" s="194">
        <f t="shared" si="12"/>
        <v>1.6138106944434926E-29</v>
      </c>
      <c r="N146" s="194">
        <f t="shared" si="13"/>
        <v>0.66705733313226878</v>
      </c>
      <c r="O146" s="195">
        <f>IF(ABS(U146)&gt;80,$B$7, LOOKUP(V146,'Force mapping'!$B$7:$B$167,'Force mapping'!$J$7:$J$167))</f>
        <v>809.5</v>
      </c>
      <c r="P146" s="196">
        <f t="shared" si="4"/>
        <v>0.623</v>
      </c>
      <c r="Q146" s="191">
        <f t="shared" si="5"/>
        <v>0.14900501467370159</v>
      </c>
      <c r="R146" s="197">
        <f>IF(ABS(U146)&gt;80, 0, LOOKUP(V146,'Force mapping'!$B$7:$B$167,'Force mapping'!$I$7:$I$167) * (N146/5) * SIGN(U146))</f>
        <v>0.15329644572712667</v>
      </c>
      <c r="S146" s="198">
        <f t="shared" si="6"/>
        <v>4.4562920269513562</v>
      </c>
      <c r="T146" s="199">
        <f t="shared" si="14"/>
        <v>1.8888620354739929</v>
      </c>
      <c r="U146" s="200">
        <f t="shared" si="15"/>
        <v>55.604503680251561</v>
      </c>
      <c r="V146" s="176">
        <f t="shared" si="7"/>
        <v>55.5</v>
      </c>
      <c r="Y146" s="91"/>
      <c r="Z146" s="88"/>
    </row>
    <row r="147" spans="5:26" ht="12.5" x14ac:dyDescent="0.25">
      <c r="E147" s="186">
        <f t="shared" si="8"/>
        <v>143</v>
      </c>
      <c r="F147" s="187">
        <f t="shared" si="0"/>
        <v>7.15</v>
      </c>
      <c r="G147" s="188">
        <f t="shared" si="1"/>
        <v>7.7730000000000006</v>
      </c>
      <c r="H147" s="189">
        <f t="shared" si="2"/>
        <v>163.52118655899665</v>
      </c>
      <c r="I147" s="190">
        <f t="shared" si="9"/>
        <v>0.7521974581713845</v>
      </c>
      <c r="J147" s="191">
        <f t="shared" si="10"/>
        <v>18.03958742024772</v>
      </c>
      <c r="K147" s="192" t="b">
        <f t="shared" si="3"/>
        <v>0</v>
      </c>
      <c r="L147" s="193">
        <f t="shared" si="11"/>
        <v>0</v>
      </c>
      <c r="M147" s="194">
        <f t="shared" si="12"/>
        <v>5.9710995694409231E-30</v>
      </c>
      <c r="N147" s="194">
        <f t="shared" si="13"/>
        <v>0.61352143159677375</v>
      </c>
      <c r="O147" s="195">
        <f>IF(ABS(U147)&gt;80,$B$7, LOOKUP(V147,'Force mapping'!$B$7:$B$167,'Force mapping'!$J$7:$J$167))</f>
        <v>809.5</v>
      </c>
      <c r="P147" s="196">
        <f t="shared" si="4"/>
        <v>0.623</v>
      </c>
      <c r="Q147" s="191">
        <f t="shared" si="5"/>
        <v>0.13704634575927932</v>
      </c>
      <c r="R147" s="197">
        <f>IF(ABS(U147)&gt;80, 0, LOOKUP(V147,'Force mapping'!$B$7:$B$167,'Force mapping'!$I$7:$I$167) * (N147/5) * SIGN(U147))</f>
        <v>0.14099336019525455</v>
      </c>
      <c r="S147" s="198">
        <f t="shared" si="6"/>
        <v>4.0986441917225163</v>
      </c>
      <c r="T147" s="199">
        <f t="shared" si="14"/>
        <v>1.8890848500753405</v>
      </c>
      <c r="U147" s="200">
        <f t="shared" si="15"/>
        <v>55.50994917117719</v>
      </c>
      <c r="V147" s="176">
        <f t="shared" si="7"/>
        <v>55.5</v>
      </c>
      <c r="Y147" s="91"/>
      <c r="Z147" s="88"/>
    </row>
    <row r="148" spans="5:26" ht="12.5" x14ac:dyDescent="0.25">
      <c r="E148" s="186">
        <f t="shared" si="8"/>
        <v>144</v>
      </c>
      <c r="F148" s="187">
        <f t="shared" si="0"/>
        <v>7.2</v>
      </c>
      <c r="G148" s="188">
        <f t="shared" si="1"/>
        <v>7.8230000000000004</v>
      </c>
      <c r="H148" s="189">
        <f t="shared" si="2"/>
        <v>163.52118655899665</v>
      </c>
      <c r="I148" s="190">
        <f t="shared" si="9"/>
        <v>0.7521974581713845</v>
      </c>
      <c r="J148" s="191">
        <f t="shared" si="10"/>
        <v>18.03958742024772</v>
      </c>
      <c r="K148" s="192" t="b">
        <f t="shared" si="3"/>
        <v>0</v>
      </c>
      <c r="L148" s="193">
        <f t="shared" si="11"/>
        <v>0</v>
      </c>
      <c r="M148" s="194">
        <f t="shared" si="12"/>
        <v>2.2093068406931416E-30</v>
      </c>
      <c r="N148" s="194">
        <f t="shared" si="13"/>
        <v>0.56428215137231363</v>
      </c>
      <c r="O148" s="195">
        <f>IF(ABS(U148)&gt;80,$B$7, LOOKUP(V148,'Force mapping'!$B$7:$B$167,'Force mapping'!$J$7:$J$167))</f>
        <v>809.5</v>
      </c>
      <c r="P148" s="196">
        <f t="shared" si="4"/>
        <v>0.623</v>
      </c>
      <c r="Q148" s="191">
        <f t="shared" si="5"/>
        <v>0.12604744160524406</v>
      </c>
      <c r="R148" s="197">
        <f>IF(ABS(U148)&gt;80, 0, LOOKUP(V148,'Force mapping'!$B$7:$B$167,'Force mapping'!$I$7:$I$167) * (N148/5) * SIGN(U148))</f>
        <v>0.12967768120687137</v>
      </c>
      <c r="S148" s="198">
        <f t="shared" si="6"/>
        <v>3.7697000350834702</v>
      </c>
      <c r="T148" s="199">
        <f t="shared" si="14"/>
        <v>1.8892897822849266</v>
      </c>
      <c r="U148" s="200">
        <f t="shared" si="15"/>
        <v>55.415392462568633</v>
      </c>
      <c r="V148" s="176">
        <f t="shared" si="7"/>
        <v>55.5</v>
      </c>
      <c r="Y148" s="91"/>
      <c r="Z148" s="88"/>
    </row>
    <row r="149" spans="5:26" ht="12.5" x14ac:dyDescent="0.25">
      <c r="E149" s="186">
        <f t="shared" si="8"/>
        <v>145</v>
      </c>
      <c r="F149" s="187">
        <f t="shared" si="0"/>
        <v>7.25</v>
      </c>
      <c r="G149" s="188">
        <f t="shared" si="1"/>
        <v>7.8730000000000002</v>
      </c>
      <c r="H149" s="189">
        <f t="shared" si="2"/>
        <v>163.52118655899665</v>
      </c>
      <c r="I149" s="190">
        <f t="shared" si="9"/>
        <v>0.7521974581713845</v>
      </c>
      <c r="J149" s="191">
        <f t="shared" si="10"/>
        <v>18.03958742024772</v>
      </c>
      <c r="K149" s="192" t="b">
        <f t="shared" si="3"/>
        <v>0</v>
      </c>
      <c r="L149" s="193">
        <f t="shared" si="11"/>
        <v>0</v>
      </c>
      <c r="M149" s="194">
        <f t="shared" si="12"/>
        <v>8.1744353105646232E-31</v>
      </c>
      <c r="N149" s="194">
        <f t="shared" si="13"/>
        <v>0.51899465928785826</v>
      </c>
      <c r="O149" s="195">
        <f>IF(ABS(U149)&gt;80,$B$7, LOOKUP(V149,'Force mapping'!$B$7:$B$167,'Force mapping'!$J$7:$J$167))</f>
        <v>809.5</v>
      </c>
      <c r="P149" s="196">
        <f t="shared" si="4"/>
        <v>0.623</v>
      </c>
      <c r="Q149" s="191">
        <f t="shared" si="5"/>
        <v>0.11593127454222288</v>
      </c>
      <c r="R149" s="197">
        <f>IF(ABS(U149)&gt;80, 0, LOOKUP(V149,'Force mapping'!$B$7:$B$167,'Force mapping'!$I$7:$I$167) * (N149/5) * SIGN(U149))</f>
        <v>0.11927016265094269</v>
      </c>
      <c r="S149" s="198">
        <f t="shared" si="6"/>
        <v>3.4671558910157758</v>
      </c>
      <c r="T149" s="199">
        <f t="shared" si="14"/>
        <v>1.8894782672866808</v>
      </c>
      <c r="U149" s="200">
        <f t="shared" si="15"/>
        <v>55.32083373095351</v>
      </c>
      <c r="V149" s="176">
        <f t="shared" si="7"/>
        <v>55.5</v>
      </c>
      <c r="Y149" s="91"/>
      <c r="Z149" s="88"/>
    </row>
    <row r="150" spans="5:26" ht="12.5" x14ac:dyDescent="0.25">
      <c r="E150" s="186">
        <f t="shared" si="8"/>
        <v>146</v>
      </c>
      <c r="F150" s="187">
        <f t="shared" si="0"/>
        <v>7.3000000000000007</v>
      </c>
      <c r="G150" s="188">
        <f t="shared" si="1"/>
        <v>7.9230000000000009</v>
      </c>
      <c r="H150" s="189">
        <f t="shared" si="2"/>
        <v>163.52118655899665</v>
      </c>
      <c r="I150" s="190">
        <f t="shared" si="9"/>
        <v>0.7521974581713845</v>
      </c>
      <c r="J150" s="191">
        <f t="shared" si="10"/>
        <v>18.03958742024772</v>
      </c>
      <c r="K150" s="192" t="b">
        <f t="shared" si="3"/>
        <v>0</v>
      </c>
      <c r="L150" s="193">
        <f t="shared" si="11"/>
        <v>0</v>
      </c>
      <c r="M150" s="194">
        <f t="shared" si="12"/>
        <v>3.024541064908911E-31</v>
      </c>
      <c r="N150" s="194">
        <f t="shared" si="13"/>
        <v>0.47734179738674604</v>
      </c>
      <c r="O150" s="195">
        <f>IF(ABS(U150)&gt;80,$B$7, LOOKUP(V150,'Force mapping'!$B$7:$B$167,'Force mapping'!$J$7:$J$167))</f>
        <v>834</v>
      </c>
      <c r="P150" s="196">
        <f t="shared" si="4"/>
        <v>0.623</v>
      </c>
      <c r="Q150" s="191">
        <f t="shared" si="5"/>
        <v>0.10662699889677962</v>
      </c>
      <c r="R150" s="197">
        <f>IF(ABS(U150)&gt;80, 0, LOOKUP(V150,'Force mapping'!$B$7:$B$167,'Force mapping'!$I$7:$I$167) * (N150/5) * SIGN(U150))</f>
        <v>0.11582603245229914</v>
      </c>
      <c r="S150" s="198">
        <f t="shared" si="6"/>
        <v>3.3670358271017191</v>
      </c>
      <c r="T150" s="199">
        <f t="shared" si="14"/>
        <v>1.8896516250812316</v>
      </c>
      <c r="U150" s="200">
        <f t="shared" si="15"/>
        <v>55.226273138691901</v>
      </c>
      <c r="V150" s="176">
        <f t="shared" si="7"/>
        <v>55</v>
      </c>
      <c r="Y150" s="91"/>
      <c r="Z150" s="88"/>
    </row>
    <row r="151" spans="5:26" ht="12.5" x14ac:dyDescent="0.25">
      <c r="E151" s="186">
        <f t="shared" si="8"/>
        <v>147</v>
      </c>
      <c r="F151" s="187">
        <f t="shared" si="0"/>
        <v>7.3500000000000005</v>
      </c>
      <c r="G151" s="188">
        <f t="shared" si="1"/>
        <v>7.9730000000000008</v>
      </c>
      <c r="H151" s="189">
        <f t="shared" si="2"/>
        <v>163.52118655899665</v>
      </c>
      <c r="I151" s="190">
        <f t="shared" si="9"/>
        <v>0.7521974581713845</v>
      </c>
      <c r="J151" s="191">
        <f t="shared" si="10"/>
        <v>18.03958742024772</v>
      </c>
      <c r="K151" s="192" t="b">
        <f t="shared" si="3"/>
        <v>0</v>
      </c>
      <c r="L151" s="193">
        <f t="shared" si="11"/>
        <v>0</v>
      </c>
      <c r="M151" s="194">
        <f t="shared" si="12"/>
        <v>1.119080194016297E-31</v>
      </c>
      <c r="N151" s="194">
        <f t="shared" si="13"/>
        <v>0.43903186180193499</v>
      </c>
      <c r="O151" s="195">
        <f>IF(ABS(U151)&gt;80,$B$7, LOOKUP(V151,'Force mapping'!$B$7:$B$167,'Force mapping'!$J$7:$J$167))</f>
        <v>834</v>
      </c>
      <c r="P151" s="196">
        <f t="shared" si="4"/>
        <v>0.623</v>
      </c>
      <c r="Q151" s="191">
        <f t="shared" si="5"/>
        <v>9.8069454844068593E-2</v>
      </c>
      <c r="R151" s="197">
        <f>IF(ABS(U151)&gt;80, 0, LOOKUP(V151,'Force mapping'!$B$7:$B$167,'Force mapping'!$I$7:$I$167) * (N151/5) * SIGN(U151))</f>
        <v>0.1065302032025159</v>
      </c>
      <c r="S151" s="198">
        <f t="shared" si="6"/>
        <v>3.0968082326312762</v>
      </c>
      <c r="T151" s="199">
        <f t="shared" si="14"/>
        <v>1.8898199768725867</v>
      </c>
      <c r="U151" s="200">
        <f t="shared" si="15"/>
        <v>55.131706381542159</v>
      </c>
      <c r="V151" s="176">
        <f t="shared" si="7"/>
        <v>55</v>
      </c>
      <c r="Y151" s="91"/>
      <c r="Z151" s="88"/>
    </row>
    <row r="152" spans="5:26" ht="12.5" x14ac:dyDescent="0.25">
      <c r="E152" s="186">
        <f t="shared" si="8"/>
        <v>148</v>
      </c>
      <c r="F152" s="187">
        <f t="shared" si="0"/>
        <v>7.4</v>
      </c>
      <c r="G152" s="188">
        <f t="shared" si="1"/>
        <v>8.0229999999999997</v>
      </c>
      <c r="H152" s="189">
        <f t="shared" si="2"/>
        <v>163.52118655899665</v>
      </c>
      <c r="I152" s="190">
        <f t="shared" si="9"/>
        <v>0.7521974581713845</v>
      </c>
      <c r="J152" s="191">
        <f t="shared" si="10"/>
        <v>18.03958742024772</v>
      </c>
      <c r="K152" s="192" t="b">
        <f t="shared" si="3"/>
        <v>0</v>
      </c>
      <c r="L152" s="193">
        <f t="shared" si="11"/>
        <v>0</v>
      </c>
      <c r="M152" s="194">
        <f t="shared" si="12"/>
        <v>4.1405967178602984E-32</v>
      </c>
      <c r="N152" s="194">
        <f t="shared" si="13"/>
        <v>0.40379655989166735</v>
      </c>
      <c r="O152" s="195">
        <f>IF(ABS(U152)&gt;80,$B$7, LOOKUP(V152,'Force mapping'!$B$7:$B$167,'Force mapping'!$J$7:$J$167))</f>
        <v>834</v>
      </c>
      <c r="P152" s="196">
        <f t="shared" si="4"/>
        <v>0.623</v>
      </c>
      <c r="Q152" s="191">
        <f t="shared" si="5"/>
        <v>9.0198712079697124E-2</v>
      </c>
      <c r="R152" s="197">
        <f>IF(ABS(U152)&gt;80, 0, LOOKUP(V152,'Force mapping'!$B$7:$B$167,'Force mapping'!$I$7:$I$167) * (N152/5) * SIGN(U152))</f>
        <v>9.7980427664593292E-2</v>
      </c>
      <c r="S152" s="198">
        <f t="shared" si="6"/>
        <v>2.8482682460637583</v>
      </c>
      <c r="T152" s="199">
        <f t="shared" si="14"/>
        <v>1.8899748172842183</v>
      </c>
      <c r="U152" s="200">
        <f t="shared" si="15"/>
        <v>55.037137962492714</v>
      </c>
      <c r="V152" s="176">
        <f t="shared" si="7"/>
        <v>55</v>
      </c>
      <c r="Y152" s="91"/>
      <c r="Z152" s="88"/>
    </row>
    <row r="153" spans="5:26" ht="12.5" x14ac:dyDescent="0.25">
      <c r="E153" s="186">
        <f t="shared" si="8"/>
        <v>149</v>
      </c>
      <c r="F153" s="187">
        <f t="shared" si="0"/>
        <v>7.45</v>
      </c>
      <c r="G153" s="188">
        <f t="shared" si="1"/>
        <v>8.0730000000000004</v>
      </c>
      <c r="H153" s="189">
        <f t="shared" si="2"/>
        <v>163.52118655899665</v>
      </c>
      <c r="I153" s="190">
        <f t="shared" si="9"/>
        <v>0.7521974581713845</v>
      </c>
      <c r="J153" s="191">
        <f t="shared" si="10"/>
        <v>18.03958742024772</v>
      </c>
      <c r="K153" s="192" t="b">
        <f t="shared" si="3"/>
        <v>0</v>
      </c>
      <c r="L153" s="193">
        <f t="shared" si="11"/>
        <v>0</v>
      </c>
      <c r="M153" s="194">
        <f t="shared" si="12"/>
        <v>1.5320207856083102E-32</v>
      </c>
      <c r="N153" s="194">
        <f t="shared" si="13"/>
        <v>0.3713891313289332</v>
      </c>
      <c r="O153" s="195">
        <f>IF(ABS(U153)&gt;80,$B$7, LOOKUP(V153,'Force mapping'!$B$7:$B$167,'Force mapping'!$J$7:$J$167))</f>
        <v>834</v>
      </c>
      <c r="P153" s="196">
        <f t="shared" si="4"/>
        <v>0.623</v>
      </c>
      <c r="Q153" s="191">
        <f t="shared" si="5"/>
        <v>8.2959650115034422E-2</v>
      </c>
      <c r="R153" s="197">
        <f>IF(ABS(U153)&gt;80, 0, LOOKUP(V153,'Force mapping'!$B$7:$B$167,'Force mapping'!$I$7:$I$167) * (N153/5) * SIGN(U153))</f>
        <v>9.0116829938702972E-2</v>
      </c>
      <c r="S153" s="198">
        <f t="shared" si="6"/>
        <v>2.6196752889157842</v>
      </c>
      <c r="T153" s="199">
        <f t="shared" si="14"/>
        <v>1.8901172306965215</v>
      </c>
      <c r="U153" s="200">
        <f t="shared" si="15"/>
        <v>54.942568014922351</v>
      </c>
      <c r="V153" s="176">
        <f t="shared" si="7"/>
        <v>55</v>
      </c>
      <c r="Y153" s="91"/>
      <c r="Z153" s="88"/>
    </row>
    <row r="154" spans="5:26" ht="12.5" x14ac:dyDescent="0.25">
      <c r="E154" s="186">
        <f t="shared" si="8"/>
        <v>150</v>
      </c>
      <c r="F154" s="187">
        <f t="shared" si="0"/>
        <v>7.5</v>
      </c>
      <c r="G154" s="188">
        <f t="shared" si="1"/>
        <v>8.1229999999999993</v>
      </c>
      <c r="H154" s="189">
        <f t="shared" si="2"/>
        <v>163.52118655899665</v>
      </c>
      <c r="I154" s="190">
        <f t="shared" si="9"/>
        <v>0.7521974581713845</v>
      </c>
      <c r="J154" s="191">
        <f t="shared" si="10"/>
        <v>18.03958742024772</v>
      </c>
      <c r="K154" s="192" t="b">
        <f t="shared" si="3"/>
        <v>0</v>
      </c>
      <c r="L154" s="193">
        <f t="shared" si="11"/>
        <v>0</v>
      </c>
      <c r="M154" s="194">
        <f t="shared" si="12"/>
        <v>5.6684769067507479E-33</v>
      </c>
      <c r="N154" s="194">
        <f t="shared" si="13"/>
        <v>0.34158261998632222</v>
      </c>
      <c r="O154" s="195">
        <f>IF(ABS(U154)&gt;80,$B$7, LOOKUP(V154,'Force mapping'!$B$7:$B$167,'Force mapping'!$J$7:$J$167))</f>
        <v>834</v>
      </c>
      <c r="P154" s="196">
        <f t="shared" si="4"/>
        <v>0.623</v>
      </c>
      <c r="Q154" s="191">
        <f t="shared" si="5"/>
        <v>7.6301572256684963E-2</v>
      </c>
      <c r="R154" s="197">
        <f>IF(ABS(U154)&gt;80, 0, LOOKUP(V154,'Force mapping'!$B$7:$B$167,'Force mapping'!$I$7:$I$167) * (N154/5) * SIGN(U154))</f>
        <v>8.2884339574441107E-2</v>
      </c>
      <c r="S154" s="198">
        <f t="shared" si="6"/>
        <v>2.409428476001195</v>
      </c>
      <c r="T154" s="199">
        <f t="shared" si="14"/>
        <v>1.8902482144609674</v>
      </c>
      <c r="U154" s="200">
        <f t="shared" si="15"/>
        <v>54.847996661505299</v>
      </c>
      <c r="V154" s="176">
        <f t="shared" si="7"/>
        <v>55</v>
      </c>
      <c r="Y154" s="91"/>
      <c r="Z154" s="88"/>
    </row>
    <row r="155" spans="5:26" ht="12.5" x14ac:dyDescent="0.25">
      <c r="E155" s="186">
        <f t="shared" si="8"/>
        <v>151</v>
      </c>
      <c r="F155" s="187">
        <f t="shared" si="0"/>
        <v>7.5500000000000007</v>
      </c>
      <c r="G155" s="188">
        <f t="shared" si="1"/>
        <v>8.173</v>
      </c>
      <c r="H155" s="189">
        <f t="shared" si="2"/>
        <v>163.52118655899665</v>
      </c>
      <c r="I155" s="190">
        <f t="shared" si="9"/>
        <v>0.7521974581713845</v>
      </c>
      <c r="J155" s="191">
        <f t="shared" si="10"/>
        <v>18.03958742024772</v>
      </c>
      <c r="K155" s="192" t="b">
        <f t="shared" si="3"/>
        <v>0</v>
      </c>
      <c r="L155" s="193">
        <f t="shared" si="11"/>
        <v>0</v>
      </c>
      <c r="M155" s="194">
        <f t="shared" si="12"/>
        <v>2.0973364554977767E-33</v>
      </c>
      <c r="N155" s="194">
        <f t="shared" si="13"/>
        <v>0.31416828451390466</v>
      </c>
      <c r="O155" s="195">
        <f>IF(ABS(U155)&gt;80,$B$7, LOOKUP(V155,'Force mapping'!$B$7:$B$167,'Force mapping'!$J$7:$J$167))</f>
        <v>834</v>
      </c>
      <c r="P155" s="196">
        <f t="shared" si="4"/>
        <v>0.623</v>
      </c>
      <c r="Q155" s="191">
        <f t="shared" si="5"/>
        <v>7.0177850566742347E-2</v>
      </c>
      <c r="R155" s="197">
        <f>IF(ABS(U155)&gt;80, 0, LOOKUP(V155,'Force mapping'!$B$7:$B$167,'Force mapping'!$I$7:$I$167) * (N155/5) * SIGN(U155))</f>
        <v>7.6232305900729935E-2</v>
      </c>
      <c r="S155" s="198">
        <f t="shared" si="6"/>
        <v>2.2160554040909863</v>
      </c>
      <c r="T155" s="199">
        <f t="shared" si="14"/>
        <v>1.8903686858847675</v>
      </c>
      <c r="U155" s="200">
        <f t="shared" si="15"/>
        <v>54.753424015070351</v>
      </c>
      <c r="V155" s="176">
        <f t="shared" si="7"/>
        <v>55</v>
      </c>
      <c r="Y155" s="91"/>
      <c r="Z155" s="88"/>
    </row>
    <row r="156" spans="5:26" ht="12.5" x14ac:dyDescent="0.25">
      <c r="E156" s="186">
        <f t="shared" si="8"/>
        <v>152</v>
      </c>
      <c r="F156" s="187">
        <f t="shared" si="0"/>
        <v>7.6000000000000005</v>
      </c>
      <c r="G156" s="188">
        <f t="shared" si="1"/>
        <v>8.2230000000000008</v>
      </c>
      <c r="H156" s="189">
        <f t="shared" si="2"/>
        <v>163.52118655899665</v>
      </c>
      <c r="I156" s="190">
        <f t="shared" si="9"/>
        <v>0.7521974581713845</v>
      </c>
      <c r="J156" s="191">
        <f t="shared" si="10"/>
        <v>18.03958742024772</v>
      </c>
      <c r="K156" s="192" t="b">
        <f t="shared" si="3"/>
        <v>0</v>
      </c>
      <c r="L156" s="193">
        <f t="shared" si="11"/>
        <v>0</v>
      </c>
      <c r="M156" s="194">
        <f t="shared" si="12"/>
        <v>7.7601448853417743E-34</v>
      </c>
      <c r="N156" s="194">
        <f t="shared" si="13"/>
        <v>0.2889541364790808</v>
      </c>
      <c r="O156" s="195">
        <f>IF(ABS(U156)&gt;80,$B$7, LOOKUP(V156,'Force mapping'!$B$7:$B$167,'Force mapping'!$J$7:$J$167))</f>
        <v>854.5</v>
      </c>
      <c r="P156" s="196">
        <f t="shared" si="4"/>
        <v>0.623</v>
      </c>
      <c r="Q156" s="191">
        <f t="shared" si="5"/>
        <v>6.4545599317405056E-2</v>
      </c>
      <c r="R156" s="197">
        <f>IF(ABS(U156)&gt;80, 0, LOOKUP(V156,'Force mapping'!$B$7:$B$167,'Force mapping'!$I$7:$I$167) * (N156/5) * SIGN(U156))</f>
        <v>7.4163546576993825E-2</v>
      </c>
      <c r="S156" s="198">
        <f t="shared" si="6"/>
        <v>2.1559170516567971</v>
      </c>
      <c r="T156" s="199">
        <f t="shared" si="14"/>
        <v>1.8904794886549721</v>
      </c>
      <c r="U156" s="200">
        <f t="shared" si="15"/>
        <v>54.65885017939101</v>
      </c>
      <c r="V156" s="176">
        <f t="shared" si="7"/>
        <v>54.5</v>
      </c>
      <c r="Y156" s="91"/>
      <c r="Z156" s="88"/>
    </row>
    <row r="157" spans="5:26" ht="12.5" x14ac:dyDescent="0.25">
      <c r="E157" s="186">
        <f t="shared" si="8"/>
        <v>153</v>
      </c>
      <c r="F157" s="187">
        <f t="shared" si="0"/>
        <v>7.65</v>
      </c>
      <c r="G157" s="188">
        <f t="shared" si="1"/>
        <v>8.2729999999999997</v>
      </c>
      <c r="H157" s="189">
        <f t="shared" si="2"/>
        <v>163.52118655899665</v>
      </c>
      <c r="I157" s="190">
        <f t="shared" si="9"/>
        <v>0.7521974581713845</v>
      </c>
      <c r="J157" s="191">
        <f t="shared" si="10"/>
        <v>18.03958742024772</v>
      </c>
      <c r="K157" s="192" t="b">
        <f t="shared" si="3"/>
        <v>0</v>
      </c>
      <c r="L157" s="193">
        <f t="shared" si="11"/>
        <v>0</v>
      </c>
      <c r="M157" s="194">
        <f t="shared" si="12"/>
        <v>2.8712536075764562E-34</v>
      </c>
      <c r="N157" s="194">
        <f t="shared" si="13"/>
        <v>0.26576359583067949</v>
      </c>
      <c r="O157" s="195">
        <f>IF(ABS(U157)&gt;80,$B$7, LOOKUP(V157,'Force mapping'!$B$7:$B$167,'Force mapping'!$J$7:$J$167))</f>
        <v>854.5</v>
      </c>
      <c r="P157" s="196">
        <f t="shared" si="4"/>
        <v>0.623</v>
      </c>
      <c r="Q157" s="191">
        <f t="shared" si="5"/>
        <v>5.9365374653086847E-2</v>
      </c>
      <c r="R157" s="197">
        <f>IF(ABS(U157)&gt;80, 0, LOOKUP(V157,'Force mapping'!$B$7:$B$167,'Force mapping'!$I$7:$I$167) * (N157/5) * SIGN(U157))</f>
        <v>6.8211416033093844E-2</v>
      </c>
      <c r="S157" s="198">
        <f t="shared" si="6"/>
        <v>1.9828900009620303</v>
      </c>
      <c r="T157" s="199">
        <f t="shared" si="14"/>
        <v>1.8905872845075549</v>
      </c>
      <c r="U157" s="200">
        <f t="shared" si="15"/>
        <v>54.56427230703197</v>
      </c>
      <c r="V157" s="176">
        <f t="shared" si="7"/>
        <v>54.5</v>
      </c>
      <c r="Y157" s="91"/>
      <c r="Z157" s="88"/>
    </row>
    <row r="158" spans="5:26" ht="12.5" x14ac:dyDescent="0.25">
      <c r="E158" s="186">
        <f t="shared" si="8"/>
        <v>154</v>
      </c>
      <c r="F158" s="187">
        <f t="shared" si="0"/>
        <v>7.7</v>
      </c>
      <c r="G158" s="188">
        <f t="shared" si="1"/>
        <v>8.3230000000000004</v>
      </c>
      <c r="H158" s="189">
        <f t="shared" si="2"/>
        <v>163.52118655899665</v>
      </c>
      <c r="I158" s="190">
        <f t="shared" si="9"/>
        <v>0.7521974581713845</v>
      </c>
      <c r="J158" s="191">
        <f t="shared" si="10"/>
        <v>18.03958742024772</v>
      </c>
      <c r="K158" s="192" t="b">
        <f t="shared" si="3"/>
        <v>0</v>
      </c>
      <c r="L158" s="193">
        <f t="shared" si="11"/>
        <v>0</v>
      </c>
      <c r="M158" s="194">
        <f t="shared" si="12"/>
        <v>1.0623638348032888E-34</v>
      </c>
      <c r="N158" s="194">
        <f t="shared" si="13"/>
        <v>0.24443425427123489</v>
      </c>
      <c r="O158" s="195">
        <f>IF(ABS(U158)&gt;80,$B$7, LOOKUP(V158,'Force mapping'!$B$7:$B$167,'Force mapping'!$J$7:$J$167))</f>
        <v>854.5</v>
      </c>
      <c r="P158" s="196">
        <f t="shared" si="4"/>
        <v>0.623</v>
      </c>
      <c r="Q158" s="191">
        <f t="shared" si="5"/>
        <v>5.4600898356691428E-2</v>
      </c>
      <c r="R158" s="197">
        <f>IF(ABS(U158)&gt;80, 0, LOOKUP(V158,'Force mapping'!$B$7:$B$167,'Force mapping'!$I$7:$I$167) * (N158/5) * SIGN(U158))</f>
        <v>6.2736984569763676E-2</v>
      </c>
      <c r="S158" s="198">
        <f t="shared" si="6"/>
        <v>1.8237495514466184</v>
      </c>
      <c r="T158" s="199">
        <f t="shared" si="14"/>
        <v>1.8906864290076029</v>
      </c>
      <c r="U158" s="200">
        <f t="shared" si="15"/>
        <v>54.46969337055657</v>
      </c>
      <c r="V158" s="176">
        <f t="shared" si="7"/>
        <v>54.5</v>
      </c>
      <c r="Y158" s="91"/>
      <c r="Z158" s="88"/>
    </row>
    <row r="159" spans="5:26" ht="12.5" x14ac:dyDescent="0.25">
      <c r="E159" s="186">
        <f t="shared" si="8"/>
        <v>155</v>
      </c>
      <c r="F159" s="187">
        <f t="shared" si="0"/>
        <v>7.75</v>
      </c>
      <c r="G159" s="188">
        <f t="shared" si="1"/>
        <v>8.3729999999999993</v>
      </c>
      <c r="H159" s="189">
        <f t="shared" si="2"/>
        <v>163.52118655899665</v>
      </c>
      <c r="I159" s="190">
        <f t="shared" si="9"/>
        <v>0.7521974581713845</v>
      </c>
      <c r="J159" s="191">
        <f t="shared" si="10"/>
        <v>18.03958742024772</v>
      </c>
      <c r="K159" s="192" t="b">
        <f t="shared" si="3"/>
        <v>0</v>
      </c>
      <c r="L159" s="193">
        <f t="shared" si="11"/>
        <v>0</v>
      </c>
      <c r="M159" s="194">
        <f t="shared" si="12"/>
        <v>3.9307461887721689E-35</v>
      </c>
      <c r="N159" s="194">
        <f t="shared" si="13"/>
        <v>0.22481673787707479</v>
      </c>
      <c r="O159" s="195">
        <f>IF(ABS(U159)&gt;80,$B$7, LOOKUP(V159,'Force mapping'!$B$7:$B$167,'Force mapping'!$J$7:$J$167))</f>
        <v>854.5</v>
      </c>
      <c r="P159" s="196">
        <f t="shared" si="4"/>
        <v>0.623</v>
      </c>
      <c r="Q159" s="191">
        <f t="shared" si="5"/>
        <v>5.0218803785528392E-2</v>
      </c>
      <c r="R159" s="197">
        <f>IF(ABS(U159)&gt;80, 0, LOOKUP(V159,'Force mapping'!$B$7:$B$167,'Force mapping'!$I$7:$I$167) * (N159/5) * SIGN(U159))</f>
        <v>5.7701913577005756E-2</v>
      </c>
      <c r="S159" s="198">
        <f t="shared" si="6"/>
        <v>1.6773812086338882</v>
      </c>
      <c r="T159" s="199">
        <f t="shared" si="14"/>
        <v>1.8907776164851753</v>
      </c>
      <c r="U159" s="200">
        <f t="shared" si="15"/>
        <v>54.375113455367405</v>
      </c>
      <c r="V159" s="176">
        <f t="shared" si="7"/>
        <v>54.5</v>
      </c>
      <c r="Y159" s="91"/>
      <c r="Z159" s="88"/>
    </row>
    <row r="160" spans="5:26" ht="12.5" x14ac:dyDescent="0.25">
      <c r="E160" s="186">
        <f t="shared" si="8"/>
        <v>156</v>
      </c>
      <c r="F160" s="187">
        <f t="shared" si="0"/>
        <v>7.8000000000000007</v>
      </c>
      <c r="G160" s="188">
        <f t="shared" si="1"/>
        <v>8.423</v>
      </c>
      <c r="H160" s="189">
        <f t="shared" si="2"/>
        <v>163.52118655899665</v>
      </c>
      <c r="I160" s="190">
        <f t="shared" si="9"/>
        <v>0.7521974581713845</v>
      </c>
      <c r="J160" s="191">
        <f t="shared" si="10"/>
        <v>18.03958742024772</v>
      </c>
      <c r="K160" s="192" t="b">
        <f t="shared" si="3"/>
        <v>0</v>
      </c>
      <c r="L160" s="193">
        <f t="shared" si="11"/>
        <v>0</v>
      </c>
      <c r="M160" s="194">
        <f t="shared" si="12"/>
        <v>1.4543760898457022E-35</v>
      </c>
      <c r="N160" s="194">
        <f t="shared" si="13"/>
        <v>0.20677366100090505</v>
      </c>
      <c r="O160" s="195">
        <f>IF(ABS(U160)&gt;80,$B$7, LOOKUP(V160,'Force mapping'!$B$7:$B$167,'Force mapping'!$J$7:$J$167))</f>
        <v>854.5</v>
      </c>
      <c r="P160" s="196">
        <f t="shared" si="4"/>
        <v>0.623</v>
      </c>
      <c r="Q160" s="191">
        <f t="shared" si="5"/>
        <v>4.6188402197604762E-2</v>
      </c>
      <c r="R160" s="197">
        <f>IF(ABS(U160)&gt;80, 0, LOOKUP(V160,'Force mapping'!$B$7:$B$167,'Force mapping'!$I$7:$I$167) * (N160/5) * SIGN(U160))</f>
        <v>5.3070941379814281E-2</v>
      </c>
      <c r="S160" s="198">
        <f t="shared" si="6"/>
        <v>1.5427599238318104</v>
      </c>
      <c r="T160" s="199">
        <f t="shared" si="14"/>
        <v>1.890861485545607</v>
      </c>
      <c r="U160" s="200">
        <f t="shared" si="15"/>
        <v>54.280532640012929</v>
      </c>
      <c r="V160" s="176">
        <f t="shared" si="7"/>
        <v>54.5</v>
      </c>
      <c r="Y160" s="91"/>
      <c r="Z160" s="88"/>
    </row>
    <row r="161" spans="5:26" ht="12.5" x14ac:dyDescent="0.25">
      <c r="E161" s="186">
        <f t="shared" si="8"/>
        <v>157</v>
      </c>
      <c r="F161" s="187">
        <f t="shared" si="0"/>
        <v>7.8500000000000005</v>
      </c>
      <c r="G161" s="188">
        <f t="shared" si="1"/>
        <v>8.4730000000000008</v>
      </c>
      <c r="H161" s="189">
        <f t="shared" si="2"/>
        <v>163.52118655899665</v>
      </c>
      <c r="I161" s="190">
        <f t="shared" si="9"/>
        <v>0.7521974581713845</v>
      </c>
      <c r="J161" s="191">
        <f t="shared" si="10"/>
        <v>18.03958742024772</v>
      </c>
      <c r="K161" s="192" t="b">
        <f t="shared" si="3"/>
        <v>0</v>
      </c>
      <c r="L161" s="193">
        <f t="shared" si="11"/>
        <v>0</v>
      </c>
      <c r="M161" s="194">
        <f t="shared" si="12"/>
        <v>5.3811915324290987E-36</v>
      </c>
      <c r="N161" s="194">
        <f t="shared" si="13"/>
        <v>0.19017866413084844</v>
      </c>
      <c r="O161" s="195">
        <f>IF(ABS(U161)&gt;80,$B$7, LOOKUP(V161,'Force mapping'!$B$7:$B$167,'Force mapping'!$J$7:$J$167))</f>
        <v>875</v>
      </c>
      <c r="P161" s="196">
        <f t="shared" si="4"/>
        <v>0.623</v>
      </c>
      <c r="Q161" s="191">
        <f t="shared" si="5"/>
        <v>4.2481467831825888E-2</v>
      </c>
      <c r="R161" s="197">
        <f>IF(ABS(U161)&gt;80, 0, LOOKUP(V161,'Force mapping'!$B$7:$B$167,'Force mapping'!$I$7:$I$167) * (N161/5) * SIGN(U161))</f>
        <v>5.1476800092281526E-2</v>
      </c>
      <c r="S161" s="198">
        <f t="shared" si="6"/>
        <v>1.4964186073337653</v>
      </c>
      <c r="T161" s="199">
        <f t="shared" si="14"/>
        <v>1.8909386235417986</v>
      </c>
      <c r="U161" s="200">
        <f t="shared" si="15"/>
        <v>54.185950996737553</v>
      </c>
      <c r="V161" s="176">
        <f t="shared" si="7"/>
        <v>54</v>
      </c>
      <c r="Y161" s="91"/>
      <c r="Z161" s="88"/>
    </row>
    <row r="162" spans="5:26" ht="12.5" x14ac:dyDescent="0.25">
      <c r="E162" s="186">
        <f t="shared" si="8"/>
        <v>158</v>
      </c>
      <c r="F162" s="187">
        <f t="shared" si="0"/>
        <v>7.9</v>
      </c>
      <c r="G162" s="188">
        <f t="shared" si="1"/>
        <v>8.5229999999999997</v>
      </c>
      <c r="H162" s="189">
        <f t="shared" si="2"/>
        <v>163.52118655899665</v>
      </c>
      <c r="I162" s="190">
        <f t="shared" si="9"/>
        <v>0.7521974581713845</v>
      </c>
      <c r="J162" s="191">
        <f t="shared" si="10"/>
        <v>18.03958742024772</v>
      </c>
      <c r="K162" s="192" t="b">
        <f t="shared" si="3"/>
        <v>0</v>
      </c>
      <c r="L162" s="193">
        <f t="shared" si="11"/>
        <v>0</v>
      </c>
      <c r="M162" s="194">
        <f t="shared" si="12"/>
        <v>1.9910408669987663E-36</v>
      </c>
      <c r="N162" s="194">
        <f t="shared" si="13"/>
        <v>0.174915528967859</v>
      </c>
      <c r="O162" s="195">
        <f>IF(ABS(U162)&gt;80,$B$7, LOOKUP(V162,'Force mapping'!$B$7:$B$167,'Force mapping'!$J$7:$J$167))</f>
        <v>875</v>
      </c>
      <c r="P162" s="196">
        <f t="shared" si="4"/>
        <v>0.623</v>
      </c>
      <c r="Q162" s="191">
        <f t="shared" si="5"/>
        <v>3.9072040236976295E-2</v>
      </c>
      <c r="R162" s="197">
        <f>IF(ABS(U162)&gt;80, 0, LOOKUP(V162,'Force mapping'!$B$7:$B$167,'Force mapping'!$I$7:$I$167) * (N162/5) * SIGN(U162))</f>
        <v>4.7345435718904191E-2</v>
      </c>
      <c r="S162" s="198">
        <f t="shared" si="6"/>
        <v>1.3763208057820986</v>
      </c>
      <c r="T162" s="199">
        <f t="shared" si="14"/>
        <v>1.8910134444721654</v>
      </c>
      <c r="U162" s="200">
        <f t="shared" si="15"/>
        <v>54.091366655095278</v>
      </c>
      <c r="V162" s="176">
        <f t="shared" si="7"/>
        <v>54</v>
      </c>
      <c r="Y162" s="91"/>
      <c r="Z162" s="88"/>
    </row>
    <row r="163" spans="5:26" ht="12.5" x14ac:dyDescent="0.25">
      <c r="E163" s="186">
        <f t="shared" si="8"/>
        <v>159</v>
      </c>
      <c r="F163" s="187">
        <f t="shared" si="0"/>
        <v>7.95</v>
      </c>
      <c r="G163" s="188">
        <f t="shared" si="1"/>
        <v>8.5730000000000004</v>
      </c>
      <c r="H163" s="189">
        <f t="shared" si="2"/>
        <v>163.52118655899665</v>
      </c>
      <c r="I163" s="190">
        <f t="shared" si="9"/>
        <v>0.7521974581713845</v>
      </c>
      <c r="J163" s="191">
        <f t="shared" si="10"/>
        <v>18.03958742024772</v>
      </c>
      <c r="K163" s="192" t="b">
        <f t="shared" si="3"/>
        <v>0</v>
      </c>
      <c r="L163" s="193">
        <f t="shared" si="11"/>
        <v>0</v>
      </c>
      <c r="M163" s="194">
        <f t="shared" si="12"/>
        <v>7.3668512078954358E-37</v>
      </c>
      <c r="N163" s="194">
        <f t="shared" si="13"/>
        <v>0.16087736452421059</v>
      </c>
      <c r="O163" s="195">
        <f>IF(ABS(U163)&gt;80,$B$7, LOOKUP(V163,'Force mapping'!$B$7:$B$167,'Force mapping'!$J$7:$J$167))</f>
        <v>875</v>
      </c>
      <c r="P163" s="196">
        <f t="shared" si="4"/>
        <v>0.623</v>
      </c>
      <c r="Q163" s="191">
        <f t="shared" si="5"/>
        <v>3.5936242465148337E-2</v>
      </c>
      <c r="R163" s="197">
        <f>IF(ABS(U163)&gt;80, 0, LOOKUP(V163,'Force mapping'!$B$7:$B$167,'Force mapping'!$I$7:$I$167) * (N163/5) * SIGN(U163))</f>
        <v>4.3545641519955214E-2</v>
      </c>
      <c r="S163" s="198">
        <f t="shared" si="6"/>
        <v>1.2658616720917213</v>
      </c>
      <c r="T163" s="199">
        <f t="shared" si="14"/>
        <v>1.8910822605124544</v>
      </c>
      <c r="U163" s="200">
        <f t="shared" si="15"/>
        <v>53.996781574851525</v>
      </c>
      <c r="V163" s="176">
        <f t="shared" si="7"/>
        <v>54</v>
      </c>
      <c r="Y163" s="91"/>
      <c r="Z163" s="88"/>
    </row>
    <row r="164" spans="5:26" ht="12.5" x14ac:dyDescent="0.25">
      <c r="E164" s="186">
        <f t="shared" si="8"/>
        <v>160</v>
      </c>
      <c r="F164" s="187">
        <f t="shared" si="0"/>
        <v>8</v>
      </c>
      <c r="G164" s="188">
        <f t="shared" si="1"/>
        <v>8.6229999999999993</v>
      </c>
      <c r="H164" s="189">
        <f t="shared" si="2"/>
        <v>163.52118655899665</v>
      </c>
      <c r="I164" s="190">
        <f t="shared" si="9"/>
        <v>0.7521974581713845</v>
      </c>
      <c r="J164" s="191">
        <f t="shared" si="10"/>
        <v>18.03958742024772</v>
      </c>
      <c r="K164" s="192" t="b">
        <f t="shared" si="3"/>
        <v>0</v>
      </c>
      <c r="L164" s="193">
        <f t="shared" si="11"/>
        <v>0</v>
      </c>
      <c r="M164" s="194">
        <f t="shared" si="12"/>
        <v>2.7257349469213111E-37</v>
      </c>
      <c r="N164" s="194">
        <f t="shared" si="13"/>
        <v>0.14796585854313429</v>
      </c>
      <c r="O164" s="195">
        <f>IF(ABS(U164)&gt;80,$B$7, LOOKUP(V164,'Force mapping'!$B$7:$B$167,'Force mapping'!$J$7:$J$167))</f>
        <v>875</v>
      </c>
      <c r="P164" s="196">
        <f t="shared" si="4"/>
        <v>0.623</v>
      </c>
      <c r="Q164" s="191">
        <f t="shared" si="5"/>
        <v>3.305211385638844E-2</v>
      </c>
      <c r="R164" s="197">
        <f>IF(ABS(U164)&gt;80, 0, LOOKUP(V164,'Force mapping'!$B$7:$B$167,'Force mapping'!$I$7:$I$167) * (N164/5) * SIGN(U164))</f>
        <v>4.0050806727021417E-2</v>
      </c>
      <c r="S164" s="198">
        <f t="shared" si="6"/>
        <v>1.1642676374134133</v>
      </c>
      <c r="T164" s="199">
        <f t="shared" si="14"/>
        <v>1.8911455535960591</v>
      </c>
      <c r="U164" s="200">
        <f t="shared" si="15"/>
        <v>53.902195815284102</v>
      </c>
      <c r="V164" s="176">
        <f t="shared" si="7"/>
        <v>54</v>
      </c>
      <c r="Y164" s="91"/>
      <c r="Z164" s="88"/>
    </row>
    <row r="165" spans="5:26" ht="12.5" x14ac:dyDescent="0.25">
      <c r="E165" s="186">
        <f t="shared" si="8"/>
        <v>161</v>
      </c>
      <c r="F165" s="187">
        <f t="shared" si="0"/>
        <v>8.0500000000000007</v>
      </c>
      <c r="G165" s="188">
        <f t="shared" si="1"/>
        <v>8.673</v>
      </c>
      <c r="H165" s="189">
        <f t="shared" si="2"/>
        <v>163.52118655899665</v>
      </c>
      <c r="I165" s="190">
        <f t="shared" si="9"/>
        <v>0.7521974581713845</v>
      </c>
      <c r="J165" s="191">
        <f t="shared" si="10"/>
        <v>18.03958742024772</v>
      </c>
      <c r="K165" s="192" t="b">
        <f t="shared" si="3"/>
        <v>0</v>
      </c>
      <c r="L165" s="193">
        <f t="shared" si="11"/>
        <v>0</v>
      </c>
      <c r="M165" s="194">
        <f t="shared" si="12"/>
        <v>1.0085219303608851E-37</v>
      </c>
      <c r="N165" s="194">
        <f t="shared" si="13"/>
        <v>0.13609058899713633</v>
      </c>
      <c r="O165" s="195">
        <f>IF(ABS(U165)&gt;80,$B$7, LOOKUP(V165,'Force mapping'!$B$7:$B$167,'Force mapping'!$J$7:$J$167))</f>
        <v>875</v>
      </c>
      <c r="P165" s="196">
        <f t="shared" si="4"/>
        <v>0.623</v>
      </c>
      <c r="Q165" s="191">
        <f t="shared" si="5"/>
        <v>3.0399456243516167E-2</v>
      </c>
      <c r="R165" s="197">
        <f>IF(ABS(U165)&gt;80, 0, LOOKUP(V165,'Force mapping'!$B$7:$B$167,'Force mapping'!$I$7:$I$167) * (N165/5) * SIGN(U165))</f>
        <v>3.6836456267388872E-2</v>
      </c>
      <c r="S165" s="198">
        <f t="shared" si="6"/>
        <v>1.070827217075258</v>
      </c>
      <c r="T165" s="199">
        <f t="shared" si="14"/>
        <v>1.8912037669779298</v>
      </c>
      <c r="U165" s="200">
        <f t="shared" si="15"/>
        <v>53.807609430913367</v>
      </c>
      <c r="V165" s="176">
        <f t="shared" si="7"/>
        <v>54</v>
      </c>
      <c r="Y165" s="91"/>
      <c r="Z165" s="88"/>
    </row>
    <row r="166" spans="5:26" ht="12.5" x14ac:dyDescent="0.25">
      <c r="E166" s="186">
        <f t="shared" si="8"/>
        <v>162</v>
      </c>
      <c r="F166" s="187">
        <f t="shared" si="0"/>
        <v>8.1</v>
      </c>
      <c r="G166" s="188">
        <f t="shared" si="1"/>
        <v>8.722999999999999</v>
      </c>
      <c r="H166" s="189">
        <f t="shared" si="2"/>
        <v>163.52118655899665</v>
      </c>
      <c r="I166" s="190">
        <f t="shared" si="9"/>
        <v>0.7521974581713845</v>
      </c>
      <c r="J166" s="191">
        <f t="shared" si="10"/>
        <v>18.03958742024772</v>
      </c>
      <c r="K166" s="192" t="b">
        <f t="shared" si="3"/>
        <v>0</v>
      </c>
      <c r="L166" s="193">
        <f t="shared" si="11"/>
        <v>0</v>
      </c>
      <c r="M166" s="194">
        <f t="shared" si="12"/>
        <v>3.7315311423352746E-38</v>
      </c>
      <c r="N166" s="194">
        <f t="shared" si="13"/>
        <v>0.12516839084327305</v>
      </c>
      <c r="O166" s="195">
        <f>IF(ABS(U166)&gt;80,$B$7, LOOKUP(V166,'Force mapping'!$B$7:$B$167,'Force mapping'!$J$7:$J$167))</f>
        <v>901</v>
      </c>
      <c r="P166" s="196">
        <f t="shared" si="4"/>
        <v>0.623</v>
      </c>
      <c r="Q166" s="191">
        <f t="shared" si="5"/>
        <v>2.79596925000558E-2</v>
      </c>
      <c r="R166" s="197">
        <f>IF(ABS(U166)&gt;80, 0, LOOKUP(V166,'Force mapping'!$B$7:$B$167,'Force mapping'!$I$7:$I$167) * (N166/5) * SIGN(U166))</f>
        <v>3.5756854212197813E-2</v>
      </c>
      <c r="S166" s="198">
        <f t="shared" si="6"/>
        <v>1.0394434364010992</v>
      </c>
      <c r="T166" s="199">
        <f t="shared" si="14"/>
        <v>1.8912573083387836</v>
      </c>
      <c r="U166" s="200">
        <f t="shared" si="15"/>
        <v>53.713022471884045</v>
      </c>
      <c r="V166" s="176">
        <f t="shared" si="7"/>
        <v>53.5</v>
      </c>
      <c r="Y166" s="91"/>
      <c r="Z166" s="88"/>
    </row>
    <row r="167" spans="5:26" ht="12.5" x14ac:dyDescent="0.25">
      <c r="E167" s="186">
        <f t="shared" si="8"/>
        <v>163</v>
      </c>
      <c r="F167" s="187">
        <f t="shared" si="0"/>
        <v>8.15</v>
      </c>
      <c r="G167" s="188">
        <f t="shared" si="1"/>
        <v>8.7729999999999997</v>
      </c>
      <c r="H167" s="189">
        <f t="shared" si="2"/>
        <v>163.52118655899665</v>
      </c>
      <c r="I167" s="190">
        <f t="shared" si="9"/>
        <v>0.7521974581713845</v>
      </c>
      <c r="J167" s="191">
        <f t="shared" si="10"/>
        <v>18.03958742024772</v>
      </c>
      <c r="K167" s="192" t="b">
        <f t="shared" si="3"/>
        <v>0</v>
      </c>
      <c r="L167" s="193">
        <f t="shared" si="11"/>
        <v>0</v>
      </c>
      <c r="M167" s="194">
        <f t="shared" si="12"/>
        <v>1.3806665226640515E-38</v>
      </c>
      <c r="N167" s="194">
        <f t="shared" si="13"/>
        <v>0.11512277360063475</v>
      </c>
      <c r="O167" s="195">
        <f>IF(ABS(U167)&gt;80,$B$7, LOOKUP(V167,'Force mapping'!$B$7:$B$167,'Force mapping'!$J$7:$J$167))</f>
        <v>901</v>
      </c>
      <c r="P167" s="196">
        <f t="shared" si="4"/>
        <v>0.623</v>
      </c>
      <c r="Q167" s="191">
        <f t="shared" si="5"/>
        <v>2.5715736440661267E-2</v>
      </c>
      <c r="R167" s="197">
        <f>IF(ABS(U167)&gt;80, 0, LOOKUP(V167,'Force mapping'!$B$7:$B$167,'Force mapping'!$I$7:$I$167) * (N167/5) * SIGN(U167))</f>
        <v>3.2887122734493332E-2</v>
      </c>
      <c r="S167" s="198">
        <f t="shared" si="6"/>
        <v>0.95602100972364334</v>
      </c>
      <c r="T167" s="199">
        <f t="shared" si="14"/>
        <v>1.8913092805106035</v>
      </c>
      <c r="U167" s="200">
        <f t="shared" si="15"/>
        <v>53.618433620381197</v>
      </c>
      <c r="V167" s="176">
        <f t="shared" si="7"/>
        <v>53.5</v>
      </c>
      <c r="Y167" s="91"/>
      <c r="Z167" s="88"/>
    </row>
    <row r="168" spans="5:26" ht="12.5" x14ac:dyDescent="0.25">
      <c r="E168" s="186">
        <f t="shared" si="8"/>
        <v>164</v>
      </c>
      <c r="F168" s="187">
        <f t="shared" si="0"/>
        <v>8.2000000000000011</v>
      </c>
      <c r="G168" s="188">
        <f t="shared" si="1"/>
        <v>8.8230000000000004</v>
      </c>
      <c r="H168" s="189">
        <f t="shared" si="2"/>
        <v>163.52118655899665</v>
      </c>
      <c r="I168" s="190">
        <f t="shared" si="9"/>
        <v>0.7521974581713845</v>
      </c>
      <c r="J168" s="191">
        <f t="shared" si="10"/>
        <v>18.03958742024772</v>
      </c>
      <c r="K168" s="192" t="b">
        <f t="shared" si="3"/>
        <v>0</v>
      </c>
      <c r="L168" s="193">
        <f t="shared" si="11"/>
        <v>0</v>
      </c>
      <c r="M168" s="194">
        <f t="shared" si="12"/>
        <v>5.1084661338569899E-39</v>
      </c>
      <c r="N168" s="194">
        <f t="shared" si="13"/>
        <v>0.10588338567120979</v>
      </c>
      <c r="O168" s="195">
        <f>IF(ABS(U168)&gt;80,$B$7, LOOKUP(V168,'Force mapping'!$B$7:$B$167,'Force mapping'!$J$7:$J$167))</f>
        <v>901</v>
      </c>
      <c r="P168" s="196">
        <f t="shared" si="4"/>
        <v>0.623</v>
      </c>
      <c r="Q168" s="191">
        <f t="shared" si="5"/>
        <v>2.3651873162919588E-2</v>
      </c>
      <c r="R168" s="197">
        <f>IF(ABS(U168)&gt;80, 0, LOOKUP(V168,'Force mapping'!$B$7:$B$167,'Force mapping'!$I$7:$I$167) * (N168/5) * SIGN(U168))</f>
        <v>3.0247706784694503E-2</v>
      </c>
      <c r="S168" s="198">
        <f t="shared" si="6"/>
        <v>0.8792938018806542</v>
      </c>
      <c r="T168" s="199">
        <f t="shared" si="14"/>
        <v>1.8913570815610896</v>
      </c>
      <c r="U168" s="200">
        <f t="shared" si="15"/>
        <v>53.523844255830426</v>
      </c>
      <c r="V168" s="176">
        <f t="shared" si="7"/>
        <v>53.5</v>
      </c>
      <c r="Y168" s="91"/>
      <c r="Z168" s="88"/>
    </row>
    <row r="169" spans="5:26" ht="12.5" x14ac:dyDescent="0.25">
      <c r="E169" s="186">
        <f t="shared" si="8"/>
        <v>165</v>
      </c>
      <c r="F169" s="187">
        <f t="shared" si="0"/>
        <v>8.25</v>
      </c>
      <c r="G169" s="188">
        <f t="shared" si="1"/>
        <v>8.8729999999999993</v>
      </c>
      <c r="H169" s="189">
        <f t="shared" si="2"/>
        <v>163.52118655899665</v>
      </c>
      <c r="I169" s="190">
        <f t="shared" si="9"/>
        <v>0.7521974581713845</v>
      </c>
      <c r="J169" s="191">
        <f t="shared" si="10"/>
        <v>18.03958742024772</v>
      </c>
      <c r="K169" s="192" t="b">
        <f t="shared" si="3"/>
        <v>0</v>
      </c>
      <c r="L169" s="193">
        <f t="shared" si="11"/>
        <v>0</v>
      </c>
      <c r="M169" s="194">
        <f t="shared" si="12"/>
        <v>1.8901324695270861E-39</v>
      </c>
      <c r="N169" s="194">
        <f t="shared" si="13"/>
        <v>9.7385521652653614E-2</v>
      </c>
      <c r="O169" s="195">
        <f>IF(ABS(U169)&gt;80,$B$7, LOOKUP(V169,'Force mapping'!$B$7:$B$167,'Force mapping'!$J$7:$J$167))</f>
        <v>901</v>
      </c>
      <c r="P169" s="196">
        <f t="shared" si="4"/>
        <v>0.623</v>
      </c>
      <c r="Q169" s="191">
        <f t="shared" si="5"/>
        <v>2.1753648992540807E-2</v>
      </c>
      <c r="R169" s="197">
        <f>IF(ABS(U169)&gt;80, 0, LOOKUP(V169,'Force mapping'!$B$7:$B$167,'Force mapping'!$I$7:$I$167) * (N169/5) * SIGN(U169))</f>
        <v>2.7820121970513558E-2</v>
      </c>
      <c r="S169" s="198">
        <f t="shared" si="6"/>
        <v>0.80872447588702201</v>
      </c>
      <c r="T169" s="199">
        <f t="shared" si="14"/>
        <v>1.8914010462511837</v>
      </c>
      <c r="U169" s="200">
        <f t="shared" si="15"/>
        <v>53.429254419407322</v>
      </c>
      <c r="V169" s="176">
        <f t="shared" si="7"/>
        <v>53.5</v>
      </c>
      <c r="Y169" s="91"/>
      <c r="Z169" s="88"/>
    </row>
    <row r="170" spans="5:26" ht="12.5" x14ac:dyDescent="0.25">
      <c r="E170" s="186">
        <f t="shared" si="8"/>
        <v>166</v>
      </c>
      <c r="F170" s="187">
        <f t="shared" si="0"/>
        <v>8.3000000000000007</v>
      </c>
      <c r="G170" s="188">
        <f t="shared" si="1"/>
        <v>8.923</v>
      </c>
      <c r="H170" s="189">
        <f t="shared" si="2"/>
        <v>163.52118655899665</v>
      </c>
      <c r="I170" s="190">
        <f t="shared" si="9"/>
        <v>0.7521974581713845</v>
      </c>
      <c r="J170" s="191">
        <f t="shared" si="10"/>
        <v>18.03958742024772</v>
      </c>
      <c r="K170" s="192" t="b">
        <f t="shared" si="3"/>
        <v>0</v>
      </c>
      <c r="L170" s="193">
        <f t="shared" si="11"/>
        <v>0</v>
      </c>
      <c r="M170" s="194">
        <f t="shared" si="12"/>
        <v>6.9934901372502182E-40</v>
      </c>
      <c r="N170" s="194">
        <f t="shared" si="13"/>
        <v>8.9569669192569049E-2</v>
      </c>
      <c r="O170" s="195">
        <f>IF(ABS(U170)&gt;80,$B$7, LOOKUP(V170,'Force mapping'!$B$7:$B$167,'Force mapping'!$J$7:$J$167))</f>
        <v>901</v>
      </c>
      <c r="P170" s="196">
        <f t="shared" si="4"/>
        <v>0.623</v>
      </c>
      <c r="Q170" s="191">
        <f t="shared" si="5"/>
        <v>2.0007770261197239E-2</v>
      </c>
      <c r="R170" s="197">
        <f>IF(ABS(U170)&gt;80, 0, LOOKUP(V170,'Force mapping'!$B$7:$B$167,'Force mapping'!$I$7:$I$167) * (N170/5) * SIGN(U170))</f>
        <v>2.55873673982412E-2</v>
      </c>
      <c r="S170" s="198">
        <f t="shared" si="6"/>
        <v>0.74381881971631392</v>
      </c>
      <c r="T170" s="199">
        <f t="shared" si="14"/>
        <v>1.8914414824749781</v>
      </c>
      <c r="U170" s="200">
        <f t="shared" si="15"/>
        <v>53.334664148982867</v>
      </c>
      <c r="V170" s="176">
        <f t="shared" si="7"/>
        <v>53.5</v>
      </c>
      <c r="Y170" s="91"/>
      <c r="Z170" s="88"/>
    </row>
    <row r="171" spans="5:26" ht="12.5" x14ac:dyDescent="0.25">
      <c r="E171" s="186">
        <f t="shared" si="8"/>
        <v>167</v>
      </c>
      <c r="F171" s="187">
        <f t="shared" si="0"/>
        <v>8.35</v>
      </c>
      <c r="G171" s="188">
        <f t="shared" si="1"/>
        <v>8.972999999999999</v>
      </c>
      <c r="H171" s="189">
        <f t="shared" si="2"/>
        <v>163.52118655899665</v>
      </c>
      <c r="I171" s="190">
        <f t="shared" si="9"/>
        <v>0.7521974581713845</v>
      </c>
      <c r="J171" s="191">
        <f t="shared" si="10"/>
        <v>18.03958742024772</v>
      </c>
      <c r="K171" s="192" t="b">
        <f t="shared" si="3"/>
        <v>0</v>
      </c>
      <c r="L171" s="193">
        <f t="shared" si="11"/>
        <v>0</v>
      </c>
      <c r="M171" s="194">
        <f t="shared" si="12"/>
        <v>2.5875913507825811E-40</v>
      </c>
      <c r="N171" s="194">
        <f t="shared" si="13"/>
        <v>8.2381092210821932E-2</v>
      </c>
      <c r="O171" s="195">
        <f>IF(ABS(U171)&gt;80,$B$7, LOOKUP(V171,'Force mapping'!$B$7:$B$167,'Force mapping'!$J$7:$J$167))</f>
        <v>927</v>
      </c>
      <c r="P171" s="196">
        <f t="shared" si="4"/>
        <v>0.623</v>
      </c>
      <c r="Q171" s="191">
        <f t="shared" si="5"/>
        <v>1.8402010208131651E-2</v>
      </c>
      <c r="R171" s="197">
        <f>IF(ABS(U171)&gt;80, 0, LOOKUP(V171,'Force mapping'!$B$7:$B$167,'Force mapping'!$I$7:$I$167) * (N171/5) * SIGN(U171))</f>
        <v>2.4769028708474566E-2</v>
      </c>
      <c r="S171" s="198">
        <f t="shared" si="6"/>
        <v>0.72002990431612113</v>
      </c>
      <c r="T171" s="199">
        <f t="shared" si="14"/>
        <v>1.8914786734159639</v>
      </c>
      <c r="U171" s="200">
        <f t="shared" si="15"/>
        <v>53.240073479388627</v>
      </c>
      <c r="V171" s="176">
        <f t="shared" si="7"/>
        <v>53</v>
      </c>
      <c r="Y171" s="91"/>
      <c r="Z171" s="88"/>
    </row>
    <row r="172" spans="5:26" ht="12.5" x14ac:dyDescent="0.25">
      <c r="E172" s="186">
        <f t="shared" si="8"/>
        <v>168</v>
      </c>
      <c r="F172" s="187">
        <f t="shared" si="0"/>
        <v>8.4</v>
      </c>
      <c r="G172" s="188">
        <f t="shared" si="1"/>
        <v>9.0229999999999997</v>
      </c>
      <c r="H172" s="189">
        <f t="shared" si="2"/>
        <v>163.52118655899665</v>
      </c>
      <c r="I172" s="190">
        <f t="shared" si="9"/>
        <v>0.7521974581713845</v>
      </c>
      <c r="J172" s="191">
        <f t="shared" si="10"/>
        <v>18.03958742024772</v>
      </c>
      <c r="K172" s="192" t="b">
        <f t="shared" si="3"/>
        <v>0</v>
      </c>
      <c r="L172" s="193">
        <f t="shared" si="11"/>
        <v>0</v>
      </c>
      <c r="M172" s="194">
        <f t="shared" si="12"/>
        <v>9.5740879978955502E-41</v>
      </c>
      <c r="N172" s="194">
        <f t="shared" si="13"/>
        <v>7.5769447571109094E-2</v>
      </c>
      <c r="O172" s="195">
        <f>IF(ABS(U172)&gt;80,$B$7, LOOKUP(V172,'Force mapping'!$B$7:$B$167,'Force mapping'!$J$7:$J$167))</f>
        <v>927</v>
      </c>
      <c r="P172" s="196">
        <f t="shared" si="4"/>
        <v>0.623</v>
      </c>
      <c r="Q172" s="191">
        <f t="shared" si="5"/>
        <v>1.6925123353546446E-2</v>
      </c>
      <c r="R172" s="197">
        <f>IF(ABS(U172)&gt;80, 0, LOOKUP(V172,'Force mapping'!$B$7:$B$167,'Force mapping'!$I$7:$I$167) * (N172/5) * SIGN(U172))</f>
        <v>2.2781145184519944E-2</v>
      </c>
      <c r="S172" s="198">
        <f t="shared" si="6"/>
        <v>0.66224259257325413</v>
      </c>
      <c r="T172" s="199">
        <f t="shared" si="14"/>
        <v>1.8915146749111797</v>
      </c>
      <c r="U172" s="200">
        <f t="shared" si="15"/>
        <v>53.145481544970224</v>
      </c>
      <c r="V172" s="176">
        <f t="shared" si="7"/>
        <v>53</v>
      </c>
      <c r="Y172" s="91"/>
      <c r="Z172" s="88"/>
    </row>
    <row r="173" spans="5:26" ht="12.5" x14ac:dyDescent="0.25">
      <c r="E173" s="186">
        <f t="shared" si="8"/>
        <v>169</v>
      </c>
      <c r="F173" s="187">
        <f t="shared" si="0"/>
        <v>8.4500000000000011</v>
      </c>
      <c r="G173" s="188">
        <f t="shared" si="1"/>
        <v>9.0730000000000004</v>
      </c>
      <c r="H173" s="189">
        <f t="shared" si="2"/>
        <v>163.52118655899665</v>
      </c>
      <c r="I173" s="190">
        <f t="shared" si="9"/>
        <v>0.7521974581713845</v>
      </c>
      <c r="J173" s="191">
        <f t="shared" si="10"/>
        <v>18.03958742024772</v>
      </c>
      <c r="K173" s="192" t="b">
        <f t="shared" si="3"/>
        <v>0</v>
      </c>
      <c r="L173" s="193">
        <f t="shared" si="11"/>
        <v>0</v>
      </c>
      <c r="M173" s="194">
        <f t="shared" si="12"/>
        <v>3.5424125592213533E-41</v>
      </c>
      <c r="N173" s="194">
        <f t="shared" si="13"/>
        <v>6.9688432517248003E-2</v>
      </c>
      <c r="O173" s="195">
        <f>IF(ABS(U173)&gt;80,$B$7, LOOKUP(V173,'Force mapping'!$B$7:$B$167,'Force mapping'!$J$7:$J$167))</f>
        <v>927</v>
      </c>
      <c r="P173" s="196">
        <f t="shared" si="4"/>
        <v>0.623</v>
      </c>
      <c r="Q173" s="191">
        <f t="shared" si="5"/>
        <v>1.5566766744112542E-2</v>
      </c>
      <c r="R173" s="197">
        <f>IF(ABS(U173)&gt;80, 0, LOOKUP(V173,'Force mapping'!$B$7:$B$167,'Force mapping'!$I$7:$I$167) * (N173/5) * SIGN(U173))</f>
        <v>2.0952802874365854E-2</v>
      </c>
      <c r="S173" s="198">
        <f t="shared" si="6"/>
        <v>0.60909310681296081</v>
      </c>
      <c r="T173" s="199">
        <f t="shared" si="14"/>
        <v>1.8915477870408084</v>
      </c>
      <c r="U173" s="200">
        <f t="shared" si="15"/>
        <v>53.050889255159852</v>
      </c>
      <c r="V173" s="176">
        <f t="shared" si="7"/>
        <v>53</v>
      </c>
      <c r="Y173" s="91"/>
      <c r="Z173" s="88"/>
    </row>
    <row r="174" spans="5:26" ht="12.5" x14ac:dyDescent="0.25">
      <c r="E174" s="186">
        <f t="shared" si="8"/>
        <v>170</v>
      </c>
      <c r="F174" s="187">
        <f t="shared" si="0"/>
        <v>8.5</v>
      </c>
      <c r="G174" s="188">
        <f t="shared" si="1"/>
        <v>9.1229999999999993</v>
      </c>
      <c r="H174" s="189">
        <f t="shared" si="2"/>
        <v>163.52118655899665</v>
      </c>
      <c r="I174" s="190">
        <f t="shared" si="9"/>
        <v>0.7521974581713845</v>
      </c>
      <c r="J174" s="191">
        <f t="shared" si="10"/>
        <v>18.03958742024772</v>
      </c>
      <c r="K174" s="192" t="b">
        <f t="shared" si="3"/>
        <v>0</v>
      </c>
      <c r="L174" s="193">
        <f t="shared" si="11"/>
        <v>0</v>
      </c>
      <c r="M174" s="194">
        <f t="shared" si="12"/>
        <v>1.3106926469119008E-41</v>
      </c>
      <c r="N174" s="194">
        <f t="shared" si="13"/>
        <v>6.4095460405109314E-2</v>
      </c>
      <c r="O174" s="195">
        <f>IF(ABS(U174)&gt;80,$B$7, LOOKUP(V174,'Force mapping'!$B$7:$B$167,'Force mapping'!$J$7:$J$167))</f>
        <v>927</v>
      </c>
      <c r="P174" s="196">
        <f t="shared" si="4"/>
        <v>0.623</v>
      </c>
      <c r="Q174" s="191">
        <f t="shared" si="5"/>
        <v>1.431742751906338E-2</v>
      </c>
      <c r="R174" s="197">
        <f>IF(ABS(U174)&gt;80, 0, LOOKUP(V174,'Force mapping'!$B$7:$B$167,'Force mapping'!$I$7:$I$167) * (N174/5) * SIGN(U174))</f>
        <v>1.9271197507241787E-2</v>
      </c>
      <c r="S174" s="198">
        <f t="shared" si="6"/>
        <v>0.56020922986167987</v>
      </c>
      <c r="T174" s="199">
        <f t="shared" si="14"/>
        <v>1.8915782416961491</v>
      </c>
      <c r="U174" s="200">
        <f t="shared" si="15"/>
        <v>52.95629663848014</v>
      </c>
      <c r="V174" s="176">
        <f t="shared" si="7"/>
        <v>53</v>
      </c>
      <c r="Y174" s="91"/>
      <c r="Z174" s="88"/>
    </row>
    <row r="175" spans="5:26" ht="12.5" x14ac:dyDescent="0.25">
      <c r="E175" s="186">
        <f t="shared" si="8"/>
        <v>171</v>
      </c>
      <c r="F175" s="187">
        <f t="shared" si="0"/>
        <v>8.5500000000000007</v>
      </c>
      <c r="G175" s="188">
        <f t="shared" si="1"/>
        <v>9.173</v>
      </c>
      <c r="H175" s="189">
        <f t="shared" si="2"/>
        <v>163.52118655899665</v>
      </c>
      <c r="I175" s="190">
        <f t="shared" si="9"/>
        <v>0.7521974581713845</v>
      </c>
      <c r="J175" s="191">
        <f t="shared" si="10"/>
        <v>18.03958742024772</v>
      </c>
      <c r="K175" s="192" t="b">
        <f t="shared" si="3"/>
        <v>0</v>
      </c>
      <c r="L175" s="193">
        <f t="shared" si="11"/>
        <v>0</v>
      </c>
      <c r="M175" s="194">
        <f t="shared" si="12"/>
        <v>4.8495627935740327E-42</v>
      </c>
      <c r="N175" s="194">
        <f t="shared" si="13"/>
        <v>5.895136245927389E-2</v>
      </c>
      <c r="O175" s="195">
        <f>IF(ABS(U175)&gt;80,$B$7, LOOKUP(V175,'Force mapping'!$B$7:$B$167,'Force mapping'!$J$7:$J$167))</f>
        <v>927</v>
      </c>
      <c r="P175" s="196">
        <f t="shared" si="4"/>
        <v>0.623</v>
      </c>
      <c r="Q175" s="191">
        <f t="shared" si="5"/>
        <v>1.3168356289604036E-2</v>
      </c>
      <c r="R175" s="197">
        <f>IF(ABS(U175)&gt;80, 0, LOOKUP(V175,'Force mapping'!$B$7:$B$167,'Force mapping'!$I$7:$I$167) * (N175/5) * SIGN(U175))</f>
        <v>1.7724552442455126E-2</v>
      </c>
      <c r="S175" s="198">
        <f t="shared" si="6"/>
        <v>0.51524861751323037</v>
      </c>
      <c r="T175" s="199">
        <f t="shared" si="14"/>
        <v>1.8916062521576422</v>
      </c>
      <c r="U175" s="200">
        <f t="shared" si="15"/>
        <v>52.861703721164588</v>
      </c>
      <c r="V175" s="176">
        <f t="shared" si="7"/>
        <v>53</v>
      </c>
      <c r="Y175" s="91"/>
      <c r="Z175" s="88"/>
    </row>
    <row r="176" spans="5:26" ht="12.5" x14ac:dyDescent="0.25">
      <c r="E176" s="186">
        <f t="shared" si="8"/>
        <v>172</v>
      </c>
      <c r="F176" s="187">
        <f t="shared" si="0"/>
        <v>8.6</v>
      </c>
      <c r="G176" s="188">
        <f t="shared" si="1"/>
        <v>9.222999999999999</v>
      </c>
      <c r="H176" s="189">
        <f t="shared" si="2"/>
        <v>163.52118655899665</v>
      </c>
      <c r="I176" s="190">
        <f t="shared" si="9"/>
        <v>0.7521974581713845</v>
      </c>
      <c r="J176" s="191">
        <f t="shared" si="10"/>
        <v>18.03958742024772</v>
      </c>
      <c r="K176" s="192" t="b">
        <f t="shared" si="3"/>
        <v>0</v>
      </c>
      <c r="L176" s="193">
        <f t="shared" si="11"/>
        <v>0</v>
      </c>
      <c r="M176" s="194">
        <f t="shared" si="12"/>
        <v>1.794338233622392E-42</v>
      </c>
      <c r="N176" s="194">
        <f t="shared" si="13"/>
        <v>5.4220113465752708E-2</v>
      </c>
      <c r="O176" s="195">
        <f>IF(ABS(U176)&gt;80,$B$7, LOOKUP(V176,'Force mapping'!$B$7:$B$167,'Force mapping'!$J$7:$J$167))</f>
        <v>927</v>
      </c>
      <c r="P176" s="196">
        <f t="shared" si="4"/>
        <v>0.623</v>
      </c>
      <c r="Q176" s="191">
        <f t="shared" si="5"/>
        <v>1.2111505865077228E-2</v>
      </c>
      <c r="R176" s="197">
        <f>IF(ABS(U176)&gt;80, 0, LOOKUP(V176,'Force mapping'!$B$7:$B$167,'Force mapping'!$I$7:$I$167) * (N176/5) * SIGN(U176))</f>
        <v>1.6302036195067073E-2</v>
      </c>
      <c r="S176" s="198">
        <f t="shared" si="6"/>
        <v>0.47389640101939162</v>
      </c>
      <c r="T176" s="199">
        <f t="shared" si="14"/>
        <v>1.8916320145885179</v>
      </c>
      <c r="U176" s="200">
        <f t="shared" si="15"/>
        <v>52.767110527341266</v>
      </c>
      <c r="V176" s="176">
        <f t="shared" si="7"/>
        <v>53</v>
      </c>
      <c r="Y176" s="91"/>
      <c r="Z176" s="88"/>
    </row>
    <row r="177" spans="5:26" ht="12.5" x14ac:dyDescent="0.25">
      <c r="E177" s="186">
        <f t="shared" si="8"/>
        <v>173</v>
      </c>
      <c r="F177" s="187">
        <f t="shared" si="0"/>
        <v>8.65</v>
      </c>
      <c r="G177" s="188">
        <f t="shared" si="1"/>
        <v>9.2729999999999997</v>
      </c>
      <c r="H177" s="189">
        <f t="shared" si="2"/>
        <v>163.52118655899665</v>
      </c>
      <c r="I177" s="190">
        <f t="shared" si="9"/>
        <v>0.7521974581713845</v>
      </c>
      <c r="J177" s="191">
        <f t="shared" si="10"/>
        <v>18.03958742024772</v>
      </c>
      <c r="K177" s="192" t="b">
        <f t="shared" si="3"/>
        <v>0</v>
      </c>
      <c r="L177" s="193">
        <f t="shared" si="11"/>
        <v>0</v>
      </c>
      <c r="M177" s="194">
        <f t="shared" si="12"/>
        <v>6.639051464402851E-43</v>
      </c>
      <c r="N177" s="194">
        <f t="shared" si="13"/>
        <v>4.9868579479737239E-2</v>
      </c>
      <c r="O177" s="195">
        <f>IF(ABS(U177)&gt;80,$B$7, LOOKUP(V177,'Force mapping'!$B$7:$B$167,'Force mapping'!$J$7:$J$167))</f>
        <v>958.5</v>
      </c>
      <c r="P177" s="196">
        <f t="shared" si="4"/>
        <v>0.623</v>
      </c>
      <c r="Q177" s="191">
        <f t="shared" si="5"/>
        <v>1.1139474896772474E-2</v>
      </c>
      <c r="R177" s="197">
        <f>IF(ABS(U177)&gt;80, 0, LOOKUP(V177,'Force mapping'!$B$7:$B$167,'Force mapping'!$I$7:$I$167) * (N177/5) * SIGN(U177))</f>
        <v>1.5677883491157712E-2</v>
      </c>
      <c r="S177" s="198">
        <f t="shared" si="6"/>
        <v>0.45575242706853814</v>
      </c>
      <c r="T177" s="199">
        <f t="shared" si="14"/>
        <v>1.8916557094085689</v>
      </c>
      <c r="U177" s="200">
        <f t="shared" si="15"/>
        <v>52.672517079201818</v>
      </c>
      <c r="V177" s="176">
        <f t="shared" si="7"/>
        <v>52.5</v>
      </c>
      <c r="Y177" s="91"/>
      <c r="Z177" s="88"/>
    </row>
    <row r="178" spans="5:26" ht="12.5" x14ac:dyDescent="0.25">
      <c r="E178" s="186">
        <f t="shared" si="8"/>
        <v>174</v>
      </c>
      <c r="F178" s="187">
        <f t="shared" si="0"/>
        <v>8.7000000000000011</v>
      </c>
      <c r="G178" s="188">
        <f t="shared" si="1"/>
        <v>9.3230000000000004</v>
      </c>
      <c r="H178" s="189">
        <f t="shared" si="2"/>
        <v>163.52118655899665</v>
      </c>
      <c r="I178" s="190">
        <f t="shared" si="9"/>
        <v>0.7521974581713845</v>
      </c>
      <c r="J178" s="191">
        <f t="shared" si="10"/>
        <v>18.03958742024772</v>
      </c>
      <c r="K178" s="192" t="b">
        <f t="shared" si="3"/>
        <v>0</v>
      </c>
      <c r="L178" s="193">
        <f t="shared" si="11"/>
        <v>0</v>
      </c>
      <c r="M178" s="194">
        <f t="shared" si="12"/>
        <v>2.456449041829055E-43</v>
      </c>
      <c r="N178" s="194">
        <f t="shared" si="13"/>
        <v>4.5866285781523977E-2</v>
      </c>
      <c r="O178" s="195">
        <f>IF(ABS(U178)&gt;80,$B$7, LOOKUP(V178,'Force mapping'!$B$7:$B$167,'Force mapping'!$J$7:$J$167))</f>
        <v>958.5</v>
      </c>
      <c r="P178" s="196">
        <f t="shared" si="4"/>
        <v>0.623</v>
      </c>
      <c r="Q178" s="191">
        <f t="shared" si="5"/>
        <v>1.0245456044704058E-2</v>
      </c>
      <c r="R178" s="197">
        <f>IF(ABS(U178)&gt;80, 0, LOOKUP(V178,'Force mapping'!$B$7:$B$167,'Force mapping'!$I$7:$I$167) * (N178/5) * SIGN(U178))</f>
        <v>1.4419626389138634E-2</v>
      </c>
      <c r="S178" s="198">
        <f t="shared" si="6"/>
        <v>0.41917518573077422</v>
      </c>
      <c r="T178" s="199">
        <f t="shared" si="14"/>
        <v>1.8916784970299223</v>
      </c>
      <c r="U178" s="200">
        <f t="shared" si="15"/>
        <v>52.577922899920715</v>
      </c>
      <c r="V178" s="176">
        <f t="shared" si="7"/>
        <v>52.5</v>
      </c>
      <c r="Y178" s="91"/>
      <c r="Z178" s="88"/>
    </row>
    <row r="179" spans="5:26" ht="12.5" x14ac:dyDescent="0.25">
      <c r="E179" s="186">
        <f t="shared" si="8"/>
        <v>175</v>
      </c>
      <c r="F179" s="187">
        <f t="shared" si="0"/>
        <v>8.75</v>
      </c>
      <c r="G179" s="188">
        <f t="shared" si="1"/>
        <v>9.3729999999999993</v>
      </c>
      <c r="H179" s="189">
        <f t="shared" si="2"/>
        <v>163.52118655899665</v>
      </c>
      <c r="I179" s="190">
        <f t="shared" si="9"/>
        <v>0.7521974581713845</v>
      </c>
      <c r="J179" s="191">
        <f t="shared" si="10"/>
        <v>18.03958742024772</v>
      </c>
      <c r="K179" s="192" t="b">
        <f t="shared" si="3"/>
        <v>0</v>
      </c>
      <c r="L179" s="193">
        <f t="shared" si="11"/>
        <v>0</v>
      </c>
      <c r="M179" s="194">
        <f t="shared" si="12"/>
        <v>9.0888614547675042E-44</v>
      </c>
      <c r="N179" s="194">
        <f t="shared" si="13"/>
        <v>4.218520345555897E-2</v>
      </c>
      <c r="O179" s="195">
        <f>IF(ABS(U179)&gt;80,$B$7, LOOKUP(V179,'Force mapping'!$B$7:$B$167,'Force mapping'!$J$7:$J$167))</f>
        <v>958.5</v>
      </c>
      <c r="P179" s="196">
        <f t="shared" si="4"/>
        <v>0.623</v>
      </c>
      <c r="Q179" s="191">
        <f t="shared" si="5"/>
        <v>9.4231883043586259E-3</v>
      </c>
      <c r="R179" s="197">
        <f>IF(ABS(U179)&gt;80, 0, LOOKUP(V179,'Force mapping'!$B$7:$B$167,'Force mapping'!$I$7:$I$167) * (N179/5) * SIGN(U179))</f>
        <v>1.3262353003172451E-2</v>
      </c>
      <c r="S179" s="198">
        <f t="shared" si="6"/>
        <v>0.38553351753408288</v>
      </c>
      <c r="T179" s="199">
        <f t="shared" si="14"/>
        <v>1.8916994557892088</v>
      </c>
      <c r="U179" s="200">
        <f t="shared" si="15"/>
        <v>52.483328495689577</v>
      </c>
      <c r="V179" s="176">
        <f t="shared" si="7"/>
        <v>52.5</v>
      </c>
      <c r="Y179" s="91"/>
      <c r="Z179" s="88"/>
    </row>
    <row r="180" spans="5:26" ht="12.5" x14ac:dyDescent="0.25">
      <c r="E180" s="186">
        <f t="shared" si="8"/>
        <v>176</v>
      </c>
      <c r="F180" s="187">
        <f t="shared" si="0"/>
        <v>8.8000000000000007</v>
      </c>
      <c r="G180" s="188">
        <f t="shared" si="1"/>
        <v>9.423</v>
      </c>
      <c r="H180" s="189">
        <f t="shared" si="2"/>
        <v>163.52118655899665</v>
      </c>
      <c r="I180" s="190">
        <f t="shared" si="9"/>
        <v>0.7521974581713845</v>
      </c>
      <c r="J180" s="191">
        <f t="shared" si="10"/>
        <v>18.03958742024772</v>
      </c>
      <c r="K180" s="192" t="b">
        <f t="shared" si="3"/>
        <v>0</v>
      </c>
      <c r="L180" s="193">
        <f t="shared" si="11"/>
        <v>0</v>
      </c>
      <c r="M180" s="194">
        <f t="shared" si="12"/>
        <v>3.362878738263977E-44</v>
      </c>
      <c r="N180" s="194">
        <f t="shared" si="13"/>
        <v>3.8799553097969966E-2</v>
      </c>
      <c r="O180" s="195">
        <f>IF(ABS(U180)&gt;80,$B$7, LOOKUP(V180,'Force mapping'!$B$7:$B$167,'Force mapping'!$J$7:$J$167))</f>
        <v>958.5</v>
      </c>
      <c r="P180" s="196">
        <f t="shared" si="4"/>
        <v>0.623</v>
      </c>
      <c r="Q180" s="191">
        <f t="shared" si="5"/>
        <v>8.6669131595465375E-3</v>
      </c>
      <c r="R180" s="197">
        <f>IF(ABS(U180)&gt;80, 0, LOOKUP(V180,'Force mapping'!$B$7:$B$167,'Force mapping'!$I$7:$I$167) * (N180/5) * SIGN(U180))</f>
        <v>1.219795870115219E-2</v>
      </c>
      <c r="S180" s="198">
        <f t="shared" si="6"/>
        <v>0.35459182270791251</v>
      </c>
      <c r="T180" s="199">
        <f t="shared" si="14"/>
        <v>1.8917187324650855</v>
      </c>
      <c r="U180" s="200">
        <f t="shared" si="15"/>
        <v>52.388733884562178</v>
      </c>
      <c r="V180" s="176">
        <f t="shared" si="7"/>
        <v>52.5</v>
      </c>
      <c r="Y180" s="91"/>
      <c r="Z180" s="88"/>
    </row>
    <row r="181" spans="5:26" ht="12.5" x14ac:dyDescent="0.25">
      <c r="E181" s="186">
        <f t="shared" si="8"/>
        <v>177</v>
      </c>
      <c r="F181" s="187">
        <f t="shared" si="0"/>
        <v>8.85</v>
      </c>
      <c r="G181" s="188">
        <f t="shared" si="1"/>
        <v>9.472999999999999</v>
      </c>
      <c r="H181" s="189">
        <f t="shared" si="2"/>
        <v>163.52118655899665</v>
      </c>
      <c r="I181" s="190">
        <f t="shared" si="9"/>
        <v>0.7521974581713845</v>
      </c>
      <c r="J181" s="191">
        <f t="shared" si="10"/>
        <v>18.03958742024772</v>
      </c>
      <c r="K181" s="192" t="b">
        <f t="shared" si="3"/>
        <v>0</v>
      </c>
      <c r="L181" s="193">
        <f t="shared" si="11"/>
        <v>0</v>
      </c>
      <c r="M181" s="194">
        <f t="shared" si="12"/>
        <v>1.2442651331576715E-44</v>
      </c>
      <c r="N181" s="194">
        <f t="shared" si="13"/>
        <v>3.5685624277908168E-2</v>
      </c>
      <c r="O181" s="195">
        <f>IF(ABS(U181)&gt;80,$B$7, LOOKUP(V181,'Force mapping'!$B$7:$B$167,'Force mapping'!$J$7:$J$167))</f>
        <v>958.5</v>
      </c>
      <c r="P181" s="196">
        <f t="shared" si="4"/>
        <v>0.623</v>
      </c>
      <c r="Q181" s="191">
        <f t="shared" si="5"/>
        <v>7.9713342542859795E-3</v>
      </c>
      <c r="R181" s="197">
        <f>IF(ABS(U181)&gt;80, 0, LOOKUP(V181,'Force mapping'!$B$7:$B$167,'Force mapping'!$I$7:$I$167) * (N181/5) * SIGN(U181))</f>
        <v>1.1218989302985882E-2</v>
      </c>
      <c r="S181" s="198">
        <f t="shared" si="6"/>
        <v>0.32613340997051982</v>
      </c>
      <c r="T181" s="199">
        <f t="shared" si="14"/>
        <v>1.8917364620562209</v>
      </c>
      <c r="U181" s="200">
        <f t="shared" si="15"/>
        <v>52.294139083143357</v>
      </c>
      <c r="V181" s="176">
        <f t="shared" si="7"/>
        <v>52.5</v>
      </c>
      <c r="Y181" s="91"/>
      <c r="Z181" s="88"/>
    </row>
    <row r="182" spans="5:26" ht="12.5" x14ac:dyDescent="0.25">
      <c r="E182" s="186">
        <f t="shared" si="8"/>
        <v>178</v>
      </c>
      <c r="F182" s="187">
        <f t="shared" si="0"/>
        <v>8.9</v>
      </c>
      <c r="G182" s="188">
        <f t="shared" si="1"/>
        <v>9.5229999999999997</v>
      </c>
      <c r="H182" s="189">
        <f t="shared" si="2"/>
        <v>163.52118655899665</v>
      </c>
      <c r="I182" s="190">
        <f t="shared" si="9"/>
        <v>0.7521974581713845</v>
      </c>
      <c r="J182" s="191">
        <f t="shared" si="10"/>
        <v>18.03958742024772</v>
      </c>
      <c r="K182" s="192" t="b">
        <f t="shared" si="3"/>
        <v>0</v>
      </c>
      <c r="L182" s="193">
        <f t="shared" si="11"/>
        <v>0</v>
      </c>
      <c r="M182" s="194">
        <f t="shared" si="12"/>
        <v>4.6037809926833841E-45</v>
      </c>
      <c r="N182" s="194">
        <f t="shared" si="13"/>
        <v>3.2821609488348918E-2</v>
      </c>
      <c r="O182" s="195">
        <f>IF(ABS(U182)&gt;80,$B$7, LOOKUP(V182,'Force mapping'!$B$7:$B$167,'Force mapping'!$J$7:$J$167))</f>
        <v>990</v>
      </c>
      <c r="P182" s="196">
        <f t="shared" si="4"/>
        <v>0.623</v>
      </c>
      <c r="Q182" s="191">
        <f t="shared" si="5"/>
        <v>7.3315803012935239E-3</v>
      </c>
      <c r="R182" s="197">
        <f>IF(ABS(U182)&gt;80, 0, LOOKUP(V182,'Force mapping'!$B$7:$B$167,'Force mapping'!$I$7:$I$167) * (N182/5) * SIGN(U182))</f>
        <v>1.0768901359565233E-2</v>
      </c>
      <c r="S182" s="198">
        <f t="shared" si="6"/>
        <v>0.31304945812689627</v>
      </c>
      <c r="T182" s="199">
        <f t="shared" si="14"/>
        <v>1.8917527687267195</v>
      </c>
      <c r="U182" s="200">
        <f t="shared" si="15"/>
        <v>52.199544106705297</v>
      </c>
      <c r="V182" s="176">
        <f t="shared" si="7"/>
        <v>52</v>
      </c>
      <c r="Y182" s="91"/>
      <c r="Z182" s="88"/>
    </row>
    <row r="183" spans="5:26" ht="12.5" x14ac:dyDescent="0.25">
      <c r="E183" s="186">
        <f t="shared" si="8"/>
        <v>179</v>
      </c>
      <c r="F183" s="187">
        <f t="shared" si="0"/>
        <v>8.9500000000000011</v>
      </c>
      <c r="G183" s="188">
        <f t="shared" si="1"/>
        <v>9.5730000000000004</v>
      </c>
      <c r="H183" s="189">
        <f t="shared" si="2"/>
        <v>163.52118655899665</v>
      </c>
      <c r="I183" s="190">
        <f t="shared" si="9"/>
        <v>0.7521974581713845</v>
      </c>
      <c r="J183" s="191">
        <f t="shared" si="10"/>
        <v>18.03958742024772</v>
      </c>
      <c r="K183" s="192" t="b">
        <f t="shared" si="3"/>
        <v>0</v>
      </c>
      <c r="L183" s="193">
        <f t="shared" si="11"/>
        <v>0</v>
      </c>
      <c r="M183" s="194">
        <f t="shared" si="12"/>
        <v>1.7033989672928518E-45</v>
      </c>
      <c r="N183" s="194">
        <f t="shared" si="13"/>
        <v>3.0187451423473399E-2</v>
      </c>
      <c r="O183" s="195">
        <f>IF(ABS(U183)&gt;80,$B$7, LOOKUP(V183,'Force mapping'!$B$7:$B$167,'Force mapping'!$J$7:$J$167))</f>
        <v>990</v>
      </c>
      <c r="P183" s="196">
        <f t="shared" si="4"/>
        <v>0.623</v>
      </c>
      <c r="Q183" s="191">
        <f t="shared" si="5"/>
        <v>6.7431709673213304E-3</v>
      </c>
      <c r="R183" s="197">
        <f>IF(ABS(U183)&gt;80, 0, LOOKUP(V183,'Force mapping'!$B$7:$B$167,'Force mapping'!$I$7:$I$167) * (N183/5) * SIGN(U183))</f>
        <v>9.9046235618473165E-3</v>
      </c>
      <c r="S183" s="198">
        <f t="shared" si="6"/>
        <v>0.28792510354207318</v>
      </c>
      <c r="T183" s="199">
        <f t="shared" si="14"/>
        <v>1.8917684211996257</v>
      </c>
      <c r="U183" s="200">
        <f t="shared" si="15"/>
        <v>52.104948642032511</v>
      </c>
      <c r="V183" s="176">
        <f t="shared" si="7"/>
        <v>52</v>
      </c>
      <c r="Y183" s="91"/>
      <c r="Z183" s="88"/>
    </row>
    <row r="184" spans="5:26" ht="12.5" x14ac:dyDescent="0.25">
      <c r="E184" s="186">
        <f t="shared" si="8"/>
        <v>180</v>
      </c>
      <c r="F184" s="187">
        <f t="shared" si="0"/>
        <v>9</v>
      </c>
      <c r="G184" s="188">
        <f t="shared" si="1"/>
        <v>9.6229999999999993</v>
      </c>
      <c r="H184" s="189">
        <f t="shared" si="2"/>
        <v>163.52118655899665</v>
      </c>
      <c r="I184" s="190">
        <f t="shared" si="9"/>
        <v>0.7521974581713845</v>
      </c>
      <c r="J184" s="191">
        <f t="shared" si="10"/>
        <v>18.03958742024772</v>
      </c>
      <c r="K184" s="192" t="b">
        <f t="shared" si="3"/>
        <v>0</v>
      </c>
      <c r="L184" s="193">
        <f t="shared" si="11"/>
        <v>0</v>
      </c>
      <c r="M184" s="194">
        <f t="shared" si="12"/>
        <v>6.3025761789835511E-46</v>
      </c>
      <c r="N184" s="194">
        <f t="shared" si="13"/>
        <v>2.7764702513082273E-2</v>
      </c>
      <c r="O184" s="195">
        <f>IF(ABS(U184)&gt;80,$B$7, LOOKUP(V184,'Force mapping'!$B$7:$B$167,'Force mapping'!$J$7:$J$167))</f>
        <v>990</v>
      </c>
      <c r="P184" s="196">
        <f t="shared" si="4"/>
        <v>0.623</v>
      </c>
      <c r="Q184" s="191">
        <f t="shared" si="5"/>
        <v>6.2019854964287672E-3</v>
      </c>
      <c r="R184" s="197">
        <f>IF(ABS(U184)&gt;80, 0, LOOKUP(V184,'Force mapping'!$B$7:$B$167,'Force mapping'!$I$7:$I$167) * (N184/5) * SIGN(U184))</f>
        <v>9.1097099533523455E-3</v>
      </c>
      <c r="S184" s="198">
        <f t="shared" si="6"/>
        <v>0.26481714980675425</v>
      </c>
      <c r="T184" s="199">
        <f t="shared" si="14"/>
        <v>1.8917828174548028</v>
      </c>
      <c r="U184" s="200">
        <f t="shared" si="15"/>
        <v>52.010353022844939</v>
      </c>
      <c r="V184" s="176">
        <f t="shared" si="7"/>
        <v>52</v>
      </c>
      <c r="Y184" s="91"/>
      <c r="Z184" s="88"/>
    </row>
    <row r="185" spans="5:26" ht="12.5" x14ac:dyDescent="0.25">
      <c r="E185" s="186">
        <f t="shared" si="8"/>
        <v>181</v>
      </c>
      <c r="F185" s="187">
        <f t="shared" si="0"/>
        <v>9.0500000000000007</v>
      </c>
      <c r="G185" s="188">
        <f t="shared" si="1"/>
        <v>9.673</v>
      </c>
      <c r="H185" s="189">
        <f t="shared" si="2"/>
        <v>163.52118655899665</v>
      </c>
      <c r="I185" s="190">
        <f t="shared" si="9"/>
        <v>0.7521974581713845</v>
      </c>
      <c r="J185" s="191">
        <f t="shared" si="10"/>
        <v>18.03958742024772</v>
      </c>
      <c r="K185" s="192" t="b">
        <f t="shared" si="3"/>
        <v>0</v>
      </c>
      <c r="L185" s="193">
        <f t="shared" si="11"/>
        <v>0</v>
      </c>
      <c r="M185" s="194">
        <f t="shared" si="12"/>
        <v>2.3319531862239141E-46</v>
      </c>
      <c r="N185" s="194">
        <f t="shared" si="13"/>
        <v>2.5536395730330886E-2</v>
      </c>
      <c r="O185" s="195">
        <f>IF(ABS(U185)&gt;80,$B$7, LOOKUP(V185,'Force mapping'!$B$7:$B$167,'Force mapping'!$J$7:$J$167))</f>
        <v>990</v>
      </c>
      <c r="P185" s="196">
        <f t="shared" si="4"/>
        <v>0.623</v>
      </c>
      <c r="Q185" s="191">
        <f t="shared" si="5"/>
        <v>5.7042338514505355E-3</v>
      </c>
      <c r="R185" s="197">
        <f>IF(ABS(U185)&gt;80, 0, LOOKUP(V185,'Force mapping'!$B$7:$B$167,'Force mapping'!$I$7:$I$167) * (N185/5) * SIGN(U185))</f>
        <v>8.3785935847044846E-3</v>
      </c>
      <c r="S185" s="198">
        <f t="shared" si="6"/>
        <v>0.2435637669972234</v>
      </c>
      <c r="T185" s="199">
        <f t="shared" si="14"/>
        <v>1.8917960583122932</v>
      </c>
      <c r="U185" s="200">
        <f t="shared" si="15"/>
        <v>51.915757261543455</v>
      </c>
      <c r="V185" s="176">
        <f t="shared" si="7"/>
        <v>52</v>
      </c>
      <c r="Y185" s="91"/>
      <c r="Z185" s="88"/>
    </row>
    <row r="186" spans="5:26" ht="12.5" x14ac:dyDescent="0.25">
      <c r="E186" s="186">
        <f t="shared" si="8"/>
        <v>182</v>
      </c>
      <c r="F186" s="187">
        <f t="shared" si="0"/>
        <v>9.1</v>
      </c>
      <c r="G186" s="188">
        <f t="shared" si="1"/>
        <v>9.722999999999999</v>
      </c>
      <c r="H186" s="189">
        <f t="shared" si="2"/>
        <v>163.52118655899665</v>
      </c>
      <c r="I186" s="190">
        <f t="shared" si="9"/>
        <v>0.7521974581713845</v>
      </c>
      <c r="J186" s="191">
        <f t="shared" si="10"/>
        <v>18.03958742024772</v>
      </c>
      <c r="K186" s="192" t="b">
        <f t="shared" si="3"/>
        <v>0</v>
      </c>
      <c r="L186" s="193">
        <f t="shared" si="11"/>
        <v>0</v>
      </c>
      <c r="M186" s="194">
        <f t="shared" si="12"/>
        <v>8.6282267890284819E-47</v>
      </c>
      <c r="N186" s="194">
        <f t="shared" si="13"/>
        <v>2.3486925768025035E-2</v>
      </c>
      <c r="O186" s="195">
        <f>IF(ABS(U186)&gt;80,$B$7, LOOKUP(V186,'Force mapping'!$B$7:$B$167,'Force mapping'!$J$7:$J$167))</f>
        <v>990</v>
      </c>
      <c r="P186" s="196">
        <f t="shared" si="4"/>
        <v>0.623</v>
      </c>
      <c r="Q186" s="191">
        <f t="shared" si="5"/>
        <v>5.246430171558839E-3</v>
      </c>
      <c r="R186" s="197">
        <f>IF(ABS(U186)&gt;80, 0, LOOKUP(V186,'Force mapping'!$B$7:$B$167,'Force mapping'!$I$7:$I$167) * (N186/5) * SIGN(U186))</f>
        <v>7.7061542921920863E-3</v>
      </c>
      <c r="S186" s="198">
        <f t="shared" si="6"/>
        <v>0.22401611314511879</v>
      </c>
      <c r="T186" s="199">
        <f t="shared" si="14"/>
        <v>1.891808236500643</v>
      </c>
      <c r="U186" s="200">
        <f t="shared" si="15"/>
        <v>51.821161369533662</v>
      </c>
      <c r="V186" s="176">
        <f t="shared" si="7"/>
        <v>52</v>
      </c>
      <c r="Y186" s="91"/>
      <c r="Z186" s="88"/>
    </row>
    <row r="187" spans="5:26" ht="12.5" x14ac:dyDescent="0.25">
      <c r="E187" s="186">
        <f t="shared" si="8"/>
        <v>183</v>
      </c>
      <c r="F187" s="187">
        <f t="shared" si="0"/>
        <v>9.15</v>
      </c>
      <c r="G187" s="188">
        <f t="shared" si="1"/>
        <v>9.7729999999999997</v>
      </c>
      <c r="H187" s="189">
        <f t="shared" si="2"/>
        <v>163.52118655899665</v>
      </c>
      <c r="I187" s="190">
        <f t="shared" si="9"/>
        <v>0.7521974581713845</v>
      </c>
      <c r="J187" s="191">
        <f t="shared" si="10"/>
        <v>18.03958742024772</v>
      </c>
      <c r="K187" s="192" t="b">
        <f t="shared" si="3"/>
        <v>0</v>
      </c>
      <c r="L187" s="193">
        <f t="shared" si="11"/>
        <v>0</v>
      </c>
      <c r="M187" s="194">
        <f t="shared" si="12"/>
        <v>3.1924439119405381E-47</v>
      </c>
      <c r="N187" s="194">
        <f t="shared" si="13"/>
        <v>2.1601939751329603E-2</v>
      </c>
      <c r="O187" s="195">
        <f>IF(ABS(U187)&gt;80,$B$7, LOOKUP(V187,'Force mapping'!$B$7:$B$167,'Force mapping'!$J$7:$J$167))</f>
        <v>1023</v>
      </c>
      <c r="P187" s="196">
        <f t="shared" si="4"/>
        <v>0.623</v>
      </c>
      <c r="Q187" s="191">
        <f t="shared" si="5"/>
        <v>4.8253683600372622E-3</v>
      </c>
      <c r="R187" s="197">
        <f>IF(ABS(U187)&gt;80, 0, LOOKUP(V187,'Force mapping'!$B$7:$B$167,'Force mapping'!$I$7:$I$167) * (N187/5) * SIGN(U187))</f>
        <v>7.4560391168099205E-3</v>
      </c>
      <c r="S187" s="198">
        <f t="shared" si="6"/>
        <v>0.2167453231630791</v>
      </c>
      <c r="T187" s="199">
        <f t="shared" si="14"/>
        <v>1.8918194373063002</v>
      </c>
      <c r="U187" s="200">
        <f t="shared" si="15"/>
        <v>51.726565357305802</v>
      </c>
      <c r="V187" s="176">
        <f t="shared" si="7"/>
        <v>51.5</v>
      </c>
      <c r="Y187" s="91"/>
      <c r="Z187" s="88"/>
    </row>
    <row r="188" spans="5:26" ht="12.5" x14ac:dyDescent="0.25">
      <c r="E188" s="186">
        <f t="shared" si="8"/>
        <v>184</v>
      </c>
      <c r="F188" s="187">
        <f t="shared" si="0"/>
        <v>9.2000000000000011</v>
      </c>
      <c r="G188" s="188">
        <f t="shared" si="1"/>
        <v>9.8230000000000004</v>
      </c>
      <c r="H188" s="189">
        <f t="shared" si="2"/>
        <v>163.52118655899665</v>
      </c>
      <c r="I188" s="190">
        <f t="shared" si="9"/>
        <v>0.7521974581713845</v>
      </c>
      <c r="J188" s="191">
        <f t="shared" si="10"/>
        <v>18.03958742024772</v>
      </c>
      <c r="K188" s="192" t="b">
        <f t="shared" si="3"/>
        <v>0</v>
      </c>
      <c r="L188" s="193">
        <f t="shared" si="11"/>
        <v>0</v>
      </c>
      <c r="M188" s="194">
        <f t="shared" si="12"/>
        <v>1.181204247417999E-47</v>
      </c>
      <c r="N188" s="194">
        <f t="shared" si="13"/>
        <v>1.9868236721527866E-2</v>
      </c>
      <c r="O188" s="195">
        <f>IF(ABS(U188)&gt;80,$B$7, LOOKUP(V188,'Force mapping'!$B$7:$B$167,'Force mapping'!$J$7:$J$167))</f>
        <v>1023</v>
      </c>
      <c r="P188" s="196">
        <f t="shared" si="4"/>
        <v>0.623</v>
      </c>
      <c r="Q188" s="191">
        <f t="shared" si="5"/>
        <v>4.4380996313023282E-3</v>
      </c>
      <c r="R188" s="197">
        <f>IF(ABS(U188)&gt;80, 0, LOOKUP(V188,'Force mapping'!$B$7:$B$167,'Force mapping'!$I$7:$I$167) * (N188/5) * SIGN(U188))</f>
        <v>6.8576411138556717E-3</v>
      </c>
      <c r="S188" s="198">
        <f t="shared" si="6"/>
        <v>0.19935003237952534</v>
      </c>
      <c r="T188" s="199">
        <f t="shared" si="14"/>
        <v>1.8918302745724584</v>
      </c>
      <c r="U188" s="200">
        <f t="shared" si="15"/>
        <v>51.631968966807406</v>
      </c>
      <c r="V188" s="176">
        <f t="shared" si="7"/>
        <v>51.5</v>
      </c>
      <c r="Y188" s="91"/>
      <c r="Z188" s="88"/>
    </row>
    <row r="189" spans="5:26" ht="12.5" x14ac:dyDescent="0.25">
      <c r="E189" s="186">
        <f t="shared" si="8"/>
        <v>185</v>
      </c>
      <c r="F189" s="187">
        <f t="shared" si="0"/>
        <v>9.25</v>
      </c>
      <c r="G189" s="188">
        <f t="shared" si="1"/>
        <v>9.8729999999999993</v>
      </c>
      <c r="H189" s="189">
        <f t="shared" si="2"/>
        <v>163.52118655899665</v>
      </c>
      <c r="I189" s="190">
        <f t="shared" si="9"/>
        <v>0.7521974581713845</v>
      </c>
      <c r="J189" s="191">
        <f t="shared" si="10"/>
        <v>18.03958742024772</v>
      </c>
      <c r="K189" s="192" t="b">
        <f t="shared" si="3"/>
        <v>0</v>
      </c>
      <c r="L189" s="193">
        <f t="shared" si="11"/>
        <v>0</v>
      </c>
      <c r="M189" s="194">
        <f t="shared" si="12"/>
        <v>4.3704557154465961E-48</v>
      </c>
      <c r="N189" s="194">
        <f t="shared" si="13"/>
        <v>1.8273675186894808E-2</v>
      </c>
      <c r="O189" s="195">
        <f>IF(ABS(U189)&gt;80,$B$7, LOOKUP(V189,'Force mapping'!$B$7:$B$167,'Force mapping'!$J$7:$J$167))</f>
        <v>1023</v>
      </c>
      <c r="P189" s="196">
        <f t="shared" si="4"/>
        <v>0.623</v>
      </c>
      <c r="Q189" s="191">
        <f t="shared" si="5"/>
        <v>4.0819118599297495E-3</v>
      </c>
      <c r="R189" s="197">
        <f>IF(ABS(U189)&gt;80, 0, LOOKUP(V189,'Force mapping'!$B$7:$B$167,'Force mapping'!$I$7:$I$167) * (N189/5) * SIGN(U189))</f>
        <v>6.3072686328078638E-3</v>
      </c>
      <c r="S189" s="198">
        <f t="shared" si="6"/>
        <v>0.1833508323490658</v>
      </c>
      <c r="T189" s="199">
        <f t="shared" si="14"/>
        <v>1.8918402420740774</v>
      </c>
      <c r="U189" s="200">
        <f t="shared" si="15"/>
        <v>51.537372469327977</v>
      </c>
      <c r="V189" s="176">
        <f t="shared" si="7"/>
        <v>51.5</v>
      </c>
      <c r="Y189" s="91"/>
      <c r="Z189" s="88"/>
    </row>
    <row r="190" spans="5:26" ht="12.5" x14ac:dyDescent="0.25">
      <c r="E190" s="186">
        <f t="shared" si="8"/>
        <v>186</v>
      </c>
      <c r="F190" s="187">
        <f t="shared" si="0"/>
        <v>9.3000000000000007</v>
      </c>
      <c r="G190" s="188">
        <f t="shared" si="1"/>
        <v>9.923</v>
      </c>
      <c r="H190" s="189">
        <f t="shared" si="2"/>
        <v>163.52118655899665</v>
      </c>
      <c r="I190" s="190">
        <f t="shared" si="9"/>
        <v>0.7521974581713845</v>
      </c>
      <c r="J190" s="191">
        <f t="shared" si="10"/>
        <v>18.03958742024772</v>
      </c>
      <c r="K190" s="192" t="b">
        <f t="shared" si="3"/>
        <v>0</v>
      </c>
      <c r="L190" s="193">
        <f t="shared" si="11"/>
        <v>0</v>
      </c>
      <c r="M190" s="194">
        <f t="shared" si="12"/>
        <v>1.6170686147152407E-48</v>
      </c>
      <c r="N190" s="194">
        <f t="shared" si="13"/>
        <v>1.6807088093243539E-2</v>
      </c>
      <c r="O190" s="195">
        <f>IF(ABS(U190)&gt;80,$B$7, LOOKUP(V190,'Force mapping'!$B$7:$B$167,'Force mapping'!$J$7:$J$167))</f>
        <v>1023</v>
      </c>
      <c r="P190" s="196">
        <f t="shared" si="4"/>
        <v>0.623</v>
      </c>
      <c r="Q190" s="191">
        <f t="shared" si="5"/>
        <v>3.754310587062193E-3</v>
      </c>
      <c r="R190" s="197">
        <f>IF(ABS(U190)&gt;80, 0, LOOKUP(V190,'Force mapping'!$B$7:$B$167,'Force mapping'!$I$7:$I$167) * (N190/5) * SIGN(U190))</f>
        <v>5.801067297911567E-3</v>
      </c>
      <c r="S190" s="198">
        <f t="shared" si="6"/>
        <v>0.16863567726487114</v>
      </c>
      <c r="T190" s="199">
        <f t="shared" si="14"/>
        <v>1.8918494096156948</v>
      </c>
      <c r="U190" s="200">
        <f t="shared" si="15"/>
        <v>51.442775873453463</v>
      </c>
      <c r="V190" s="176">
        <f t="shared" si="7"/>
        <v>51.5</v>
      </c>
      <c r="Y190" s="91"/>
      <c r="Z190" s="88"/>
    </row>
    <row r="191" spans="5:26" ht="12.5" x14ac:dyDescent="0.25">
      <c r="E191" s="186">
        <f t="shared" si="8"/>
        <v>187</v>
      </c>
      <c r="F191" s="187">
        <f t="shared" si="0"/>
        <v>9.35</v>
      </c>
      <c r="G191" s="188">
        <f t="shared" si="1"/>
        <v>9.972999999999999</v>
      </c>
      <c r="H191" s="189">
        <f t="shared" si="2"/>
        <v>163.52118655899665</v>
      </c>
      <c r="I191" s="190">
        <f t="shared" si="9"/>
        <v>0.7521974581713845</v>
      </c>
      <c r="J191" s="191">
        <f t="shared" si="10"/>
        <v>18.03958742024772</v>
      </c>
      <c r="K191" s="192" t="b">
        <f t="shared" si="3"/>
        <v>0</v>
      </c>
      <c r="L191" s="193">
        <f t="shared" si="11"/>
        <v>0</v>
      </c>
      <c r="M191" s="194">
        <f t="shared" si="12"/>
        <v>5.983153874446391E-49</v>
      </c>
      <c r="N191" s="194">
        <f t="shared" si="13"/>
        <v>1.5458204618665405E-2</v>
      </c>
      <c r="O191" s="195">
        <f>IF(ABS(U191)&gt;80,$B$7, LOOKUP(V191,'Force mapping'!$B$7:$B$167,'Force mapping'!$J$7:$J$167))</f>
        <v>1023</v>
      </c>
      <c r="P191" s="196">
        <f t="shared" si="4"/>
        <v>0.623</v>
      </c>
      <c r="Q191" s="191">
        <f t="shared" si="5"/>
        <v>3.4530015511824021E-3</v>
      </c>
      <c r="R191" s="197">
        <f>IF(ABS(U191)&gt;80, 0, LOOKUP(V191,'Force mapping'!$B$7:$B$167,'Force mapping'!$I$7:$I$167) * (N191/5) * SIGN(U191))</f>
        <v>5.3354920733600765E-3</v>
      </c>
      <c r="S191" s="198">
        <f t="shared" si="6"/>
        <v>0.15510151376046735</v>
      </c>
      <c r="T191" s="199">
        <f t="shared" si="14"/>
        <v>1.8918578413995581</v>
      </c>
      <c r="U191" s="200">
        <f t="shared" si="15"/>
        <v>51.348179187080746</v>
      </c>
      <c r="V191" s="176">
        <f t="shared" si="7"/>
        <v>51.5</v>
      </c>
      <c r="Y191" s="91"/>
      <c r="Z191" s="88"/>
    </row>
    <row r="192" spans="5:26" ht="12.5" x14ac:dyDescent="0.25">
      <c r="E192" s="186">
        <f t="shared" si="8"/>
        <v>188</v>
      </c>
      <c r="F192" s="187">
        <f t="shared" si="0"/>
        <v>9.4</v>
      </c>
      <c r="G192" s="188">
        <f t="shared" si="1"/>
        <v>10.023</v>
      </c>
      <c r="H192" s="189">
        <f t="shared" si="2"/>
        <v>163.52118655899665</v>
      </c>
      <c r="I192" s="190">
        <f t="shared" si="9"/>
        <v>0.7521974581713845</v>
      </c>
      <c r="J192" s="191">
        <f t="shared" si="10"/>
        <v>18.03958742024772</v>
      </c>
      <c r="K192" s="192" t="b">
        <f t="shared" si="3"/>
        <v>0</v>
      </c>
      <c r="L192" s="193">
        <f t="shared" si="11"/>
        <v>0</v>
      </c>
      <c r="M192" s="194">
        <f t="shared" si="12"/>
        <v>2.2137669335451647E-49</v>
      </c>
      <c r="N192" s="194">
        <f t="shared" si="13"/>
        <v>1.4217578244775724E-2</v>
      </c>
      <c r="O192" s="195">
        <f>IF(ABS(U192)&gt;80,$B$7, LOOKUP(V192,'Force mapping'!$B$7:$B$167,'Force mapping'!$J$7:$J$167))</f>
        <v>1023</v>
      </c>
      <c r="P192" s="196">
        <f t="shared" si="4"/>
        <v>0.623</v>
      </c>
      <c r="Q192" s="191">
        <f t="shared" si="5"/>
        <v>3.1758746209109407E-3</v>
      </c>
      <c r="R192" s="197">
        <f>IF(ABS(U192)&gt;80, 0, LOOKUP(V192,'Force mapping'!$B$7:$B$167,'Force mapping'!$I$7:$I$167) * (N192/5) * SIGN(U192))</f>
        <v>4.9072824366538093E-3</v>
      </c>
      <c r="S192" s="198">
        <f t="shared" si="6"/>
        <v>0.1426535592050526</v>
      </c>
      <c r="T192" s="199">
        <f t="shared" si="14"/>
        <v>1.8918655964752462</v>
      </c>
      <c r="U192" s="200">
        <f t="shared" si="15"/>
        <v>51.253582417472927</v>
      </c>
      <c r="V192" s="176">
        <f t="shared" si="7"/>
        <v>51.5</v>
      </c>
      <c r="Y192" s="91"/>
      <c r="Z192" s="88"/>
    </row>
    <row r="193" spans="5:26" ht="12.5" x14ac:dyDescent="0.25">
      <c r="E193" s="186">
        <f t="shared" si="8"/>
        <v>189</v>
      </c>
      <c r="F193" s="187">
        <f t="shared" si="0"/>
        <v>9.4500000000000011</v>
      </c>
      <c r="G193" s="188">
        <f t="shared" si="1"/>
        <v>10.073</v>
      </c>
      <c r="H193" s="189">
        <f t="shared" si="2"/>
        <v>163.52118655899665</v>
      </c>
      <c r="I193" s="190">
        <f t="shared" si="9"/>
        <v>0.7521974581713845</v>
      </c>
      <c r="J193" s="191">
        <f t="shared" si="10"/>
        <v>18.03958742024772</v>
      </c>
      <c r="K193" s="192" t="b">
        <f t="shared" si="3"/>
        <v>0</v>
      </c>
      <c r="L193" s="193">
        <f t="shared" si="11"/>
        <v>0</v>
      </c>
      <c r="M193" s="194">
        <f t="shared" si="12"/>
        <v>8.1909376541171093E-50</v>
      </c>
      <c r="N193" s="194">
        <f t="shared" si="13"/>
        <v>1.3076520600732727E-2</v>
      </c>
      <c r="O193" s="195">
        <f>IF(ABS(U193)&gt;80,$B$7, LOOKUP(V193,'Force mapping'!$B$7:$B$167,'Force mapping'!$J$7:$J$167))</f>
        <v>1056</v>
      </c>
      <c r="P193" s="196">
        <f t="shared" si="4"/>
        <v>0.623</v>
      </c>
      <c r="Q193" s="191">
        <f t="shared" si="5"/>
        <v>2.9209890173065309E-3</v>
      </c>
      <c r="R193" s="197">
        <f>IF(ABS(U193)&gt;80, 0, LOOKUP(V193,'Force mapping'!$B$7:$B$167,'Force mapping'!$I$7:$I$167) * (N193/5) * SIGN(U193))</f>
        <v>4.7364203737501991E-3</v>
      </c>
      <c r="S193" s="198">
        <f t="shared" si="6"/>
        <v>0.13768663877180812</v>
      </c>
      <c r="T193" s="199">
        <f t="shared" si="14"/>
        <v>1.8918727291532065</v>
      </c>
      <c r="U193" s="200">
        <f t="shared" si="15"/>
        <v>51.158985571310183</v>
      </c>
      <c r="V193" s="176">
        <f t="shared" si="7"/>
        <v>51</v>
      </c>
      <c r="Y193" s="91"/>
      <c r="Z193" s="88"/>
    </row>
    <row r="194" spans="5:26" ht="12.5" x14ac:dyDescent="0.25">
      <c r="E194" s="186">
        <f t="shared" si="8"/>
        <v>190</v>
      </c>
      <c r="F194" s="187">
        <f t="shared" si="0"/>
        <v>9.5</v>
      </c>
      <c r="G194" s="188">
        <f t="shared" si="1"/>
        <v>10.122999999999999</v>
      </c>
      <c r="H194" s="189">
        <f t="shared" si="2"/>
        <v>163.52118655899665</v>
      </c>
      <c r="I194" s="190">
        <f t="shared" si="9"/>
        <v>0.7521974581713845</v>
      </c>
      <c r="J194" s="191">
        <f t="shared" si="10"/>
        <v>18.03958742024772</v>
      </c>
      <c r="K194" s="192" t="b">
        <f t="shared" si="3"/>
        <v>0</v>
      </c>
      <c r="L194" s="193">
        <f t="shared" si="11"/>
        <v>0</v>
      </c>
      <c r="M194" s="194">
        <f t="shared" si="12"/>
        <v>3.0306469320233306E-50</v>
      </c>
      <c r="N194" s="194">
        <f t="shared" si="13"/>
        <v>1.2027040616725285E-2</v>
      </c>
      <c r="O194" s="195">
        <f>IF(ABS(U194)&gt;80,$B$7, LOOKUP(V194,'Force mapping'!$B$7:$B$167,'Force mapping'!$J$7:$J$167))</f>
        <v>1056</v>
      </c>
      <c r="P194" s="196">
        <f t="shared" si="4"/>
        <v>0.623</v>
      </c>
      <c r="Q194" s="191">
        <f t="shared" si="5"/>
        <v>2.6865597221775962E-3</v>
      </c>
      <c r="R194" s="197">
        <f>IF(ABS(U194)&gt;80, 0, LOOKUP(V194,'Force mapping'!$B$7:$B$167,'Force mapping'!$I$7:$I$167) * (N194/5) * SIGN(U194))</f>
        <v>4.3562903277028315E-3</v>
      </c>
      <c r="S194" s="198">
        <f t="shared" si="6"/>
        <v>0.12663634673554744</v>
      </c>
      <c r="T194" s="199">
        <f t="shared" si="14"/>
        <v>1.891879613485145</v>
      </c>
      <c r="U194" s="200">
        <f t="shared" si="15"/>
        <v>51.064388492686554</v>
      </c>
      <c r="V194" s="176">
        <f t="shared" si="7"/>
        <v>51</v>
      </c>
      <c r="Y194" s="91"/>
      <c r="Z194" s="88"/>
    </row>
    <row r="195" spans="5:26" ht="12.5" x14ac:dyDescent="0.25">
      <c r="E195" s="186">
        <f t="shared" si="8"/>
        <v>191</v>
      </c>
      <c r="F195" s="187">
        <f t="shared" si="0"/>
        <v>9.5500000000000007</v>
      </c>
      <c r="G195" s="188">
        <f t="shared" si="1"/>
        <v>10.173</v>
      </c>
      <c r="H195" s="189">
        <f t="shared" si="2"/>
        <v>163.52118655899665</v>
      </c>
      <c r="I195" s="190">
        <f t="shared" si="9"/>
        <v>0.7521974581713845</v>
      </c>
      <c r="J195" s="191">
        <f t="shared" si="10"/>
        <v>18.03958742024772</v>
      </c>
      <c r="K195" s="192" t="b">
        <f t="shared" si="3"/>
        <v>0</v>
      </c>
      <c r="L195" s="193">
        <f t="shared" si="11"/>
        <v>0</v>
      </c>
      <c r="M195" s="194">
        <f t="shared" si="12"/>
        <v>1.1213393648486323E-50</v>
      </c>
      <c r="N195" s="194">
        <f t="shared" si="13"/>
        <v>1.1061788560808326E-2</v>
      </c>
      <c r="O195" s="195">
        <f>IF(ABS(U195)&gt;80,$B$7, LOOKUP(V195,'Force mapping'!$B$7:$B$167,'Force mapping'!$J$7:$J$167))</f>
        <v>1056</v>
      </c>
      <c r="P195" s="196">
        <f t="shared" si="4"/>
        <v>0.623</v>
      </c>
      <c r="Q195" s="191">
        <f t="shared" si="5"/>
        <v>2.4709449772195224E-3</v>
      </c>
      <c r="R195" s="197">
        <f>IF(ABS(U195)&gt;80, 0, LOOKUP(V195,'Force mapping'!$B$7:$B$167,'Force mapping'!$I$7:$I$167) * (N195/5) * SIGN(U195))</f>
        <v>4.0066683110332622E-3</v>
      </c>
      <c r="S195" s="198">
        <f t="shared" si="6"/>
        <v>0.11647291601840878</v>
      </c>
      <c r="T195" s="199">
        <f t="shared" si="14"/>
        <v>1.8918859453024817</v>
      </c>
      <c r="U195" s="200">
        <f t="shared" si="15"/>
        <v>50.969791346103626</v>
      </c>
      <c r="V195" s="176">
        <f t="shared" si="7"/>
        <v>51</v>
      </c>
      <c r="Y195" s="91"/>
      <c r="Z195" s="88"/>
    </row>
    <row r="196" spans="5:26" ht="12.5" x14ac:dyDescent="0.25">
      <c r="E196" s="186">
        <f t="shared" si="8"/>
        <v>192</v>
      </c>
      <c r="F196" s="187">
        <f t="shared" si="0"/>
        <v>9.6000000000000014</v>
      </c>
      <c r="G196" s="188">
        <f t="shared" si="1"/>
        <v>10.223000000000001</v>
      </c>
      <c r="H196" s="189">
        <f t="shared" si="2"/>
        <v>163.52118655899665</v>
      </c>
      <c r="I196" s="190">
        <f t="shared" si="9"/>
        <v>0.7521974581713845</v>
      </c>
      <c r="J196" s="191">
        <f t="shared" si="10"/>
        <v>18.03958742024772</v>
      </c>
      <c r="K196" s="192" t="b">
        <f t="shared" si="3"/>
        <v>0</v>
      </c>
      <c r="L196" s="193">
        <f t="shared" si="11"/>
        <v>0</v>
      </c>
      <c r="M196" s="194">
        <f t="shared" si="12"/>
        <v>4.1489556499399392E-51</v>
      </c>
      <c r="N196" s="194">
        <f t="shared" si="13"/>
        <v>1.0174004567163997E-2</v>
      </c>
      <c r="O196" s="195">
        <f>IF(ABS(U196)&gt;80,$B$7, LOOKUP(V196,'Force mapping'!$B$7:$B$167,'Force mapping'!$J$7:$J$167))</f>
        <v>1056</v>
      </c>
      <c r="P196" s="196">
        <f t="shared" si="4"/>
        <v>0.623</v>
      </c>
      <c r="Q196" s="191">
        <f t="shared" si="5"/>
        <v>2.2726347864314381E-3</v>
      </c>
      <c r="R196" s="197">
        <f>IF(ABS(U196)&gt;80, 0, LOOKUP(V196,'Force mapping'!$B$7:$B$167,'Force mapping'!$I$7:$I$167) * (N196/5) * SIGN(U196))</f>
        <v>3.6851058462633369E-3</v>
      </c>
      <c r="S196" s="198">
        <f t="shared" si="6"/>
        <v>0.10712516994951561</v>
      </c>
      <c r="T196" s="199">
        <f t="shared" si="14"/>
        <v>1.8918917689482826</v>
      </c>
      <c r="U196" s="200">
        <f t="shared" si="15"/>
        <v>50.875194137015605</v>
      </c>
      <c r="V196" s="176">
        <f t="shared" si="7"/>
        <v>51</v>
      </c>
      <c r="Y196" s="91"/>
      <c r="Z196" s="88"/>
    </row>
    <row r="197" spans="5:26" ht="12.5" x14ac:dyDescent="0.25">
      <c r="E197" s="186">
        <f t="shared" si="8"/>
        <v>193</v>
      </c>
      <c r="F197" s="187">
        <f t="shared" si="0"/>
        <v>9.65</v>
      </c>
      <c r="G197" s="188">
        <f t="shared" si="1"/>
        <v>10.273</v>
      </c>
      <c r="H197" s="189">
        <f t="shared" si="2"/>
        <v>163.52118655899665</v>
      </c>
      <c r="I197" s="190">
        <f t="shared" si="9"/>
        <v>0.7521974581713845</v>
      </c>
      <c r="J197" s="191">
        <f t="shared" si="10"/>
        <v>18.03958742024772</v>
      </c>
      <c r="K197" s="192" t="b">
        <f t="shared" si="3"/>
        <v>0</v>
      </c>
      <c r="L197" s="193">
        <f t="shared" si="11"/>
        <v>0</v>
      </c>
      <c r="M197" s="194">
        <f t="shared" si="12"/>
        <v>1.5351135904777774E-51</v>
      </c>
      <c r="N197" s="194">
        <f t="shared" si="13"/>
        <v>9.3574712953209786E-3</v>
      </c>
      <c r="O197" s="195">
        <f>IF(ABS(U197)&gt;80,$B$7, LOOKUP(V197,'Force mapping'!$B$7:$B$167,'Force mapping'!$J$7:$J$167))</f>
        <v>1056</v>
      </c>
      <c r="P197" s="196">
        <f t="shared" si="4"/>
        <v>0.623</v>
      </c>
      <c r="Q197" s="191">
        <f t="shared" si="5"/>
        <v>2.0902403412924784E-3</v>
      </c>
      <c r="R197" s="197">
        <f>IF(ABS(U197)&gt;80, 0, LOOKUP(V197,'Force mapping'!$B$7:$B$167,'Force mapping'!$I$7:$I$167) * (N197/5) * SIGN(U197))</f>
        <v>3.3893509629356207E-3</v>
      </c>
      <c r="S197" s="198">
        <f t="shared" si="6"/>
        <v>9.8527644271384329E-2</v>
      </c>
      <c r="T197" s="199">
        <f t="shared" si="14"/>
        <v>1.89189712520678</v>
      </c>
      <c r="U197" s="200">
        <f t="shared" si="15"/>
        <v>50.780596870438941</v>
      </c>
      <c r="V197" s="176">
        <f t="shared" si="7"/>
        <v>51</v>
      </c>
      <c r="Y197" s="91"/>
      <c r="Z197" s="88"/>
    </row>
    <row r="198" spans="5:26" ht="12.5" x14ac:dyDescent="0.25">
      <c r="E198" s="186">
        <f t="shared" si="8"/>
        <v>194</v>
      </c>
      <c r="F198" s="187">
        <f t="shared" si="0"/>
        <v>9.7000000000000011</v>
      </c>
      <c r="G198" s="188">
        <f t="shared" si="1"/>
        <v>10.323</v>
      </c>
      <c r="H198" s="189">
        <f t="shared" si="2"/>
        <v>163.52118655899665</v>
      </c>
      <c r="I198" s="190">
        <f t="shared" si="9"/>
        <v>0.7521974581713845</v>
      </c>
      <c r="J198" s="191">
        <f t="shared" si="10"/>
        <v>18.03958742024772</v>
      </c>
      <c r="K198" s="192" t="b">
        <f t="shared" si="3"/>
        <v>0</v>
      </c>
      <c r="L198" s="193">
        <f t="shared" si="11"/>
        <v>0</v>
      </c>
      <c r="M198" s="194">
        <f t="shared" si="12"/>
        <v>5.6799202847677762E-52</v>
      </c>
      <c r="N198" s="194">
        <f t="shared" si="13"/>
        <v>8.6064703887944148E-3</v>
      </c>
      <c r="O198" s="195">
        <f>IF(ABS(U198)&gt;80,$B$7, LOOKUP(V198,'Force mapping'!$B$7:$B$167,'Force mapping'!$J$7:$J$167))</f>
        <v>1081</v>
      </c>
      <c r="P198" s="196">
        <f t="shared" si="4"/>
        <v>0.623</v>
      </c>
      <c r="Q198" s="191">
        <f t="shared" si="5"/>
        <v>1.9224842946397912E-3</v>
      </c>
      <c r="R198" s="197">
        <f>IF(ABS(U198)&gt;80, 0, LOOKUP(V198,'Force mapping'!$B$7:$B$167,'Force mapping'!$I$7:$I$167) * (N198/5) * SIGN(U198))</f>
        <v>3.2117970455718551E-3</v>
      </c>
      <c r="S198" s="198">
        <f t="shared" si="6"/>
        <v>9.3366193185228347E-2</v>
      </c>
      <c r="T198" s="199">
        <f t="shared" si="14"/>
        <v>1.8919020515889935</v>
      </c>
      <c r="U198" s="200">
        <f t="shared" si="15"/>
        <v>50.685999550987496</v>
      </c>
      <c r="V198" s="176">
        <f t="shared" si="7"/>
        <v>50.5</v>
      </c>
      <c r="Y198" s="91"/>
      <c r="Z198" s="88"/>
    </row>
    <row r="199" spans="5:26" ht="12.5" x14ac:dyDescent="0.25">
      <c r="E199" s="186">
        <f t="shared" si="8"/>
        <v>195</v>
      </c>
      <c r="F199" s="187">
        <f t="shared" si="0"/>
        <v>9.75</v>
      </c>
      <c r="G199" s="188">
        <f t="shared" si="1"/>
        <v>10.372999999999999</v>
      </c>
      <c r="H199" s="189">
        <f t="shared" si="2"/>
        <v>163.52118655899665</v>
      </c>
      <c r="I199" s="190">
        <f t="shared" si="9"/>
        <v>0.7521974581713845</v>
      </c>
      <c r="J199" s="191">
        <f t="shared" si="10"/>
        <v>18.03958742024772</v>
      </c>
      <c r="K199" s="192" t="b">
        <f t="shared" si="3"/>
        <v>0</v>
      </c>
      <c r="L199" s="193">
        <f t="shared" si="11"/>
        <v>0</v>
      </c>
      <c r="M199" s="194">
        <f t="shared" si="12"/>
        <v>2.1015705053640772E-52</v>
      </c>
      <c r="N199" s="194">
        <f t="shared" si="13"/>
        <v>7.9157424282170138E-3</v>
      </c>
      <c r="O199" s="195">
        <f>IF(ABS(U199)&gt;80,$B$7, LOOKUP(V199,'Force mapping'!$B$7:$B$167,'Force mapping'!$J$7:$J$167))</f>
        <v>1081</v>
      </c>
      <c r="P199" s="196">
        <f t="shared" si="4"/>
        <v>0.623</v>
      </c>
      <c r="Q199" s="191">
        <f t="shared" si="5"/>
        <v>1.7681918151341901E-3</v>
      </c>
      <c r="R199" s="197">
        <f>IF(ABS(U199)&gt;80, 0, LOOKUP(V199,'Force mapping'!$B$7:$B$167,'Force mapping'!$I$7:$I$167) * (N199/5) * SIGN(U199))</f>
        <v>2.9540284223317382E-3</v>
      </c>
      <c r="S199" s="198">
        <f t="shared" si="6"/>
        <v>8.5872919253829602E-2</v>
      </c>
      <c r="T199" s="199">
        <f t="shared" si="14"/>
        <v>1.8919067198986528</v>
      </c>
      <c r="U199" s="200">
        <f t="shared" si="15"/>
        <v>50.591402114253214</v>
      </c>
      <c r="V199" s="176">
        <f t="shared" si="7"/>
        <v>50.5</v>
      </c>
      <c r="Y199" s="91"/>
      <c r="Z199" s="88"/>
    </row>
    <row r="200" spans="5:26" ht="12.5" x14ac:dyDescent="0.25">
      <c r="E200" s="186">
        <f t="shared" si="8"/>
        <v>196</v>
      </c>
      <c r="F200" s="187">
        <f t="shared" si="0"/>
        <v>9.8000000000000007</v>
      </c>
      <c r="G200" s="188">
        <f t="shared" si="1"/>
        <v>10.423</v>
      </c>
      <c r="H200" s="189">
        <f t="shared" si="2"/>
        <v>163.52118655899665</v>
      </c>
      <c r="I200" s="190">
        <f t="shared" si="9"/>
        <v>0.7521974581713845</v>
      </c>
      <c r="J200" s="191">
        <f t="shared" si="10"/>
        <v>18.03958742024772</v>
      </c>
      <c r="K200" s="192" t="b">
        <f t="shared" si="3"/>
        <v>0</v>
      </c>
      <c r="L200" s="193">
        <f t="shared" si="11"/>
        <v>0</v>
      </c>
      <c r="M200" s="194">
        <f t="shared" si="12"/>
        <v>7.7758108698470855E-53</v>
      </c>
      <c r="N200" s="194">
        <f t="shared" si="13"/>
        <v>7.2804500985045725E-3</v>
      </c>
      <c r="O200" s="195">
        <f>IF(ABS(U200)&gt;80,$B$7, LOOKUP(V200,'Force mapping'!$B$7:$B$167,'Force mapping'!$J$7:$J$167))</f>
        <v>1081</v>
      </c>
      <c r="P200" s="196">
        <f t="shared" si="4"/>
        <v>0.623</v>
      </c>
      <c r="Q200" s="191">
        <f t="shared" si="5"/>
        <v>1.6262823596659565E-3</v>
      </c>
      <c r="R200" s="197">
        <f>IF(ABS(U200)&gt;80, 0, LOOKUP(V200,'Force mapping'!$B$7:$B$167,'Force mapping'!$I$7:$I$167) * (N200/5) * SIGN(U200))</f>
        <v>2.7169474895603301E-3</v>
      </c>
      <c r="S200" s="198">
        <f t="shared" si="6"/>
        <v>7.8981031673265409E-2</v>
      </c>
      <c r="T200" s="199">
        <f t="shared" si="14"/>
        <v>1.8919110135446155</v>
      </c>
      <c r="U200" s="200">
        <f t="shared" si="15"/>
        <v>50.496804631435296</v>
      </c>
      <c r="V200" s="176">
        <f t="shared" si="7"/>
        <v>50.5</v>
      </c>
      <c r="Y200" s="91"/>
      <c r="Z200" s="88"/>
    </row>
    <row r="201" spans="5:26" ht="12.5" x14ac:dyDescent="0.25">
      <c r="E201" s="186">
        <f t="shared" si="8"/>
        <v>197</v>
      </c>
      <c r="F201" s="187">
        <f t="shared" si="0"/>
        <v>9.8500000000000014</v>
      </c>
      <c r="G201" s="188">
        <f t="shared" si="1"/>
        <v>10.473000000000001</v>
      </c>
      <c r="H201" s="189">
        <f t="shared" si="2"/>
        <v>163.52118655899665</v>
      </c>
      <c r="I201" s="190">
        <f t="shared" si="9"/>
        <v>0.7521974581713845</v>
      </c>
      <c r="J201" s="191">
        <f t="shared" si="10"/>
        <v>18.03958742024772</v>
      </c>
      <c r="K201" s="192" t="b">
        <f t="shared" si="3"/>
        <v>0</v>
      </c>
      <c r="L201" s="193">
        <f t="shared" si="11"/>
        <v>0</v>
      </c>
      <c r="M201" s="194">
        <f t="shared" si="12"/>
        <v>2.8770500218434214E-53</v>
      </c>
      <c r="N201" s="194">
        <f t="shared" si="13"/>
        <v>6.6961443121077366E-3</v>
      </c>
      <c r="O201" s="195">
        <f>IF(ABS(U201)&gt;80,$B$7, LOOKUP(V201,'Force mapping'!$B$7:$B$167,'Force mapping'!$J$7:$J$167))</f>
        <v>1081</v>
      </c>
      <c r="P201" s="196">
        <f t="shared" si="4"/>
        <v>0.623</v>
      </c>
      <c r="Q201" s="191">
        <f t="shared" si="5"/>
        <v>1.4957621060812086E-3</v>
      </c>
      <c r="R201" s="197">
        <f>IF(ABS(U201)&gt;80, 0, LOOKUP(V201,'Force mapping'!$B$7:$B$167,'Force mapping'!$I$7:$I$167) * (N201/5) * SIGN(U201))</f>
        <v>2.4988939189696138E-3</v>
      </c>
      <c r="S201" s="198">
        <f t="shared" si="6"/>
        <v>7.2642265086325986E-2</v>
      </c>
      <c r="T201" s="199">
        <f t="shared" si="14"/>
        <v>1.8919149625961993</v>
      </c>
      <c r="U201" s="200">
        <f t="shared" si="15"/>
        <v>50.402207106232275</v>
      </c>
      <c r="V201" s="176">
        <f t="shared" si="7"/>
        <v>50.5</v>
      </c>
      <c r="Y201" s="91"/>
      <c r="Z201" s="88"/>
    </row>
    <row r="202" spans="5:26" ht="12.5" x14ac:dyDescent="0.25">
      <c r="E202" s="186">
        <f t="shared" si="8"/>
        <v>198</v>
      </c>
      <c r="F202" s="187">
        <f t="shared" si="0"/>
        <v>9.9</v>
      </c>
      <c r="G202" s="188">
        <f t="shared" si="1"/>
        <v>10.523</v>
      </c>
      <c r="H202" s="189">
        <f t="shared" si="2"/>
        <v>163.52118655899665</v>
      </c>
      <c r="I202" s="190">
        <f t="shared" si="9"/>
        <v>0.7521974581713845</v>
      </c>
      <c r="J202" s="191">
        <f t="shared" si="10"/>
        <v>18.03958742024772</v>
      </c>
      <c r="K202" s="192" t="b">
        <f t="shared" si="3"/>
        <v>0</v>
      </c>
      <c r="L202" s="193">
        <f t="shared" si="11"/>
        <v>0</v>
      </c>
      <c r="M202" s="194">
        <f t="shared" si="12"/>
        <v>1.0645085080820659E-53</v>
      </c>
      <c r="N202" s="194">
        <f t="shared" si="13"/>
        <v>6.1587330511039045E-3</v>
      </c>
      <c r="O202" s="195">
        <f>IF(ABS(U202)&gt;80,$B$7, LOOKUP(V202,'Force mapping'!$B$7:$B$167,'Force mapping'!$J$7:$J$167))</f>
        <v>1081</v>
      </c>
      <c r="P202" s="196">
        <f t="shared" si="4"/>
        <v>0.623</v>
      </c>
      <c r="Q202" s="191">
        <f t="shared" si="5"/>
        <v>1.3757169932335992E-3</v>
      </c>
      <c r="R202" s="197">
        <f>IF(ABS(U202)&gt;80, 0, LOOKUP(V202,'Force mapping'!$B$7:$B$167,'Force mapping'!$I$7:$I$167) * (N202/5) * SIGN(U202))</f>
        <v>2.2983406349431595E-3</v>
      </c>
      <c r="S202" s="198">
        <f t="shared" si="6"/>
        <v>6.681222775997557E-2</v>
      </c>
      <c r="T202" s="199">
        <f t="shared" si="14"/>
        <v>1.8919185947094537</v>
      </c>
      <c r="U202" s="200">
        <f t="shared" si="15"/>
        <v>50.307609542045839</v>
      </c>
      <c r="V202" s="176">
        <f t="shared" si="7"/>
        <v>50.5</v>
      </c>
      <c r="Y202" s="91"/>
      <c r="Z202" s="88"/>
    </row>
    <row r="203" spans="5:26" ht="12.5" x14ac:dyDescent="0.25">
      <c r="E203" s="186">
        <f t="shared" si="8"/>
        <v>199</v>
      </c>
      <c r="F203" s="187">
        <f t="shared" si="0"/>
        <v>9.9500000000000011</v>
      </c>
      <c r="G203" s="188">
        <f t="shared" si="1"/>
        <v>10.573</v>
      </c>
      <c r="H203" s="189">
        <f t="shared" si="2"/>
        <v>163.52118655899665</v>
      </c>
      <c r="I203" s="190">
        <f t="shared" si="9"/>
        <v>0.7521974581713845</v>
      </c>
      <c r="J203" s="191">
        <f t="shared" si="10"/>
        <v>18.03958742024772</v>
      </c>
      <c r="K203" s="192" t="b">
        <f t="shared" si="3"/>
        <v>0</v>
      </c>
      <c r="L203" s="193">
        <f t="shared" si="11"/>
        <v>0</v>
      </c>
      <c r="M203" s="194">
        <f t="shared" si="12"/>
        <v>3.9386814799036437E-54</v>
      </c>
      <c r="N203" s="194">
        <f t="shared" si="13"/>
        <v>5.6644527099238154E-3</v>
      </c>
      <c r="O203" s="195">
        <f>IF(ABS(U203)&gt;80,$B$7, LOOKUP(V203,'Force mapping'!$B$7:$B$167,'Force mapping'!$J$7:$J$167))</f>
        <v>1106</v>
      </c>
      <c r="P203" s="196">
        <f t="shared" si="4"/>
        <v>0.623</v>
      </c>
      <c r="Q203" s="191">
        <f t="shared" si="5"/>
        <v>1.2653063196193456E-3</v>
      </c>
      <c r="R203" s="197">
        <f>IF(ABS(U203)&gt;80, 0, LOOKUP(V203,'Force mapping'!$B$7:$B$167,'Force mapping'!$I$7:$I$167) * (N203/5) * SIGN(U203))</f>
        <v>2.1760561530443328E-3</v>
      </c>
      <c r="S203" s="198">
        <f t="shared" si="6"/>
        <v>6.3257446309428284E-2</v>
      </c>
      <c r="T203" s="199">
        <f t="shared" si="14"/>
        <v>1.8919219353208416</v>
      </c>
      <c r="U203" s="200">
        <f t="shared" si="15"/>
        <v>50.21301194200467</v>
      </c>
      <c r="V203" s="176">
        <f t="shared" si="7"/>
        <v>50</v>
      </c>
      <c r="Y203" s="91"/>
      <c r="Z203" s="88"/>
    </row>
    <row r="204" spans="5:26" ht="12.5" x14ac:dyDescent="0.25">
      <c r="E204" s="186">
        <f t="shared" si="8"/>
        <v>200</v>
      </c>
      <c r="F204" s="187">
        <f t="shared" si="0"/>
        <v>10</v>
      </c>
      <c r="G204" s="188">
        <f t="shared" si="1"/>
        <v>10.622999999999999</v>
      </c>
      <c r="H204" s="189">
        <f t="shared" si="2"/>
        <v>163.52118655899665</v>
      </c>
      <c r="I204" s="190">
        <f t="shared" si="9"/>
        <v>0.7521974581713845</v>
      </c>
      <c r="J204" s="191">
        <f t="shared" si="10"/>
        <v>18.03958742024772</v>
      </c>
      <c r="K204" s="192" t="b">
        <f t="shared" si="3"/>
        <v>0</v>
      </c>
      <c r="L204" s="193">
        <f t="shared" si="11"/>
        <v>0</v>
      </c>
      <c r="M204" s="194">
        <f t="shared" si="12"/>
        <v>1.457312147564348E-54</v>
      </c>
      <c r="N204" s="194">
        <f t="shared" si="13"/>
        <v>5.2098417380198169E-3</v>
      </c>
      <c r="O204" s="195">
        <f>IF(ABS(U204)&gt;80,$B$7, LOOKUP(V204,'Force mapping'!$B$7:$B$167,'Force mapping'!$J$7:$J$167))</f>
        <v>1106</v>
      </c>
      <c r="P204" s="196">
        <f t="shared" si="4"/>
        <v>0.623</v>
      </c>
      <c r="Q204" s="191">
        <f t="shared" si="5"/>
        <v>1.1637568557654656E-3</v>
      </c>
      <c r="R204" s="197">
        <f>IF(ABS(U204)&gt;80, 0, LOOKUP(V204,'Force mapping'!$B$7:$B$167,'Force mapping'!$I$7:$I$167) * (N204/5) * SIGN(U204))</f>
        <v>2.0014128020776926E-3</v>
      </c>
      <c r="S204" s="198">
        <f t="shared" si="6"/>
        <v>5.8180604711560835E-2</v>
      </c>
      <c r="T204" s="199">
        <f t="shared" si="14"/>
        <v>1.891925098193157</v>
      </c>
      <c r="U204" s="200">
        <f t="shared" si="15"/>
        <v>50.118414263802471</v>
      </c>
      <c r="V204" s="200">
        <f t="shared" si="7"/>
        <v>50</v>
      </c>
      <c r="Y204" s="91"/>
      <c r="Z204" s="88"/>
    </row>
    <row r="205" spans="5:26" ht="12.5" x14ac:dyDescent="0.25">
      <c r="E205" s="186">
        <f t="shared" si="8"/>
        <v>201</v>
      </c>
      <c r="F205" s="187">
        <f t="shared" si="0"/>
        <v>10.050000000000001</v>
      </c>
      <c r="G205" s="188">
        <f t="shared" si="1"/>
        <v>10.673</v>
      </c>
      <c r="H205" s="189">
        <f t="shared" si="2"/>
        <v>163.52118655899665</v>
      </c>
      <c r="I205" s="190">
        <f t="shared" si="9"/>
        <v>0.7521974581713845</v>
      </c>
      <c r="J205" s="191">
        <f t="shared" si="10"/>
        <v>18.03958742024772</v>
      </c>
      <c r="K205" s="192" t="b">
        <f t="shared" si="3"/>
        <v>0</v>
      </c>
      <c r="L205" s="193">
        <f t="shared" si="11"/>
        <v>0</v>
      </c>
      <c r="M205" s="194">
        <f t="shared" si="12"/>
        <v>5.392054945988087E-55</v>
      </c>
      <c r="N205" s="194">
        <f t="shared" si="13"/>
        <v>4.7917163978898154E-3</v>
      </c>
      <c r="O205" s="195">
        <f>IF(ABS(U205)&gt;80,$B$7, LOOKUP(V205,'Force mapping'!$B$7:$B$167,'Force mapping'!$J$7:$J$167))</f>
        <v>1106</v>
      </c>
      <c r="P205" s="196">
        <f t="shared" si="4"/>
        <v>0.623</v>
      </c>
      <c r="Q205" s="191">
        <f t="shared" si="5"/>
        <v>1.0703574291390237E-3</v>
      </c>
      <c r="R205" s="197">
        <f>IF(ABS(U205)&gt;80, 0, LOOKUP(V205,'Force mapping'!$B$7:$B$167,'Force mapping'!$I$7:$I$167) * (N205/5) * SIGN(U205))</f>
        <v>1.8407857714133513E-3</v>
      </c>
      <c r="S205" s="198">
        <f t="shared" si="6"/>
        <v>5.3511214285271842E-2</v>
      </c>
      <c r="T205" s="199">
        <f t="shared" si="14"/>
        <v>1.8919280072233926</v>
      </c>
      <c r="U205" s="200">
        <f t="shared" si="15"/>
        <v>50.023816554377696</v>
      </c>
      <c r="V205" s="200">
        <f t="shared" si="7"/>
        <v>50</v>
      </c>
      <c r="Y205" s="91"/>
      <c r="Z205" s="88"/>
    </row>
    <row r="206" spans="5:26" ht="12.5" x14ac:dyDescent="0.25">
      <c r="E206" s="186">
        <f t="shared" si="8"/>
        <v>202</v>
      </c>
      <c r="F206" s="187">
        <f t="shared" si="0"/>
        <v>10.100000000000001</v>
      </c>
      <c r="G206" s="188">
        <f t="shared" si="1"/>
        <v>10.723000000000001</v>
      </c>
      <c r="H206" s="189">
        <f t="shared" si="2"/>
        <v>163.52118655899665</v>
      </c>
      <c r="I206" s="190">
        <f t="shared" si="9"/>
        <v>0.7521974581713845</v>
      </c>
      <c r="J206" s="191">
        <f t="shared" si="10"/>
        <v>18.03958742024772</v>
      </c>
      <c r="K206" s="192" t="b">
        <f t="shared" si="3"/>
        <v>0</v>
      </c>
      <c r="L206" s="193">
        <f t="shared" si="11"/>
        <v>0</v>
      </c>
      <c r="M206" s="194">
        <f t="shared" si="12"/>
        <v>1.9950603300155922E-55</v>
      </c>
      <c r="N206" s="194">
        <f t="shared" si="13"/>
        <v>4.4071484686851754E-3</v>
      </c>
      <c r="O206" s="195">
        <f>IF(ABS(U206)&gt;80,$B$7, LOOKUP(V206,'Force mapping'!$B$7:$B$167,'Force mapping'!$J$7:$J$167))</f>
        <v>1106</v>
      </c>
      <c r="P206" s="196">
        <f t="shared" si="4"/>
        <v>0.623</v>
      </c>
      <c r="Q206" s="191">
        <f t="shared" si="5"/>
        <v>9.8445394365435077E-4</v>
      </c>
      <c r="R206" s="197">
        <f>IF(ABS(U206)&gt;80, 0, LOOKUP(V206,'Force mapping'!$B$7:$B$167,'Force mapping'!$I$7:$I$167) * (N206/5) * SIGN(U206))</f>
        <v>1.6930501557300968E-3</v>
      </c>
      <c r="S206" s="198">
        <f t="shared" si="6"/>
        <v>4.9216574294479558E-2</v>
      </c>
      <c r="T206" s="199">
        <f t="shared" si="14"/>
        <v>1.8919306827841069</v>
      </c>
      <c r="U206" s="200">
        <f t="shared" si="15"/>
        <v>49.929218816236173</v>
      </c>
      <c r="V206" s="200">
        <f t="shared" si="7"/>
        <v>50</v>
      </c>
      <c r="Y206" s="91"/>
      <c r="Z206" s="88"/>
    </row>
    <row r="207" spans="5:26" ht="12.5" x14ac:dyDescent="0.25">
      <c r="E207" s="186">
        <f t="shared" si="8"/>
        <v>203</v>
      </c>
      <c r="F207" s="187">
        <f t="shared" si="0"/>
        <v>10.15</v>
      </c>
      <c r="G207" s="188">
        <f t="shared" si="1"/>
        <v>10.773</v>
      </c>
      <c r="H207" s="189">
        <f t="shared" si="2"/>
        <v>163.52118655899665</v>
      </c>
      <c r="I207" s="190">
        <f t="shared" si="9"/>
        <v>0.7521974581713845</v>
      </c>
      <c r="J207" s="191">
        <f t="shared" si="10"/>
        <v>18.03958742024772</v>
      </c>
      <c r="K207" s="192" t="b">
        <f t="shared" si="3"/>
        <v>0</v>
      </c>
      <c r="L207" s="193">
        <f t="shared" si="11"/>
        <v>0</v>
      </c>
      <c r="M207" s="194">
        <f t="shared" si="12"/>
        <v>7.3817232210576903E-56</v>
      </c>
      <c r="N207" s="194">
        <f t="shared" si="13"/>
        <v>4.0534447392561882E-3</v>
      </c>
      <c r="O207" s="195">
        <f>IF(ABS(U207)&gt;80,$B$7, LOOKUP(V207,'Force mapping'!$B$7:$B$167,'Force mapping'!$J$7:$J$167))</f>
        <v>1106</v>
      </c>
      <c r="P207" s="196">
        <f t="shared" si="4"/>
        <v>0.623</v>
      </c>
      <c r="Q207" s="191">
        <f t="shared" si="5"/>
        <v>9.0544479889878484E-4</v>
      </c>
      <c r="R207" s="197">
        <f>IF(ABS(U207)&gt;80, 0, LOOKUP(V207,'Force mapping'!$B$7:$B$167,'Force mapping'!$I$7:$I$167) * (N207/5) * SIGN(U207))</f>
        <v>1.5571713310326572E-3</v>
      </c>
      <c r="S207" s="198">
        <f t="shared" si="6"/>
        <v>4.5266608460251663E-2</v>
      </c>
      <c r="T207" s="199">
        <f t="shared" si="14"/>
        <v>1.8919331436128217</v>
      </c>
      <c r="U207" s="200">
        <f t="shared" si="15"/>
        <v>49.83462105168261</v>
      </c>
      <c r="V207" s="200">
        <f t="shared" si="7"/>
        <v>50</v>
      </c>
      <c r="Y207" s="91"/>
      <c r="Z207" s="88"/>
    </row>
    <row r="208" spans="5:26" ht="12.5" x14ac:dyDescent="0.25">
      <c r="E208" s="186">
        <f t="shared" si="8"/>
        <v>204</v>
      </c>
      <c r="F208" s="187">
        <f t="shared" si="0"/>
        <v>10.200000000000001</v>
      </c>
      <c r="G208" s="188">
        <f t="shared" si="1"/>
        <v>10.823</v>
      </c>
      <c r="H208" s="189">
        <f t="shared" si="2"/>
        <v>163.52118655899665</v>
      </c>
      <c r="I208" s="190">
        <f t="shared" si="9"/>
        <v>0.7521974581713845</v>
      </c>
      <c r="J208" s="191">
        <f t="shared" si="10"/>
        <v>18.03958742024772</v>
      </c>
      <c r="K208" s="192" t="b">
        <f t="shared" si="3"/>
        <v>0</v>
      </c>
      <c r="L208" s="193">
        <f t="shared" si="11"/>
        <v>0</v>
      </c>
      <c r="M208" s="194">
        <f t="shared" si="12"/>
        <v>2.7312375917913454E-56</v>
      </c>
      <c r="N208" s="194">
        <f t="shared" si="13"/>
        <v>3.7281281470205388E-3</v>
      </c>
      <c r="O208" s="195">
        <f>IF(ABS(U208)&gt;80,$B$7, LOOKUP(V208,'Force mapping'!$B$7:$B$167,'Force mapping'!$J$7:$J$167))</f>
        <v>1139</v>
      </c>
      <c r="P208" s="196">
        <f t="shared" si="4"/>
        <v>0.623</v>
      </c>
      <c r="Q208" s="191">
        <f t="shared" si="5"/>
        <v>8.3277667699679578E-4</v>
      </c>
      <c r="R208" s="197">
        <f>IF(ABS(U208)&gt;80, 0, LOOKUP(V208,'Force mapping'!$B$7:$B$167,'Force mapping'!$I$7:$I$167) * (N208/5) * SIGN(U208))</f>
        <v>1.4895586886294681E-3</v>
      </c>
      <c r="S208" s="198">
        <f t="shared" si="6"/>
        <v>4.3301124669461281E-2</v>
      </c>
      <c r="T208" s="199">
        <f t="shared" si="14"/>
        <v>1.8919354069432448</v>
      </c>
      <c r="U208" s="200">
        <f t="shared" si="15"/>
        <v>49.740023262836758</v>
      </c>
      <c r="V208" s="200">
        <f t="shared" si="7"/>
        <v>49.5</v>
      </c>
      <c r="Y208" s="91"/>
      <c r="Z208" s="88"/>
    </row>
    <row r="209" spans="5:26" ht="12.5" x14ac:dyDescent="0.25">
      <c r="E209" s="186">
        <f t="shared" si="8"/>
        <v>205</v>
      </c>
      <c r="F209" s="187">
        <f t="shared" si="0"/>
        <v>10.25</v>
      </c>
      <c r="G209" s="188">
        <f t="shared" si="1"/>
        <v>10.872999999999999</v>
      </c>
      <c r="H209" s="189">
        <f t="shared" si="2"/>
        <v>163.52118655899665</v>
      </c>
      <c r="I209" s="190">
        <f t="shared" si="9"/>
        <v>0.7521974581713845</v>
      </c>
      <c r="J209" s="191">
        <f t="shared" si="10"/>
        <v>18.03958742024772</v>
      </c>
      <c r="K209" s="192" t="b">
        <f t="shared" si="3"/>
        <v>0</v>
      </c>
      <c r="L209" s="193">
        <f t="shared" si="11"/>
        <v>0</v>
      </c>
      <c r="M209" s="194">
        <f t="shared" si="12"/>
        <v>1.0105579089627977E-56</v>
      </c>
      <c r="N209" s="194">
        <f t="shared" si="13"/>
        <v>3.4289204305662417E-3</v>
      </c>
      <c r="O209" s="195">
        <f>IF(ABS(U209)&gt;80,$B$7, LOOKUP(V209,'Force mapping'!$B$7:$B$167,'Force mapping'!$J$7:$J$167))</f>
        <v>1139</v>
      </c>
      <c r="P209" s="196">
        <f t="shared" si="4"/>
        <v>0.623</v>
      </c>
      <c r="Q209" s="191">
        <f t="shared" si="5"/>
        <v>7.6594066760700462E-4</v>
      </c>
      <c r="R209" s="197">
        <f>IF(ABS(U209)&gt;80, 0, LOOKUP(V209,'Force mapping'!$B$7:$B$167,'Force mapping'!$I$7:$I$167) * (N209/5) * SIGN(U209))</f>
        <v>1.3700114423510193E-3</v>
      </c>
      <c r="S209" s="198">
        <f t="shared" si="6"/>
        <v>3.9825914021831957E-2</v>
      </c>
      <c r="T209" s="199">
        <f t="shared" si="14"/>
        <v>1.8919375719994782</v>
      </c>
      <c r="U209" s="200">
        <f t="shared" si="15"/>
        <v>49.645425409961476</v>
      </c>
      <c r="V209" s="200">
        <f t="shared" si="7"/>
        <v>49.5</v>
      </c>
      <c r="Y209" s="91"/>
      <c r="Z209" s="88"/>
    </row>
    <row r="210" spans="5:26" ht="12.5" x14ac:dyDescent="0.25">
      <c r="E210" s="186">
        <f t="shared" si="8"/>
        <v>206</v>
      </c>
      <c r="F210" s="187">
        <f t="shared" si="0"/>
        <v>10.3</v>
      </c>
      <c r="G210" s="188">
        <f t="shared" si="1"/>
        <v>10.923</v>
      </c>
      <c r="H210" s="189">
        <f t="shared" si="2"/>
        <v>163.52118655899665</v>
      </c>
      <c r="I210" s="190">
        <f t="shared" si="9"/>
        <v>0.7521974581713845</v>
      </c>
      <c r="J210" s="191">
        <f t="shared" si="10"/>
        <v>18.03958742024772</v>
      </c>
      <c r="K210" s="192" t="b">
        <f t="shared" si="3"/>
        <v>0</v>
      </c>
      <c r="L210" s="193">
        <f t="shared" si="11"/>
        <v>0</v>
      </c>
      <c r="M210" s="194">
        <f t="shared" si="12"/>
        <v>3.7390642631623509E-57</v>
      </c>
      <c r="N210" s="194">
        <f t="shared" si="13"/>
        <v>3.1537261745015351E-3</v>
      </c>
      <c r="O210" s="195">
        <f>IF(ABS(U210)&gt;80,$B$7, LOOKUP(V210,'Force mapping'!$B$7:$B$167,'Force mapping'!$J$7:$J$167))</f>
        <v>1139</v>
      </c>
      <c r="P210" s="196">
        <f t="shared" si="4"/>
        <v>0.623</v>
      </c>
      <c r="Q210" s="191">
        <f t="shared" si="5"/>
        <v>7.044687039146286E-4</v>
      </c>
      <c r="R210" s="197">
        <f>IF(ABS(U210)&gt;80, 0, LOOKUP(V210,'Force mapping'!$B$7:$B$167,'Force mapping'!$I$7:$I$167) * (N210/5) * SIGN(U210))</f>
        <v>1.2600586781173902E-3</v>
      </c>
      <c r="S210" s="198">
        <f t="shared" si="6"/>
        <v>3.6629612735970644E-2</v>
      </c>
      <c r="T210" s="199">
        <f t="shared" si="14"/>
        <v>1.8919395632951792</v>
      </c>
      <c r="U210" s="200">
        <f t="shared" si="15"/>
        <v>49.550827535713651</v>
      </c>
      <c r="V210" s="200">
        <f t="shared" si="7"/>
        <v>49.5</v>
      </c>
      <c r="Y210" s="91"/>
      <c r="Z210" s="88"/>
    </row>
    <row r="211" spans="5:26" ht="12.5" x14ac:dyDescent="0.25">
      <c r="E211" s="186">
        <f t="shared" si="8"/>
        <v>207</v>
      </c>
      <c r="F211" s="187">
        <f t="shared" si="0"/>
        <v>10.350000000000001</v>
      </c>
      <c r="G211" s="188">
        <f t="shared" si="1"/>
        <v>10.973000000000001</v>
      </c>
      <c r="H211" s="189">
        <f t="shared" si="2"/>
        <v>163.52118655899665</v>
      </c>
      <c r="I211" s="190">
        <f t="shared" si="9"/>
        <v>0.7521974581713845</v>
      </c>
      <c r="J211" s="191">
        <f t="shared" si="10"/>
        <v>18.03958742024772</v>
      </c>
      <c r="K211" s="192" t="b">
        <f t="shared" si="3"/>
        <v>0</v>
      </c>
      <c r="L211" s="193">
        <f t="shared" si="11"/>
        <v>0</v>
      </c>
      <c r="M211" s="194">
        <f t="shared" si="12"/>
        <v>1.3834537773700697E-57</v>
      </c>
      <c r="N211" s="194">
        <f t="shared" si="13"/>
        <v>2.9006181348144133E-3</v>
      </c>
      <c r="O211" s="195">
        <f>IF(ABS(U211)&gt;80,$B$7, LOOKUP(V211,'Force mapping'!$B$7:$B$167,'Force mapping'!$J$7:$J$167))</f>
        <v>1139</v>
      </c>
      <c r="P211" s="196">
        <f t="shared" si="4"/>
        <v>0.623</v>
      </c>
      <c r="Q211" s="191">
        <f t="shared" si="5"/>
        <v>6.4793028465984291E-4</v>
      </c>
      <c r="R211" s="197">
        <f>IF(ABS(U211)&gt;80, 0, LOOKUP(V211,'Force mapping'!$B$7:$B$167,'Force mapping'!$I$7:$I$167) * (N211/5) * SIGN(U211))</f>
        <v>1.1589303732925595E-3</v>
      </c>
      <c r="S211" s="198">
        <f t="shared" si="6"/>
        <v>3.368983643292324E-2</v>
      </c>
      <c r="T211" s="199">
        <f t="shared" si="14"/>
        <v>1.8919413947758159</v>
      </c>
      <c r="U211" s="200">
        <f t="shared" si="15"/>
        <v>49.456229641808577</v>
      </c>
      <c r="V211" s="200">
        <f t="shared" si="7"/>
        <v>49.5</v>
      </c>
      <c r="Y211" s="91"/>
      <c r="Z211" s="88"/>
    </row>
    <row r="212" spans="5:26" ht="12.5" x14ac:dyDescent="0.25">
      <c r="E212" s="186">
        <f t="shared" si="8"/>
        <v>208</v>
      </c>
      <c r="F212" s="187">
        <f t="shared" si="0"/>
        <v>10.4</v>
      </c>
      <c r="G212" s="188">
        <f t="shared" si="1"/>
        <v>11.023</v>
      </c>
      <c r="H212" s="189">
        <f t="shared" si="2"/>
        <v>163.52118655899665</v>
      </c>
      <c r="I212" s="190">
        <f t="shared" si="9"/>
        <v>0.7521974581713845</v>
      </c>
      <c r="J212" s="191">
        <f t="shared" si="10"/>
        <v>18.03958742024772</v>
      </c>
      <c r="K212" s="192" t="b">
        <f t="shared" si="3"/>
        <v>0</v>
      </c>
      <c r="L212" s="193">
        <f t="shared" si="11"/>
        <v>0</v>
      </c>
      <c r="M212" s="194">
        <f t="shared" si="12"/>
        <v>5.1187789762692571E-58</v>
      </c>
      <c r="N212" s="194">
        <f t="shared" si="13"/>
        <v>2.6678237419721649E-3</v>
      </c>
      <c r="O212" s="195">
        <f>IF(ABS(U212)&gt;80,$B$7, LOOKUP(V212,'Force mapping'!$B$7:$B$167,'Force mapping'!$J$7:$J$167))</f>
        <v>1139</v>
      </c>
      <c r="P212" s="196">
        <f t="shared" si="4"/>
        <v>0.623</v>
      </c>
      <c r="Q212" s="191">
        <f t="shared" si="5"/>
        <v>5.9592945924573034E-4</v>
      </c>
      <c r="R212" s="197">
        <f>IF(ABS(U212)&gt;80, 0, LOOKUP(V212,'Force mapping'!$B$7:$B$167,'Force mapping'!$I$7:$I$167) * (N212/5) * SIGN(U212))</f>
        <v>1.0659183048100105E-3</v>
      </c>
      <c r="S212" s="198">
        <f t="shared" si="6"/>
        <v>3.0985997232849141E-2</v>
      </c>
      <c r="T212" s="199">
        <f t="shared" si="14"/>
        <v>1.8919430792676375</v>
      </c>
      <c r="U212" s="200">
        <f t="shared" si="15"/>
        <v>49.361631729823877</v>
      </c>
      <c r="V212" s="200">
        <f t="shared" si="7"/>
        <v>49.5</v>
      </c>
      <c r="Y212" s="91"/>
      <c r="Z212" s="88"/>
    </row>
    <row r="213" spans="5:26" ht="12.5" x14ac:dyDescent="0.25">
      <c r="E213" s="186">
        <f t="shared" si="8"/>
        <v>209</v>
      </c>
      <c r="F213" s="187">
        <f t="shared" si="0"/>
        <v>10.450000000000001</v>
      </c>
      <c r="G213" s="188">
        <f t="shared" si="1"/>
        <v>11.073</v>
      </c>
      <c r="H213" s="189">
        <f t="shared" si="2"/>
        <v>163.52118655899665</v>
      </c>
      <c r="I213" s="190">
        <f t="shared" si="9"/>
        <v>0.7521974581713845</v>
      </c>
      <c r="J213" s="191">
        <f t="shared" si="10"/>
        <v>18.03958742024772</v>
      </c>
      <c r="K213" s="192" t="b">
        <f t="shared" si="3"/>
        <v>0</v>
      </c>
      <c r="L213" s="193">
        <f t="shared" si="11"/>
        <v>0</v>
      </c>
      <c r="M213" s="194">
        <f t="shared" si="12"/>
        <v>1.8939482212196248E-58</v>
      </c>
      <c r="N213" s="194">
        <f t="shared" si="13"/>
        <v>2.4537126872392462E-3</v>
      </c>
      <c r="O213" s="195">
        <f>IF(ABS(U213)&gt;80,$B$7, LOOKUP(V213,'Force mapping'!$B$7:$B$167,'Force mapping'!$J$7:$J$167))</f>
        <v>1139</v>
      </c>
      <c r="P213" s="196">
        <f t="shared" si="4"/>
        <v>0.623</v>
      </c>
      <c r="Q213" s="191">
        <f t="shared" si="5"/>
        <v>5.4810205481188351E-4</v>
      </c>
      <c r="R213" s="197">
        <f>IF(ABS(U213)&gt;80, 0, LOOKUP(V213,'Force mapping'!$B$7:$B$167,'Force mapping'!$I$7:$I$167) * (N213/5) * SIGN(U213))</f>
        <v>9.8037108933569169E-4</v>
      </c>
      <c r="S213" s="198">
        <f t="shared" si="6"/>
        <v>2.8499159573711966E-2</v>
      </c>
      <c r="T213" s="199">
        <f t="shared" si="14"/>
        <v>1.8919446285674992</v>
      </c>
      <c r="U213" s="200">
        <f t="shared" si="15"/>
        <v>49.267033801210566</v>
      </c>
      <c r="V213" s="200">
        <f t="shared" si="7"/>
        <v>49.5</v>
      </c>
      <c r="Y213" s="91"/>
      <c r="Z213" s="88"/>
    </row>
    <row r="214" spans="5:26" ht="12.5" x14ac:dyDescent="0.25">
      <c r="E214" s="186">
        <f t="shared" si="8"/>
        <v>210</v>
      </c>
      <c r="F214" s="187">
        <f t="shared" si="0"/>
        <v>10.5</v>
      </c>
      <c r="G214" s="188">
        <f t="shared" si="1"/>
        <v>11.122999999999999</v>
      </c>
      <c r="H214" s="189">
        <f t="shared" si="2"/>
        <v>163.52118655899665</v>
      </c>
      <c r="I214" s="190">
        <f t="shared" si="9"/>
        <v>0.7521974581713845</v>
      </c>
      <c r="J214" s="191">
        <f t="shared" si="10"/>
        <v>18.03958742024772</v>
      </c>
      <c r="K214" s="192" t="b">
        <f t="shared" si="3"/>
        <v>0</v>
      </c>
      <c r="L214" s="193">
        <f t="shared" si="11"/>
        <v>0</v>
      </c>
      <c r="M214" s="194">
        <f t="shared" si="12"/>
        <v>7.0076084185126113E-59</v>
      </c>
      <c r="N214" s="194">
        <f t="shared" si="13"/>
        <v>2.2567855052778299E-3</v>
      </c>
      <c r="O214" s="195">
        <f>IF(ABS(U214)&gt;80,$B$7, LOOKUP(V214,'Force mapping'!$B$7:$B$167,'Force mapping'!$J$7:$J$167))</f>
        <v>1172</v>
      </c>
      <c r="P214" s="196">
        <f t="shared" si="4"/>
        <v>0.623</v>
      </c>
      <c r="Q214" s="191">
        <f t="shared" si="5"/>
        <v>5.0411312585426846E-4</v>
      </c>
      <c r="R214" s="197">
        <f>IF(ABS(U214)&gt;80, 0, LOOKUP(V214,'Force mapping'!$B$7:$B$167,'Force mapping'!$I$7:$I$167) * (N214/5) * SIGN(U214))</f>
        <v>9.3641252327594045E-4</v>
      </c>
      <c r="S214" s="198">
        <f t="shared" si="6"/>
        <v>2.7221294281277338E-2</v>
      </c>
      <c r="T214" s="199">
        <f t="shared" si="14"/>
        <v>1.891946053525478</v>
      </c>
      <c r="U214" s="200">
        <f t="shared" si="15"/>
        <v>49.172435857303199</v>
      </c>
      <c r="V214" s="200">
        <f t="shared" si="7"/>
        <v>49</v>
      </c>
      <c r="Y214" s="91"/>
      <c r="Z214" s="88"/>
    </row>
    <row r="215" spans="5:26" ht="12.5" x14ac:dyDescent="0.25">
      <c r="E215" s="186">
        <f t="shared" si="8"/>
        <v>211</v>
      </c>
      <c r="F215" s="187">
        <f t="shared" si="0"/>
        <v>10.55</v>
      </c>
      <c r="G215" s="188">
        <f t="shared" si="1"/>
        <v>11.173</v>
      </c>
      <c r="H215" s="189">
        <f t="shared" si="2"/>
        <v>163.52118655899665</v>
      </c>
      <c r="I215" s="190">
        <f t="shared" si="9"/>
        <v>0.7521974581713845</v>
      </c>
      <c r="J215" s="191">
        <f t="shared" si="10"/>
        <v>18.03958742024772</v>
      </c>
      <c r="K215" s="192" t="b">
        <f t="shared" si="3"/>
        <v>0</v>
      </c>
      <c r="L215" s="193">
        <f t="shared" si="11"/>
        <v>0</v>
      </c>
      <c r="M215" s="194">
        <f t="shared" si="12"/>
        <v>2.5928151148496664E-59</v>
      </c>
      <c r="N215" s="194">
        <f t="shared" si="13"/>
        <v>2.0756630730725464E-3</v>
      </c>
      <c r="O215" s="195">
        <f>IF(ABS(U215)&gt;80,$B$7, LOOKUP(V215,'Force mapping'!$B$7:$B$167,'Force mapping'!$J$7:$J$167))</f>
        <v>1172</v>
      </c>
      <c r="P215" s="196">
        <f t="shared" si="4"/>
        <v>0.623</v>
      </c>
      <c r="Q215" s="191">
        <f t="shared" si="5"/>
        <v>4.6365460853049089E-4</v>
      </c>
      <c r="R215" s="197">
        <f>IF(ABS(U215)&gt;80, 0, LOOKUP(V215,'Force mapping'!$B$7:$B$167,'Force mapping'!$I$7:$I$167) * (N215/5) * SIGN(U215))</f>
        <v>8.6125903023613767E-4</v>
      </c>
      <c r="S215" s="198">
        <f t="shared" si="6"/>
        <v>2.5036599716166792E-2</v>
      </c>
      <c r="T215" s="199">
        <f t="shared" si="14"/>
        <v>1.891947414590192</v>
      </c>
      <c r="U215" s="200">
        <f t="shared" si="15"/>
        <v>49.07783787409457</v>
      </c>
      <c r="V215" s="200">
        <f t="shared" si="7"/>
        <v>49</v>
      </c>
      <c r="Y215" s="91"/>
      <c r="Z215" s="88"/>
    </row>
    <row r="216" spans="5:26" ht="12.5" x14ac:dyDescent="0.25">
      <c r="E216" s="186">
        <f t="shared" si="8"/>
        <v>212</v>
      </c>
      <c r="F216" s="187">
        <f t="shared" si="0"/>
        <v>10.600000000000001</v>
      </c>
      <c r="G216" s="188">
        <f t="shared" si="1"/>
        <v>11.223000000000001</v>
      </c>
      <c r="H216" s="189">
        <f t="shared" si="2"/>
        <v>163.52118655899665</v>
      </c>
      <c r="I216" s="190">
        <f t="shared" si="9"/>
        <v>0.7521974581713845</v>
      </c>
      <c r="J216" s="191">
        <f t="shared" si="10"/>
        <v>18.03958742024772</v>
      </c>
      <c r="K216" s="192" t="b">
        <f t="shared" si="3"/>
        <v>0</v>
      </c>
      <c r="L216" s="193">
        <f t="shared" si="11"/>
        <v>0</v>
      </c>
      <c r="M216" s="194">
        <f t="shared" si="12"/>
        <v>9.5934159249437658E-60</v>
      </c>
      <c r="N216" s="194">
        <f t="shared" si="13"/>
        <v>1.9090769516381524E-3</v>
      </c>
      <c r="O216" s="195">
        <f>IF(ABS(U216)&gt;80,$B$7, LOOKUP(V216,'Force mapping'!$B$7:$B$167,'Force mapping'!$J$7:$J$167))</f>
        <v>1172</v>
      </c>
      <c r="P216" s="196">
        <f t="shared" si="4"/>
        <v>0.623</v>
      </c>
      <c r="Q216" s="191">
        <f t="shared" si="5"/>
        <v>4.264431632230678E-4</v>
      </c>
      <c r="R216" s="197">
        <f>IF(ABS(U216)&gt;80, 0, LOOKUP(V216,'Force mapping'!$B$7:$B$167,'Force mapping'!$I$7:$I$167) * (N216/5) * SIGN(U216))</f>
        <v>7.9213711769712174E-4</v>
      </c>
      <c r="S216" s="198">
        <f t="shared" si="6"/>
        <v>2.3027241793520982E-2</v>
      </c>
      <c r="T216" s="199">
        <f t="shared" si="14"/>
        <v>1.8919486664201779</v>
      </c>
      <c r="U216" s="200">
        <f t="shared" si="15"/>
        <v>48.983239877450067</v>
      </c>
      <c r="V216" s="200">
        <f t="shared" si="7"/>
        <v>49</v>
      </c>
      <c r="Y216" s="91"/>
      <c r="Z216" s="88"/>
    </row>
    <row r="217" spans="5:26" ht="12.5" x14ac:dyDescent="0.25">
      <c r="E217" s="186">
        <f t="shared" si="8"/>
        <v>213</v>
      </c>
      <c r="F217" s="187">
        <f t="shared" si="0"/>
        <v>10.65</v>
      </c>
      <c r="G217" s="188">
        <f t="shared" si="1"/>
        <v>11.273</v>
      </c>
      <c r="H217" s="189">
        <f t="shared" si="2"/>
        <v>163.52118655899665</v>
      </c>
      <c r="I217" s="190">
        <f t="shared" si="9"/>
        <v>0.7521974581713845</v>
      </c>
      <c r="J217" s="191">
        <f t="shared" si="10"/>
        <v>18.03958742024772</v>
      </c>
      <c r="K217" s="192" t="b">
        <f t="shared" si="3"/>
        <v>0</v>
      </c>
      <c r="L217" s="193">
        <f t="shared" si="11"/>
        <v>0</v>
      </c>
      <c r="M217" s="194">
        <f t="shared" si="12"/>
        <v>3.5495638922291937E-60</v>
      </c>
      <c r="N217" s="194">
        <f t="shared" si="13"/>
        <v>1.7558605028710453E-3</v>
      </c>
      <c r="O217" s="195">
        <f>IF(ABS(U217)&gt;80,$B$7, LOOKUP(V217,'Force mapping'!$B$7:$B$167,'Force mapping'!$J$7:$J$167))</f>
        <v>1172</v>
      </c>
      <c r="P217" s="196">
        <f t="shared" si="4"/>
        <v>0.623</v>
      </c>
      <c r="Q217" s="191">
        <f t="shared" si="5"/>
        <v>3.9221819025171402E-4</v>
      </c>
      <c r="R217" s="197">
        <f>IF(ABS(U217)&gt;80, 0, LOOKUP(V217,'Force mapping'!$B$7:$B$167,'Force mapping'!$I$7:$I$167) * (N217/5) * SIGN(U217))</f>
        <v>7.2856271017728849E-4</v>
      </c>
      <c r="S217" s="198">
        <f t="shared" si="6"/>
        <v>2.1179148551665365E-2</v>
      </c>
      <c r="T217" s="199">
        <f t="shared" si="14"/>
        <v>1.8919498177822676</v>
      </c>
      <c r="U217" s="200">
        <f t="shared" si="15"/>
        <v>48.888641868448012</v>
      </c>
      <c r="V217" s="200">
        <f t="shared" si="7"/>
        <v>49</v>
      </c>
      <c r="Y217" s="91"/>
      <c r="Z217" s="88"/>
    </row>
    <row r="218" spans="5:26" ht="12.5" x14ac:dyDescent="0.25">
      <c r="E218" s="186">
        <f t="shared" si="8"/>
        <v>214</v>
      </c>
      <c r="F218" s="187">
        <f t="shared" si="0"/>
        <v>10.700000000000001</v>
      </c>
      <c r="G218" s="188">
        <f t="shared" si="1"/>
        <v>11.323</v>
      </c>
      <c r="H218" s="189">
        <f t="shared" si="2"/>
        <v>163.52118655899665</v>
      </c>
      <c r="I218" s="190">
        <f t="shared" si="9"/>
        <v>0.7521974581713845</v>
      </c>
      <c r="J218" s="191">
        <f t="shared" si="10"/>
        <v>18.03958742024772</v>
      </c>
      <c r="K218" s="192" t="b">
        <f t="shared" si="3"/>
        <v>0</v>
      </c>
      <c r="L218" s="193">
        <f t="shared" si="11"/>
        <v>0</v>
      </c>
      <c r="M218" s="194">
        <f t="shared" si="12"/>
        <v>1.3133386401248016E-60</v>
      </c>
      <c r="N218" s="194">
        <f t="shared" si="13"/>
        <v>1.6149407193340431E-3</v>
      </c>
      <c r="O218" s="195">
        <f>IF(ABS(U218)&gt;80,$B$7, LOOKUP(V218,'Force mapping'!$B$7:$B$167,'Force mapping'!$J$7:$J$167))</f>
        <v>1172</v>
      </c>
      <c r="P218" s="196">
        <f t="shared" si="4"/>
        <v>0.623</v>
      </c>
      <c r="Q218" s="191">
        <f t="shared" si="5"/>
        <v>3.6074000483825373E-4</v>
      </c>
      <c r="R218" s="197">
        <f>IF(ABS(U218)&gt;80, 0, LOOKUP(V218,'Force mapping'!$B$7:$B$167,'Force mapping'!$I$7:$I$167) * (N218/5) * SIGN(U218))</f>
        <v>6.7009058255471305E-4</v>
      </c>
      <c r="S218" s="198">
        <f t="shared" si="6"/>
        <v>1.9479377399846308E-2</v>
      </c>
      <c r="T218" s="199">
        <f t="shared" si="14"/>
        <v>1.8919508767396951</v>
      </c>
      <c r="U218" s="200">
        <f t="shared" si="15"/>
        <v>48.794043848080186</v>
      </c>
      <c r="V218" s="200">
        <f t="shared" si="7"/>
        <v>49</v>
      </c>
      <c r="Y218" s="91"/>
      <c r="Z218" s="88"/>
    </row>
    <row r="219" spans="5:26" ht="12.5" x14ac:dyDescent="0.25">
      <c r="E219" s="186">
        <f t="shared" si="8"/>
        <v>215</v>
      </c>
      <c r="F219" s="187">
        <f t="shared" si="0"/>
        <v>10.75</v>
      </c>
      <c r="G219" s="188">
        <f t="shared" si="1"/>
        <v>11.372999999999999</v>
      </c>
      <c r="H219" s="189">
        <f t="shared" si="2"/>
        <v>163.52118655899665</v>
      </c>
      <c r="I219" s="190">
        <f t="shared" si="9"/>
        <v>0.7521974581713845</v>
      </c>
      <c r="J219" s="191">
        <f t="shared" si="10"/>
        <v>18.03958742024772</v>
      </c>
      <c r="K219" s="192" t="b">
        <f t="shared" si="3"/>
        <v>0</v>
      </c>
      <c r="L219" s="193">
        <f t="shared" si="11"/>
        <v>0</v>
      </c>
      <c r="M219" s="194">
        <f t="shared" si="12"/>
        <v>4.8593529684617653E-61</v>
      </c>
      <c r="N219" s="194">
        <f t="shared" si="13"/>
        <v>1.4853307097566718E-3</v>
      </c>
      <c r="O219" s="195">
        <f>IF(ABS(U219)&gt;80,$B$7, LOOKUP(V219,'Force mapping'!$B$7:$B$167,'Force mapping'!$J$7:$J$167))</f>
        <v>1207</v>
      </c>
      <c r="P219" s="196">
        <f t="shared" si="4"/>
        <v>0.623</v>
      </c>
      <c r="Q219" s="191">
        <f t="shared" si="5"/>
        <v>3.3178815854304877E-4</v>
      </c>
      <c r="R219" s="197">
        <f>IF(ABS(U219)&gt;80, 0, LOOKUP(V219,'Force mapping'!$B$7:$B$167,'Force mapping'!$I$7:$I$167) * (N219/5) * SIGN(U219))</f>
        <v>6.3770891626550993E-4</v>
      </c>
      <c r="S219" s="198">
        <f t="shared" si="6"/>
        <v>1.8538049891439243E-2</v>
      </c>
      <c r="T219" s="199">
        <f t="shared" si="14"/>
        <v>1.8919518507085651</v>
      </c>
      <c r="U219" s="200">
        <f t="shared" si="15"/>
        <v>48.699445817258763</v>
      </c>
      <c r="V219" s="200">
        <f t="shared" si="7"/>
        <v>48.5</v>
      </c>
      <c r="Y219" s="91"/>
      <c r="Z219" s="88"/>
    </row>
    <row r="220" spans="5:26" ht="12.5" x14ac:dyDescent="0.25">
      <c r="E220" s="186">
        <f t="shared" si="8"/>
        <v>216</v>
      </c>
      <c r="F220" s="187">
        <f t="shared" si="0"/>
        <v>10.8</v>
      </c>
      <c r="G220" s="188">
        <f t="shared" si="1"/>
        <v>11.423</v>
      </c>
      <c r="H220" s="189">
        <f t="shared" si="2"/>
        <v>163.52118655899665</v>
      </c>
      <c r="I220" s="190">
        <f t="shared" si="9"/>
        <v>0.7521974581713845</v>
      </c>
      <c r="J220" s="191">
        <f t="shared" si="10"/>
        <v>18.03958742024772</v>
      </c>
      <c r="K220" s="192" t="b">
        <f t="shared" si="3"/>
        <v>0</v>
      </c>
      <c r="L220" s="193">
        <f t="shared" si="11"/>
        <v>0</v>
      </c>
      <c r="M220" s="194">
        <f t="shared" si="12"/>
        <v>1.7979605983308531E-61</v>
      </c>
      <c r="N220" s="194">
        <f t="shared" si="13"/>
        <v>1.3661227876253176E-3</v>
      </c>
      <c r="O220" s="195">
        <f>IF(ABS(U220)&gt;80,$B$7, LOOKUP(V220,'Force mapping'!$B$7:$B$167,'Force mapping'!$J$7:$J$167))</f>
        <v>1207</v>
      </c>
      <c r="P220" s="196">
        <f t="shared" si="4"/>
        <v>0.623</v>
      </c>
      <c r="Q220" s="191">
        <f t="shared" si="5"/>
        <v>3.051598954176034E-4</v>
      </c>
      <c r="R220" s="197">
        <f>IF(ABS(U220)&gt;80, 0, LOOKUP(V220,'Force mapping'!$B$7:$B$167,'Force mapping'!$I$7:$I$167) * (N220/5) * SIGN(U220))</f>
        <v>5.8652842539347848E-4</v>
      </c>
      <c r="S220" s="198">
        <f t="shared" si="6"/>
        <v>1.7050244924229026E-2</v>
      </c>
      <c r="T220" s="199">
        <f t="shared" si="14"/>
        <v>1.8919527776110596</v>
      </c>
      <c r="U220" s="200">
        <f t="shared" si="15"/>
        <v>48.60484776127209</v>
      </c>
      <c r="V220" s="200">
        <f t="shared" si="7"/>
        <v>48.5</v>
      </c>
      <c r="Y220" s="91"/>
      <c r="Z220" s="88"/>
    </row>
    <row r="221" spans="5:26" ht="12.5" x14ac:dyDescent="0.25">
      <c r="E221" s="186">
        <f t="shared" si="8"/>
        <v>217</v>
      </c>
      <c r="F221" s="187">
        <f t="shared" si="0"/>
        <v>10.850000000000001</v>
      </c>
      <c r="G221" s="188">
        <f t="shared" si="1"/>
        <v>11.473000000000001</v>
      </c>
      <c r="H221" s="189">
        <f t="shared" si="2"/>
        <v>163.52118655899665</v>
      </c>
      <c r="I221" s="190">
        <f t="shared" si="9"/>
        <v>0.7521974581713845</v>
      </c>
      <c r="J221" s="191">
        <f t="shared" si="10"/>
        <v>18.03958742024772</v>
      </c>
      <c r="K221" s="192" t="b">
        <f t="shared" si="3"/>
        <v>0</v>
      </c>
      <c r="L221" s="193">
        <f t="shared" si="11"/>
        <v>0</v>
      </c>
      <c r="M221" s="194">
        <f t="shared" si="12"/>
        <v>6.6524542138241558E-62</v>
      </c>
      <c r="N221" s="194">
        <f t="shared" si="13"/>
        <v>1.2564821144611668E-3</v>
      </c>
      <c r="O221" s="195">
        <f>IF(ABS(U221)&gt;80,$B$7, LOOKUP(V221,'Force mapping'!$B$7:$B$167,'Force mapping'!$J$7:$J$167))</f>
        <v>1207</v>
      </c>
      <c r="P221" s="196">
        <f t="shared" si="4"/>
        <v>0.623</v>
      </c>
      <c r="Q221" s="191">
        <f t="shared" si="5"/>
        <v>2.8066873206145543E-4</v>
      </c>
      <c r="R221" s="197">
        <f>IF(ABS(U221)&gt;80, 0, LOOKUP(V221,'Force mapping'!$B$7:$B$167,'Force mapping'!$I$7:$I$167) * (N221/5) * SIGN(U221))</f>
        <v>5.3945551805852836E-4</v>
      </c>
      <c r="S221" s="198">
        <f t="shared" si="6"/>
        <v>1.5681846455189778E-2</v>
      </c>
      <c r="T221" s="199">
        <f t="shared" si="14"/>
        <v>1.8919536301233058</v>
      </c>
      <c r="U221" s="200">
        <f t="shared" si="15"/>
        <v>48.510249696135411</v>
      </c>
      <c r="V221" s="200">
        <f t="shared" si="7"/>
        <v>48.5</v>
      </c>
      <c r="Y221" s="91"/>
      <c r="Z221" s="88"/>
    </row>
    <row r="222" spans="5:26" ht="12.5" x14ac:dyDescent="0.25">
      <c r="E222" s="186">
        <f t="shared" si="8"/>
        <v>218</v>
      </c>
      <c r="F222" s="187">
        <f t="shared" si="0"/>
        <v>10.9</v>
      </c>
      <c r="G222" s="188">
        <f t="shared" si="1"/>
        <v>11.523</v>
      </c>
      <c r="H222" s="189">
        <f t="shared" si="2"/>
        <v>163.52118655899665</v>
      </c>
      <c r="I222" s="190">
        <f t="shared" si="9"/>
        <v>0.7521974581713845</v>
      </c>
      <c r="J222" s="191">
        <f t="shared" si="10"/>
        <v>18.03958742024772</v>
      </c>
      <c r="K222" s="192" t="b">
        <f t="shared" si="3"/>
        <v>0</v>
      </c>
      <c r="L222" s="193">
        <f t="shared" si="11"/>
        <v>0</v>
      </c>
      <c r="M222" s="194">
        <f t="shared" si="12"/>
        <v>2.4614080591149375E-62</v>
      </c>
      <c r="N222" s="194">
        <f t="shared" si="13"/>
        <v>1.1556408532684566E-3</v>
      </c>
      <c r="O222" s="195">
        <f>IF(ABS(U222)&gt;80,$B$7, LOOKUP(V222,'Force mapping'!$B$7:$B$167,'Force mapping'!$J$7:$J$167))</f>
        <v>1207</v>
      </c>
      <c r="P222" s="196">
        <f t="shared" si="4"/>
        <v>0.623</v>
      </c>
      <c r="Q222" s="191">
        <f t="shared" si="5"/>
        <v>2.5814315163918771E-4</v>
      </c>
      <c r="R222" s="197">
        <f>IF(ABS(U222)&gt;80, 0, LOOKUP(V222,'Force mapping'!$B$7:$B$167,'Force mapping'!$I$7:$I$167) * (N222/5) * SIGN(U222))</f>
        <v>4.9616053266057249E-4</v>
      </c>
      <c r="S222" s="198">
        <f t="shared" si="6"/>
        <v>1.4423271298272457E-2</v>
      </c>
      <c r="T222" s="199">
        <f t="shared" si="14"/>
        <v>1.8919544142156286</v>
      </c>
      <c r="U222" s="200">
        <f t="shared" si="15"/>
        <v>48.415651622583084</v>
      </c>
      <c r="V222" s="200">
        <f t="shared" si="7"/>
        <v>48.5</v>
      </c>
      <c r="Y222" s="91"/>
      <c r="Z222" s="88"/>
    </row>
    <row r="223" spans="5:26" ht="12.5" x14ac:dyDescent="0.25">
      <c r="E223" s="186">
        <f t="shared" si="8"/>
        <v>219</v>
      </c>
      <c r="F223" s="187">
        <f t="shared" si="0"/>
        <v>10.950000000000001</v>
      </c>
      <c r="G223" s="188">
        <f t="shared" si="1"/>
        <v>11.573</v>
      </c>
      <c r="H223" s="189">
        <f t="shared" si="2"/>
        <v>163.52118655899665</v>
      </c>
      <c r="I223" s="190">
        <f t="shared" si="9"/>
        <v>0.7521974581713845</v>
      </c>
      <c r="J223" s="191">
        <f t="shared" si="10"/>
        <v>18.03958742024772</v>
      </c>
      <c r="K223" s="192" t="b">
        <f t="shared" si="3"/>
        <v>0</v>
      </c>
      <c r="L223" s="193">
        <f t="shared" si="11"/>
        <v>0</v>
      </c>
      <c r="M223" s="194">
        <f t="shared" si="12"/>
        <v>9.1072098187252681E-63</v>
      </c>
      <c r="N223" s="194">
        <f t="shared" si="13"/>
        <v>1.0628927912083878E-3</v>
      </c>
      <c r="O223" s="195">
        <f>IF(ABS(U223)&gt;80,$B$7, LOOKUP(V223,'Force mapping'!$B$7:$B$167,'Force mapping'!$J$7:$J$167))</f>
        <v>1207</v>
      </c>
      <c r="P223" s="196">
        <f t="shared" si="4"/>
        <v>0.623</v>
      </c>
      <c r="Q223" s="191">
        <f t="shared" si="5"/>
        <v>2.3742540271148404E-4</v>
      </c>
      <c r="R223" s="197">
        <f>IF(ABS(U223)&gt;80, 0, LOOKUP(V223,'Force mapping'!$B$7:$B$167,'Force mapping'!$I$7:$I$167) * (N223/5) * SIGN(U223))</f>
        <v>4.5634026519182673E-4</v>
      </c>
      <c r="S223" s="198">
        <f t="shared" si="6"/>
        <v>1.3265705383483335E-2</v>
      </c>
      <c r="T223" s="199">
        <f t="shared" si="14"/>
        <v>1.8919551353791935</v>
      </c>
      <c r="U223" s="200">
        <f t="shared" si="15"/>
        <v>48.321053541290517</v>
      </c>
      <c r="V223" s="200">
        <f t="shared" si="7"/>
        <v>48.5</v>
      </c>
      <c r="Y223" s="91"/>
      <c r="Z223" s="88"/>
    </row>
    <row r="224" spans="5:26" ht="12.5" x14ac:dyDescent="0.25">
      <c r="E224" s="186">
        <f t="shared" si="8"/>
        <v>220</v>
      </c>
      <c r="F224" s="187">
        <f t="shared" si="0"/>
        <v>11</v>
      </c>
      <c r="G224" s="188">
        <f t="shared" si="1"/>
        <v>11.622999999999999</v>
      </c>
      <c r="H224" s="189">
        <f t="shared" si="2"/>
        <v>163.52118655899665</v>
      </c>
      <c r="I224" s="190">
        <f t="shared" si="9"/>
        <v>0.7521974581713845</v>
      </c>
      <c r="J224" s="191">
        <f t="shared" si="10"/>
        <v>18.03958742024772</v>
      </c>
      <c r="K224" s="192" t="b">
        <f t="shared" si="3"/>
        <v>0</v>
      </c>
      <c r="L224" s="193">
        <f t="shared" si="11"/>
        <v>0</v>
      </c>
      <c r="M224" s="194">
        <f t="shared" si="12"/>
        <v>3.3696676329283497E-63</v>
      </c>
      <c r="N224" s="194">
        <f t="shared" si="13"/>
        <v>9.7758839384013839E-4</v>
      </c>
      <c r="O224" s="195">
        <f>IF(ABS(U224)&gt;80,$B$7, LOOKUP(V224,'Force mapping'!$B$7:$B$167,'Force mapping'!$J$7:$J$167))</f>
        <v>1242</v>
      </c>
      <c r="P224" s="196">
        <f t="shared" si="4"/>
        <v>0.623</v>
      </c>
      <c r="Q224" s="191">
        <f t="shared" si="5"/>
        <v>2.1837039446818672E-4</v>
      </c>
      <c r="R224" s="197">
        <f>IF(ABS(U224)&gt;80, 0, LOOKUP(V224,'Force mapping'!$B$7:$B$167,'Force mapping'!$I$7:$I$167) * (N224/5) * SIGN(U224))</f>
        <v>4.3379898423619834E-4</v>
      </c>
      <c r="S224" s="198">
        <f t="shared" si="6"/>
        <v>1.261043558826158E-2</v>
      </c>
      <c r="T224" s="199">
        <f t="shared" si="14"/>
        <v>1.8919557986644626</v>
      </c>
      <c r="U224" s="200">
        <f t="shared" si="15"/>
        <v>48.226455452878923</v>
      </c>
      <c r="V224" s="200">
        <f t="shared" si="7"/>
        <v>48</v>
      </c>
      <c r="Y224" s="91"/>
      <c r="Z224" s="88"/>
    </row>
    <row r="225" spans="5:26" ht="12.5" x14ac:dyDescent="0.25">
      <c r="E225" s="186">
        <f t="shared" si="8"/>
        <v>221</v>
      </c>
      <c r="F225" s="187">
        <f t="shared" si="0"/>
        <v>11.05</v>
      </c>
      <c r="G225" s="188">
        <f t="shared" si="1"/>
        <v>11.673</v>
      </c>
      <c r="H225" s="189">
        <f t="shared" si="2"/>
        <v>163.52118655899665</v>
      </c>
      <c r="I225" s="190">
        <f t="shared" si="9"/>
        <v>0.7521974581713845</v>
      </c>
      <c r="J225" s="191">
        <f t="shared" si="10"/>
        <v>18.03958742024772</v>
      </c>
      <c r="K225" s="192" t="b">
        <f t="shared" si="3"/>
        <v>0</v>
      </c>
      <c r="L225" s="193">
        <f t="shared" si="11"/>
        <v>0</v>
      </c>
      <c r="M225" s="194">
        <f t="shared" si="12"/>
        <v>1.2467770241834893E-63</v>
      </c>
      <c r="N225" s="194">
        <f t="shared" si="13"/>
        <v>8.9913025629277568E-4</v>
      </c>
      <c r="O225" s="195">
        <f>IF(ABS(U225)&gt;80,$B$7, LOOKUP(V225,'Force mapping'!$B$7:$B$167,'Force mapping'!$J$7:$J$167))</f>
        <v>1242</v>
      </c>
      <c r="P225" s="196">
        <f t="shared" si="4"/>
        <v>0.623</v>
      </c>
      <c r="Q225" s="191">
        <f t="shared" si="5"/>
        <v>2.008446806264382E-4</v>
      </c>
      <c r="R225" s="197">
        <f>IF(ABS(U225)&gt;80, 0, LOOKUP(V225,'Force mapping'!$B$7:$B$167,'Force mapping'!$I$7:$I$167) * (N225/5) * SIGN(U225))</f>
        <v>3.9898365644838144E-4</v>
      </c>
      <c r="S225" s="198">
        <f t="shared" si="6"/>
        <v>1.1598362106057599E-2</v>
      </c>
      <c r="T225" s="199">
        <f t="shared" si="14"/>
        <v>1.8919564291862421</v>
      </c>
      <c r="U225" s="200">
        <f t="shared" si="15"/>
        <v>48.131857347684807</v>
      </c>
      <c r="V225" s="200">
        <f t="shared" si="7"/>
        <v>48</v>
      </c>
      <c r="Y225" s="91"/>
      <c r="Z225" s="88"/>
    </row>
    <row r="226" spans="5:26" ht="12.5" x14ac:dyDescent="0.25">
      <c r="E226" s="186">
        <f t="shared" si="8"/>
        <v>222</v>
      </c>
      <c r="F226" s="187">
        <f t="shared" si="0"/>
        <v>11.100000000000001</v>
      </c>
      <c r="G226" s="188">
        <f t="shared" si="1"/>
        <v>11.723000000000001</v>
      </c>
      <c r="H226" s="189">
        <f t="shared" si="2"/>
        <v>163.52118655899665</v>
      </c>
      <c r="I226" s="190">
        <f t="shared" si="9"/>
        <v>0.7521974581713845</v>
      </c>
      <c r="J226" s="191">
        <f t="shared" si="10"/>
        <v>18.03958742024772</v>
      </c>
      <c r="K226" s="192" t="b">
        <f t="shared" si="3"/>
        <v>0</v>
      </c>
      <c r="L226" s="193">
        <f t="shared" si="11"/>
        <v>0</v>
      </c>
      <c r="M226" s="194">
        <f t="shared" si="12"/>
        <v>4.6130749894789102E-64</v>
      </c>
      <c r="N226" s="194">
        <f t="shared" si="13"/>
        <v>8.2696891951165397E-4</v>
      </c>
      <c r="O226" s="195">
        <f>IF(ABS(U226)&gt;80,$B$7, LOOKUP(V226,'Force mapping'!$B$7:$B$167,'Force mapping'!$J$7:$J$167))</f>
        <v>1242</v>
      </c>
      <c r="P226" s="196">
        <f t="shared" si="4"/>
        <v>0.623</v>
      </c>
      <c r="Q226" s="191">
        <f t="shared" si="5"/>
        <v>1.8472552487792788E-4</v>
      </c>
      <c r="R226" s="197">
        <f>IF(ABS(U226)&gt;80, 0, LOOKUP(V226,'Force mapping'!$B$7:$B$167,'Force mapping'!$I$7:$I$167) * (N226/5) * SIGN(U226))</f>
        <v>3.6696249621977938E-4</v>
      </c>
      <c r="S226" s="198">
        <f t="shared" si="6"/>
        <v>1.0667514424993587E-2</v>
      </c>
      <c r="T226" s="199">
        <f t="shared" si="14"/>
        <v>1.8919570091043474</v>
      </c>
      <c r="U226" s="200">
        <f t="shared" si="15"/>
        <v>48.037259236266443</v>
      </c>
      <c r="V226" s="200">
        <f t="shared" si="7"/>
        <v>48</v>
      </c>
      <c r="Y226" s="91"/>
      <c r="Z226" s="88"/>
    </row>
    <row r="227" spans="5:26" ht="12.5" x14ac:dyDescent="0.25">
      <c r="E227" s="186">
        <f t="shared" si="8"/>
        <v>223</v>
      </c>
      <c r="F227" s="187">
        <f t="shared" si="0"/>
        <v>11.15</v>
      </c>
      <c r="G227" s="188">
        <f t="shared" si="1"/>
        <v>11.773</v>
      </c>
      <c r="H227" s="189">
        <f t="shared" si="2"/>
        <v>163.52118655899665</v>
      </c>
      <c r="I227" s="190">
        <f t="shared" si="9"/>
        <v>0.7521974581713845</v>
      </c>
      <c r="J227" s="191">
        <f t="shared" si="10"/>
        <v>18.03958742024772</v>
      </c>
      <c r="K227" s="192" t="b">
        <f t="shared" si="3"/>
        <v>0</v>
      </c>
      <c r="L227" s="193">
        <f t="shared" si="11"/>
        <v>0</v>
      </c>
      <c r="M227" s="194">
        <f t="shared" si="12"/>
        <v>1.7068377461071968E-64</v>
      </c>
      <c r="N227" s="194">
        <f t="shared" si="13"/>
        <v>7.6059902227957894E-4</v>
      </c>
      <c r="O227" s="195">
        <f>IF(ABS(U227)&gt;80,$B$7, LOOKUP(V227,'Force mapping'!$B$7:$B$167,'Force mapping'!$J$7:$J$167))</f>
        <v>1242</v>
      </c>
      <c r="P227" s="196">
        <f t="shared" si="4"/>
        <v>0.623</v>
      </c>
      <c r="Q227" s="191">
        <f t="shared" si="5"/>
        <v>1.6990004134037346E-4</v>
      </c>
      <c r="R227" s="197">
        <f>IF(ABS(U227)&gt;80, 0, LOOKUP(V227,'Force mapping'!$B$7:$B$167,'Force mapping'!$I$7:$I$167) * (N227/5) * SIGN(U227))</f>
        <v>3.3751125254242943E-4</v>
      </c>
      <c r="S227" s="198">
        <f t="shared" si="6"/>
        <v>9.8113736204194606E-3</v>
      </c>
      <c r="T227" s="199">
        <f t="shared" si="14"/>
        <v>1.8919575424800685</v>
      </c>
      <c r="U227" s="200">
        <f t="shared" si="15"/>
        <v>47.942661119123365</v>
      </c>
      <c r="V227" s="200">
        <f t="shared" si="7"/>
        <v>48</v>
      </c>
      <c r="Y227" s="91"/>
      <c r="Z227" s="88"/>
    </row>
    <row r="228" spans="5:26" ht="12.5" x14ac:dyDescent="0.25">
      <c r="E228" s="186">
        <f t="shared" si="8"/>
        <v>224</v>
      </c>
      <c r="F228" s="187">
        <f t="shared" si="0"/>
        <v>11.200000000000001</v>
      </c>
      <c r="G228" s="188">
        <f t="shared" si="1"/>
        <v>11.823</v>
      </c>
      <c r="H228" s="189">
        <f t="shared" si="2"/>
        <v>163.52118655899665</v>
      </c>
      <c r="I228" s="190">
        <f t="shared" si="9"/>
        <v>0.7521974581713845</v>
      </c>
      <c r="J228" s="191">
        <f t="shared" si="10"/>
        <v>18.03958742024772</v>
      </c>
      <c r="K228" s="192" t="b">
        <f t="shared" si="3"/>
        <v>0</v>
      </c>
      <c r="L228" s="193">
        <f t="shared" si="11"/>
        <v>0</v>
      </c>
      <c r="M228" s="194">
        <f t="shared" si="12"/>
        <v>6.3152996605966283E-65</v>
      </c>
      <c r="N228" s="194">
        <f t="shared" si="13"/>
        <v>6.9955576206452437E-4</v>
      </c>
      <c r="O228" s="195">
        <f>IF(ABS(U228)&gt;80,$B$7, LOOKUP(V228,'Force mapping'!$B$7:$B$167,'Force mapping'!$J$7:$J$167))</f>
        <v>1242</v>
      </c>
      <c r="P228" s="196">
        <f t="shared" si="4"/>
        <v>0.623</v>
      </c>
      <c r="Q228" s="191">
        <f t="shared" si="5"/>
        <v>1.5626440399363402E-4</v>
      </c>
      <c r="R228" s="197">
        <f>IF(ABS(U228)&gt;80, 0, LOOKUP(V228,'Force mapping'!$B$7:$B$167,'Force mapping'!$I$7:$I$167) * (N228/5) * SIGN(U228))</f>
        <v>3.1042367208156032E-4</v>
      </c>
      <c r="S228" s="198">
        <f t="shared" si="6"/>
        <v>9.0239439558593114E-3</v>
      </c>
      <c r="T228" s="199">
        <f t="shared" si="14"/>
        <v>1.8919580330487495</v>
      </c>
      <c r="U228" s="200">
        <f t="shared" si="15"/>
        <v>47.848062996715022</v>
      </c>
      <c r="V228" s="200">
        <f t="shared" si="7"/>
        <v>48</v>
      </c>
      <c r="Y228" s="91"/>
      <c r="Z228" s="88"/>
    </row>
    <row r="229" spans="5:26" ht="12.5" x14ac:dyDescent="0.25">
      <c r="E229" s="186">
        <f t="shared" si="8"/>
        <v>225</v>
      </c>
      <c r="F229" s="187">
        <f t="shared" si="0"/>
        <v>11.25</v>
      </c>
      <c r="G229" s="188">
        <f t="shared" si="1"/>
        <v>11.872999999999999</v>
      </c>
      <c r="H229" s="189">
        <f t="shared" si="2"/>
        <v>163.52118655899665</v>
      </c>
      <c r="I229" s="190">
        <f t="shared" si="9"/>
        <v>0.7521974581713845</v>
      </c>
      <c r="J229" s="191">
        <f t="shared" si="10"/>
        <v>18.03958742024772</v>
      </c>
      <c r="K229" s="192" t="b">
        <f t="shared" si="3"/>
        <v>0</v>
      </c>
      <c r="L229" s="193">
        <f t="shared" si="11"/>
        <v>0</v>
      </c>
      <c r="M229" s="194">
        <f t="shared" si="12"/>
        <v>2.3366608744207523E-65</v>
      </c>
      <c r="N229" s="194">
        <f t="shared" si="13"/>
        <v>6.4341163990846301E-4</v>
      </c>
      <c r="O229" s="195">
        <f>IF(ABS(U229)&gt;80,$B$7, LOOKUP(V229,'Force mapping'!$B$7:$B$167,'Force mapping'!$J$7:$J$167))</f>
        <v>1242</v>
      </c>
      <c r="P229" s="196">
        <f t="shared" si="4"/>
        <v>0.623</v>
      </c>
      <c r="Q229" s="191">
        <f t="shared" si="5"/>
        <v>1.4372311956396835E-4</v>
      </c>
      <c r="R229" s="197">
        <f>IF(ABS(U229)&gt;80, 0, LOOKUP(V229,'Force mapping'!$B$7:$B$167,'Force mapping'!$I$7:$I$167) * (N229/5) * SIGN(U229))</f>
        <v>2.8551005473954102E-4</v>
      </c>
      <c r="S229" s="198">
        <f t="shared" si="6"/>
        <v>8.2997108935913087E-3</v>
      </c>
      <c r="T229" s="199">
        <f t="shared" si="14"/>
        <v>1.8919584842459474</v>
      </c>
      <c r="U229" s="200">
        <f t="shared" si="15"/>
        <v>47.753464869463983</v>
      </c>
      <c r="V229" s="200">
        <f t="shared" si="7"/>
        <v>48</v>
      </c>
      <c r="Y229" s="91"/>
      <c r="Z229" s="88"/>
    </row>
    <row r="230" spans="5:26" ht="12.5" x14ac:dyDescent="0.25">
      <c r="E230" s="186">
        <f t="shared" si="8"/>
        <v>226</v>
      </c>
      <c r="F230" s="187">
        <f t="shared" si="0"/>
        <v>11.3</v>
      </c>
      <c r="G230" s="188">
        <f t="shared" si="1"/>
        <v>11.923</v>
      </c>
      <c r="H230" s="189">
        <f t="shared" si="2"/>
        <v>163.52118655899665</v>
      </c>
      <c r="I230" s="190">
        <f t="shared" si="9"/>
        <v>0.7521974581713845</v>
      </c>
      <c r="J230" s="191">
        <f t="shared" si="10"/>
        <v>18.03958742024772</v>
      </c>
      <c r="K230" s="192" t="b">
        <f t="shared" si="3"/>
        <v>0</v>
      </c>
      <c r="L230" s="193">
        <f t="shared" si="11"/>
        <v>0</v>
      </c>
      <c r="M230" s="194">
        <f t="shared" si="12"/>
        <v>8.6456452353567843E-66</v>
      </c>
      <c r="N230" s="194">
        <f t="shared" si="13"/>
        <v>5.9177346656107425E-4</v>
      </c>
      <c r="O230" s="195">
        <f>IF(ABS(U230)&gt;80,$B$7, LOOKUP(V230,'Force mapping'!$B$7:$B$167,'Force mapping'!$J$7:$J$167))</f>
        <v>1273.5</v>
      </c>
      <c r="P230" s="196">
        <f t="shared" si="4"/>
        <v>0.623</v>
      </c>
      <c r="Q230" s="191">
        <f t="shared" si="5"/>
        <v>1.3218835876429192E-4</v>
      </c>
      <c r="R230" s="197">
        <f>IF(ABS(U230)&gt;80, 0, LOOKUP(V230,'Force mapping'!$B$7:$B$167,'Force mapping'!$I$7:$I$167) * (N230/5) * SIGN(U230))</f>
        <v>2.7036709430855731E-4</v>
      </c>
      <c r="S230" s="198">
        <f t="shared" si="6"/>
        <v>7.8595085554813166E-3</v>
      </c>
      <c r="T230" s="199">
        <f t="shared" si="14"/>
        <v>1.891958899231492</v>
      </c>
      <c r="U230" s="200">
        <f t="shared" si="15"/>
        <v>47.658866737758913</v>
      </c>
      <c r="V230" s="200">
        <f t="shared" si="7"/>
        <v>47.5</v>
      </c>
      <c r="Y230" s="91"/>
      <c r="Z230" s="88"/>
    </row>
    <row r="231" spans="5:26" ht="12.5" x14ac:dyDescent="0.25">
      <c r="E231" s="186">
        <f t="shared" si="8"/>
        <v>227</v>
      </c>
      <c r="F231" s="187">
        <f t="shared" si="0"/>
        <v>11.350000000000001</v>
      </c>
      <c r="G231" s="188">
        <f t="shared" si="1"/>
        <v>11.973000000000001</v>
      </c>
      <c r="H231" s="189">
        <f t="shared" si="2"/>
        <v>163.52118655899665</v>
      </c>
      <c r="I231" s="190">
        <f t="shared" si="9"/>
        <v>0.7521974581713845</v>
      </c>
      <c r="J231" s="191">
        <f t="shared" si="10"/>
        <v>18.03958742024772</v>
      </c>
      <c r="K231" s="192" t="b">
        <f t="shared" si="3"/>
        <v>0</v>
      </c>
      <c r="L231" s="193">
        <f t="shared" si="11"/>
        <v>0</v>
      </c>
      <c r="M231" s="194">
        <f t="shared" si="12"/>
        <v>3.1988887370820099E-66</v>
      </c>
      <c r="N231" s="194">
        <f t="shared" si="13"/>
        <v>5.4427960889164614E-4</v>
      </c>
      <c r="O231" s="195">
        <f>IF(ABS(U231)&gt;80,$B$7, LOOKUP(V231,'Force mapping'!$B$7:$B$167,'Force mapping'!$J$7:$J$167))</f>
        <v>1273.5</v>
      </c>
      <c r="P231" s="196">
        <f t="shared" si="4"/>
        <v>0.623</v>
      </c>
      <c r="Q231" s="191">
        <f t="shared" si="5"/>
        <v>1.215793412069651E-4</v>
      </c>
      <c r="R231" s="197">
        <f>IF(ABS(U231)&gt;80, 0, LOOKUP(V231,'Force mapping'!$B$7:$B$167,'Force mapping'!$I$7:$I$167) * (N231/5) * SIGN(U231))</f>
        <v>2.4866829059197969E-4</v>
      </c>
      <c r="S231" s="198">
        <f t="shared" si="6"/>
        <v>7.2287293776738286E-3</v>
      </c>
      <c r="T231" s="199">
        <f t="shared" si="14"/>
        <v>1.8919592922069197</v>
      </c>
      <c r="U231" s="200">
        <f t="shared" si="15"/>
        <v>47.564268596309624</v>
      </c>
      <c r="V231" s="200">
        <f t="shared" si="7"/>
        <v>47.5</v>
      </c>
      <c r="Y231" s="91"/>
      <c r="Z231" s="88"/>
    </row>
    <row r="232" spans="5:26" ht="12.5" x14ac:dyDescent="0.25">
      <c r="E232" s="186">
        <f t="shared" si="8"/>
        <v>228</v>
      </c>
      <c r="F232" s="187">
        <f t="shared" si="0"/>
        <v>11.4</v>
      </c>
      <c r="G232" s="188">
        <f t="shared" si="1"/>
        <v>12.023</v>
      </c>
      <c r="H232" s="189">
        <f t="shared" si="2"/>
        <v>163.52118655899665</v>
      </c>
      <c r="I232" s="190">
        <f t="shared" si="9"/>
        <v>0.7521974581713845</v>
      </c>
      <c r="J232" s="191">
        <f t="shared" si="10"/>
        <v>18.03958742024772</v>
      </c>
      <c r="K232" s="192" t="b">
        <f t="shared" si="3"/>
        <v>0</v>
      </c>
      <c r="L232" s="193">
        <f t="shared" si="11"/>
        <v>0</v>
      </c>
      <c r="M232" s="194">
        <f t="shared" si="12"/>
        <v>1.1835888327203438E-66</v>
      </c>
      <c r="N232" s="194">
        <f t="shared" si="13"/>
        <v>5.005974572952058E-4</v>
      </c>
      <c r="O232" s="195">
        <f>IF(ABS(U232)&gt;80,$B$7, LOOKUP(V232,'Force mapping'!$B$7:$B$167,'Force mapping'!$J$7:$J$167))</f>
        <v>1273.5</v>
      </c>
      <c r="P232" s="196">
        <f t="shared" si="4"/>
        <v>0.623</v>
      </c>
      <c r="Q232" s="191">
        <f t="shared" si="5"/>
        <v>1.1182176968152649E-4</v>
      </c>
      <c r="R232" s="197">
        <f>IF(ABS(U232)&gt;80, 0, LOOKUP(V232,'Force mapping'!$B$7:$B$167,'Force mapping'!$I$7:$I$167) * (N232/5) * SIGN(U232))</f>
        <v>2.287109638992044E-4</v>
      </c>
      <c r="S232" s="198">
        <f t="shared" si="6"/>
        <v>6.6485745319536165E-3</v>
      </c>
      <c r="T232" s="199">
        <f t="shared" si="14"/>
        <v>1.8919596536433887</v>
      </c>
      <c r="U232" s="200">
        <f t="shared" si="15"/>
        <v>47.469670450981042</v>
      </c>
      <c r="V232" s="200">
        <f t="shared" si="7"/>
        <v>47.5</v>
      </c>
      <c r="Y232" s="91"/>
      <c r="Z232" s="88"/>
    </row>
    <row r="233" spans="5:26" ht="12.5" x14ac:dyDescent="0.25">
      <c r="E233" s="186">
        <f t="shared" si="8"/>
        <v>229</v>
      </c>
      <c r="F233" s="187">
        <f t="shared" si="0"/>
        <v>11.450000000000001</v>
      </c>
      <c r="G233" s="188">
        <f t="shared" si="1"/>
        <v>12.073</v>
      </c>
      <c r="H233" s="189">
        <f t="shared" si="2"/>
        <v>163.52118655899665</v>
      </c>
      <c r="I233" s="190">
        <f t="shared" si="9"/>
        <v>0.7521974581713845</v>
      </c>
      <c r="J233" s="191">
        <f t="shared" si="10"/>
        <v>18.03958742024772</v>
      </c>
      <c r="K233" s="192" t="b">
        <f t="shared" si="3"/>
        <v>0</v>
      </c>
      <c r="L233" s="193">
        <f t="shared" si="11"/>
        <v>0</v>
      </c>
      <c r="M233" s="194">
        <f t="shared" si="12"/>
        <v>4.3792786810652716E-67</v>
      </c>
      <c r="N233" s="194">
        <f t="shared" si="13"/>
        <v>4.6042109635658572E-4</v>
      </c>
      <c r="O233" s="195">
        <f>IF(ABS(U233)&gt;80,$B$7, LOOKUP(V233,'Force mapping'!$B$7:$B$167,'Force mapping'!$J$7:$J$167))</f>
        <v>1273.5</v>
      </c>
      <c r="P233" s="196">
        <f t="shared" si="4"/>
        <v>0.623</v>
      </c>
      <c r="Q233" s="191">
        <f t="shared" si="5"/>
        <v>1.0284730983549706E-4</v>
      </c>
      <c r="R233" s="197">
        <f>IF(ABS(U233)&gt;80, 0, LOOKUP(V233,'Force mapping'!$B$7:$B$167,'Force mapping'!$I$7:$I$167) * (N233/5) * SIGN(U233))</f>
        <v>2.1035534881901142E-4</v>
      </c>
      <c r="S233" s="198">
        <f t="shared" si="6"/>
        <v>6.1149810703200998E-3</v>
      </c>
      <c r="T233" s="199">
        <f t="shared" si="14"/>
        <v>1.8919599860721152</v>
      </c>
      <c r="U233" s="200">
        <f t="shared" si="15"/>
        <v>47.375072302084511</v>
      </c>
      <c r="V233" s="200">
        <f t="shared" si="7"/>
        <v>47.5</v>
      </c>
      <c r="Y233" s="91"/>
      <c r="Z233" s="88"/>
    </row>
    <row r="234" spans="5:26" ht="12.5" x14ac:dyDescent="0.25">
      <c r="E234" s="186">
        <f t="shared" si="8"/>
        <v>230</v>
      </c>
      <c r="F234" s="187">
        <f t="shared" si="0"/>
        <v>11.5</v>
      </c>
      <c r="G234" s="188">
        <f t="shared" si="1"/>
        <v>12.122999999999999</v>
      </c>
      <c r="H234" s="189">
        <f t="shared" si="2"/>
        <v>163.52118655899665</v>
      </c>
      <c r="I234" s="190">
        <f t="shared" si="9"/>
        <v>0.7521974581713845</v>
      </c>
      <c r="J234" s="191">
        <f t="shared" si="10"/>
        <v>18.03958742024772</v>
      </c>
      <c r="K234" s="192" t="b">
        <f t="shared" si="3"/>
        <v>0</v>
      </c>
      <c r="L234" s="193">
        <f t="shared" si="11"/>
        <v>0</v>
      </c>
      <c r="M234" s="194">
        <f t="shared" si="12"/>
        <v>1.6203331119941504E-67</v>
      </c>
      <c r="N234" s="194">
        <f t="shared" si="13"/>
        <v>4.2346916245958842E-4</v>
      </c>
      <c r="O234" s="195">
        <f>IF(ABS(U234)&gt;80,$B$7, LOOKUP(V234,'Force mapping'!$B$7:$B$167,'Force mapping'!$J$7:$J$167))</f>
        <v>1273.5</v>
      </c>
      <c r="P234" s="196">
        <f t="shared" si="4"/>
        <v>0.623</v>
      </c>
      <c r="Q234" s="191">
        <f t="shared" si="5"/>
        <v>9.4593111614349619E-5</v>
      </c>
      <c r="R234" s="197">
        <f>IF(ABS(U234)&gt;80, 0, LOOKUP(V234,'Force mapping'!$B$7:$B$167,'Force mapping'!$I$7:$I$167) * (N234/5) * SIGN(U234))</f>
        <v>1.9347289706788689E-4</v>
      </c>
      <c r="S234" s="198">
        <f t="shared" si="6"/>
        <v>5.6242121240664793E-3</v>
      </c>
      <c r="T234" s="199">
        <f t="shared" si="14"/>
        <v>1.8919602918211686</v>
      </c>
      <c r="U234" s="200">
        <f t="shared" si="15"/>
        <v>47.280474149906382</v>
      </c>
      <c r="V234" s="200">
        <f t="shared" si="7"/>
        <v>47.5</v>
      </c>
      <c r="Y234" s="91"/>
      <c r="Z234" s="88"/>
    </row>
    <row r="235" spans="5:26" ht="12.5" x14ac:dyDescent="0.25">
      <c r="E235" s="186">
        <f t="shared" si="8"/>
        <v>231</v>
      </c>
      <c r="F235" s="187">
        <f t="shared" si="0"/>
        <v>11.55</v>
      </c>
      <c r="G235" s="188">
        <f t="shared" si="1"/>
        <v>12.173</v>
      </c>
      <c r="H235" s="189">
        <f t="shared" si="2"/>
        <v>163.52118655899665</v>
      </c>
      <c r="I235" s="190">
        <f t="shared" si="9"/>
        <v>0.7521974581713845</v>
      </c>
      <c r="J235" s="191">
        <f t="shared" si="10"/>
        <v>18.03958742024772</v>
      </c>
      <c r="K235" s="192" t="b">
        <f t="shared" si="3"/>
        <v>0</v>
      </c>
      <c r="L235" s="193">
        <f t="shared" si="11"/>
        <v>0</v>
      </c>
      <c r="M235" s="194">
        <f t="shared" si="12"/>
        <v>5.995232514378357E-68</v>
      </c>
      <c r="N235" s="194">
        <f t="shared" si="13"/>
        <v>3.8948287333763102E-4</v>
      </c>
      <c r="O235" s="195">
        <f>IF(ABS(U235)&gt;80,$B$7, LOOKUP(V235,'Force mapping'!$B$7:$B$167,'Force mapping'!$J$7:$J$167))</f>
        <v>1305</v>
      </c>
      <c r="P235" s="196">
        <f t="shared" si="4"/>
        <v>0.623</v>
      </c>
      <c r="Q235" s="191">
        <f t="shared" si="5"/>
        <v>8.7001369109185114E-5</v>
      </c>
      <c r="R235" s="197">
        <f>IF(ABS(U235)&gt;80, 0, LOOKUP(V235,'Force mapping'!$B$7:$B$167,'Force mapping'!$I$7:$I$167) * (N235/5) * SIGN(U235))</f>
        <v>1.8306006633167325E-4</v>
      </c>
      <c r="S235" s="198">
        <f t="shared" si="6"/>
        <v>5.3215135561532926E-3</v>
      </c>
      <c r="T235" s="199">
        <f t="shared" si="14"/>
        <v>1.8919605730317748</v>
      </c>
      <c r="U235" s="200">
        <f t="shared" si="15"/>
        <v>47.185875994710024</v>
      </c>
      <c r="V235" s="200">
        <f t="shared" si="7"/>
        <v>47</v>
      </c>
      <c r="Y235" s="91"/>
      <c r="Z235" s="88"/>
    </row>
    <row r="236" spans="5:26" ht="12.5" x14ac:dyDescent="0.25">
      <c r="E236" s="186">
        <f t="shared" si="8"/>
        <v>232</v>
      </c>
      <c r="F236" s="187">
        <f t="shared" si="0"/>
        <v>11.600000000000001</v>
      </c>
      <c r="G236" s="188">
        <f t="shared" si="1"/>
        <v>12.223000000000001</v>
      </c>
      <c r="H236" s="189">
        <f t="shared" si="2"/>
        <v>163.52118655899665</v>
      </c>
      <c r="I236" s="190">
        <f t="shared" si="9"/>
        <v>0.7521974581713845</v>
      </c>
      <c r="J236" s="191">
        <f t="shared" si="10"/>
        <v>18.03958742024772</v>
      </c>
      <c r="K236" s="192" t="b">
        <f t="shared" si="3"/>
        <v>0</v>
      </c>
      <c r="L236" s="193">
        <f t="shared" si="11"/>
        <v>0</v>
      </c>
      <c r="M236" s="194">
        <f t="shared" si="12"/>
        <v>2.218236030319992E-68</v>
      </c>
      <c r="N236" s="194">
        <f t="shared" si="13"/>
        <v>3.5822421576639252E-4</v>
      </c>
      <c r="O236" s="195">
        <f>IF(ABS(U236)&gt;80,$B$7, LOOKUP(V236,'Force mapping'!$B$7:$B$167,'Force mapping'!$J$7:$J$167))</f>
        <v>1305</v>
      </c>
      <c r="P236" s="196">
        <f t="shared" si="4"/>
        <v>0.623</v>
      </c>
      <c r="Q236" s="191">
        <f t="shared" si="5"/>
        <v>8.0018915729635734E-5</v>
      </c>
      <c r="R236" s="197">
        <f>IF(ABS(U236)&gt;80, 0, LOOKUP(V236,'Force mapping'!$B$7:$B$167,'Force mapping'!$I$7:$I$167) * (N236/5) * SIGN(U236))</f>
        <v>1.683682472039306E-4</v>
      </c>
      <c r="S236" s="198">
        <f t="shared" si="6"/>
        <v>4.8944257908119359E-3</v>
      </c>
      <c r="T236" s="199">
        <f t="shared" si="14"/>
        <v>1.8919608391074525</v>
      </c>
      <c r="U236" s="200">
        <f t="shared" si="15"/>
        <v>47.091277833020598</v>
      </c>
      <c r="V236" s="200">
        <f t="shared" si="7"/>
        <v>47</v>
      </c>
      <c r="Y236" s="91"/>
      <c r="Z236" s="88"/>
    </row>
    <row r="237" spans="5:26" ht="12.5" x14ac:dyDescent="0.25">
      <c r="E237" s="186">
        <f t="shared" si="8"/>
        <v>233</v>
      </c>
      <c r="F237" s="187">
        <f t="shared" si="0"/>
        <v>11.65</v>
      </c>
      <c r="G237" s="188">
        <f t="shared" si="1"/>
        <v>12.273</v>
      </c>
      <c r="H237" s="189">
        <f t="shared" si="2"/>
        <v>163.52118655899665</v>
      </c>
      <c r="I237" s="190">
        <f t="shared" si="9"/>
        <v>0.7521974581713845</v>
      </c>
      <c r="J237" s="191">
        <f t="shared" si="10"/>
        <v>18.03958742024772</v>
      </c>
      <c r="K237" s="192" t="b">
        <f t="shared" si="3"/>
        <v>0</v>
      </c>
      <c r="L237" s="193">
        <f t="shared" si="11"/>
        <v>0</v>
      </c>
      <c r="M237" s="194">
        <f t="shared" si="12"/>
        <v>8.2074733121839698E-69</v>
      </c>
      <c r="N237" s="194">
        <f t="shared" si="13"/>
        <v>3.2947427870648938E-4</v>
      </c>
      <c r="O237" s="195">
        <f>IF(ABS(U237)&gt;80,$B$7, LOOKUP(V237,'Force mapping'!$B$7:$B$167,'Force mapping'!$J$7:$J$167))</f>
        <v>1305</v>
      </c>
      <c r="P237" s="196">
        <f t="shared" si="4"/>
        <v>0.623</v>
      </c>
      <c r="Q237" s="191">
        <f t="shared" si="5"/>
        <v>7.3596851866904116E-5</v>
      </c>
      <c r="R237" s="197">
        <f>IF(ABS(U237)&gt;80, 0, LOOKUP(V237,'Force mapping'!$B$7:$B$167,'Force mapping'!$I$7:$I$167) * (N237/5) * SIGN(U237))</f>
        <v>1.5485554678627966E-4</v>
      </c>
      <c r="S237" s="198">
        <f t="shared" si="6"/>
        <v>4.5016147321592925E-3</v>
      </c>
      <c r="T237" s="199">
        <f t="shared" si="14"/>
        <v>1.891961083828742</v>
      </c>
      <c r="U237" s="200">
        <f t="shared" si="15"/>
        <v>46.99667966870458</v>
      </c>
      <c r="V237" s="200">
        <f t="shared" si="7"/>
        <v>47</v>
      </c>
      <c r="Y237" s="91"/>
      <c r="Z237" s="88"/>
    </row>
    <row r="238" spans="5:26" ht="12.5" x14ac:dyDescent="0.25">
      <c r="E238" s="186">
        <f t="shared" si="8"/>
        <v>234</v>
      </c>
      <c r="F238" s="187">
        <f t="shared" si="0"/>
        <v>11.700000000000001</v>
      </c>
      <c r="G238" s="188">
        <f t="shared" si="1"/>
        <v>12.323</v>
      </c>
      <c r="H238" s="189">
        <f t="shared" si="2"/>
        <v>163.52118655899665</v>
      </c>
      <c r="I238" s="190">
        <f t="shared" si="9"/>
        <v>0.7521974581713845</v>
      </c>
      <c r="J238" s="191">
        <f t="shared" si="10"/>
        <v>18.03958742024772</v>
      </c>
      <c r="K238" s="192" t="b">
        <f t="shared" si="3"/>
        <v>0</v>
      </c>
      <c r="L238" s="193">
        <f t="shared" si="11"/>
        <v>0</v>
      </c>
      <c r="M238" s="194">
        <f t="shared" si="12"/>
        <v>3.0367651255080693E-69</v>
      </c>
      <c r="N238" s="194">
        <f t="shared" si="13"/>
        <v>3.0303172022282245E-4</v>
      </c>
      <c r="O238" s="195">
        <f>IF(ABS(U238)&gt;80,$B$7, LOOKUP(V238,'Force mapping'!$B$7:$B$167,'Force mapping'!$J$7:$J$167))</f>
        <v>1305</v>
      </c>
      <c r="P238" s="196">
        <f t="shared" si="4"/>
        <v>0.623</v>
      </c>
      <c r="Q238" s="191">
        <f t="shared" si="5"/>
        <v>6.7690202439383708E-5</v>
      </c>
      <c r="R238" s="197">
        <f>IF(ABS(U238)&gt;80, 0, LOOKUP(V238,'Force mapping'!$B$7:$B$167,'Force mapping'!$I$7:$I$167) * (N238/5) * SIGN(U238))</f>
        <v>1.4242733275848834E-4</v>
      </c>
      <c r="S238" s="198">
        <f t="shared" si="6"/>
        <v>4.1403294406537304E-3</v>
      </c>
      <c r="T238" s="199">
        <f t="shared" si="14"/>
        <v>1.8919613089094787</v>
      </c>
      <c r="U238" s="200">
        <f t="shared" si="15"/>
        <v>46.902081501972773</v>
      </c>
      <c r="V238" s="200">
        <f t="shared" si="7"/>
        <v>47</v>
      </c>
      <c r="Y238" s="91"/>
      <c r="Z238" s="88"/>
    </row>
    <row r="239" spans="5:26" ht="12.5" x14ac:dyDescent="0.25">
      <c r="E239" s="186">
        <f t="shared" si="8"/>
        <v>235</v>
      </c>
      <c r="F239" s="187">
        <f t="shared" si="0"/>
        <v>11.75</v>
      </c>
      <c r="G239" s="188">
        <f t="shared" si="1"/>
        <v>12.372999999999999</v>
      </c>
      <c r="H239" s="189">
        <f t="shared" si="2"/>
        <v>163.52118655899665</v>
      </c>
      <c r="I239" s="190">
        <f t="shared" si="9"/>
        <v>0.7521974581713845</v>
      </c>
      <c r="J239" s="191">
        <f t="shared" si="10"/>
        <v>18.03958742024772</v>
      </c>
      <c r="K239" s="192" t="b">
        <f t="shared" si="3"/>
        <v>0</v>
      </c>
      <c r="L239" s="193">
        <f t="shared" si="11"/>
        <v>0</v>
      </c>
      <c r="M239" s="194">
        <f t="shared" si="12"/>
        <v>1.1236030964379856E-69</v>
      </c>
      <c r="N239" s="194">
        <f t="shared" si="13"/>
        <v>2.7871135744410476E-4</v>
      </c>
      <c r="O239" s="195">
        <f>IF(ABS(U239)&gt;80,$B$7, LOOKUP(V239,'Force mapping'!$B$7:$B$167,'Force mapping'!$J$7:$J$167))</f>
        <v>1305</v>
      </c>
      <c r="P239" s="196">
        <f t="shared" si="4"/>
        <v>0.623</v>
      </c>
      <c r="Q239" s="191">
        <f t="shared" si="5"/>
        <v>6.2257601922579241E-5</v>
      </c>
      <c r="R239" s="197">
        <f>IF(ABS(U239)&gt;80, 0, LOOKUP(V239,'Force mapping'!$B$7:$B$167,'Force mapping'!$I$7:$I$167) * (N239/5) * SIGN(U239))</f>
        <v>1.3099656768958878E-4</v>
      </c>
      <c r="S239" s="198">
        <f t="shared" si="6"/>
        <v>3.8080397584182787E-3</v>
      </c>
      <c r="T239" s="199">
        <f t="shared" si="14"/>
        <v>1.8919615159259506</v>
      </c>
      <c r="U239" s="200">
        <f t="shared" si="15"/>
        <v>46.807483333019064</v>
      </c>
      <c r="V239" s="200">
        <f t="shared" si="7"/>
        <v>47</v>
      </c>
      <c r="Y239" s="91"/>
      <c r="Z239" s="88"/>
    </row>
    <row r="240" spans="5:26" ht="12.5" x14ac:dyDescent="0.25">
      <c r="E240" s="186">
        <f t="shared" si="8"/>
        <v>236</v>
      </c>
      <c r="F240" s="187">
        <f t="shared" si="0"/>
        <v>11.8</v>
      </c>
      <c r="G240" s="188">
        <f t="shared" si="1"/>
        <v>12.423</v>
      </c>
      <c r="H240" s="189">
        <f t="shared" si="2"/>
        <v>163.52118655899665</v>
      </c>
      <c r="I240" s="190">
        <f t="shared" si="9"/>
        <v>0.7521974581713845</v>
      </c>
      <c r="J240" s="191">
        <f t="shared" si="10"/>
        <v>18.03958742024772</v>
      </c>
      <c r="K240" s="192" t="b">
        <f t="shared" si="3"/>
        <v>0</v>
      </c>
      <c r="L240" s="193">
        <f t="shared" si="11"/>
        <v>0</v>
      </c>
      <c r="M240" s="194">
        <f t="shared" si="12"/>
        <v>4.1573314568205465E-70</v>
      </c>
      <c r="N240" s="194">
        <f t="shared" si="13"/>
        <v>2.5634286968775606E-4</v>
      </c>
      <c r="O240" s="195">
        <f>IF(ABS(U240)&gt;80,$B$7, LOOKUP(V240,'Force mapping'!$B$7:$B$167,'Force mapping'!$J$7:$J$167))</f>
        <v>1337.5</v>
      </c>
      <c r="P240" s="196">
        <f t="shared" si="4"/>
        <v>0.623</v>
      </c>
      <c r="Q240" s="191">
        <f t="shared" si="5"/>
        <v>5.7261004657524732E-5</v>
      </c>
      <c r="R240" s="197">
        <f>IF(ABS(U240)&gt;80, 0, LOOKUP(V240,'Force mapping'!$B$7:$B$167,'Force mapping'!$I$7:$I$167) * (N240/5) * SIGN(U240))</f>
        <v>1.2337218363758386E-4</v>
      </c>
      <c r="S240" s="198">
        <f t="shared" si="6"/>
        <v>3.5864006871390657E-3</v>
      </c>
      <c r="T240" s="199">
        <f t="shared" si="14"/>
        <v>1.8919617063279386</v>
      </c>
      <c r="U240" s="200">
        <f t="shared" si="15"/>
        <v>46.71288516202177</v>
      </c>
      <c r="V240" s="200">
        <f t="shared" si="7"/>
        <v>46.5</v>
      </c>
      <c r="Y240" s="91"/>
      <c r="Z240" s="88"/>
    </row>
    <row r="241" spans="5:26" ht="12.5" x14ac:dyDescent="0.25">
      <c r="E241" s="186">
        <f t="shared" si="8"/>
        <v>237</v>
      </c>
      <c r="F241" s="187">
        <f t="shared" si="0"/>
        <v>11.850000000000001</v>
      </c>
      <c r="G241" s="188">
        <f t="shared" si="1"/>
        <v>12.473000000000001</v>
      </c>
      <c r="H241" s="189">
        <f t="shared" si="2"/>
        <v>163.52118655899665</v>
      </c>
      <c r="I241" s="190">
        <f t="shared" si="9"/>
        <v>0.7521974581713845</v>
      </c>
      <c r="J241" s="191">
        <f t="shared" si="10"/>
        <v>18.03958742024772</v>
      </c>
      <c r="K241" s="192" t="b">
        <f t="shared" si="3"/>
        <v>0</v>
      </c>
      <c r="L241" s="193">
        <f t="shared" si="11"/>
        <v>0</v>
      </c>
      <c r="M241" s="194">
        <f t="shared" si="12"/>
        <v>1.538212639023602E-70</v>
      </c>
      <c r="N241" s="194">
        <f t="shared" si="13"/>
        <v>2.3576960566787193E-4</v>
      </c>
      <c r="O241" s="195">
        <f>IF(ABS(U241)&gt;80,$B$7, LOOKUP(V241,'Force mapping'!$B$7:$B$167,'Force mapping'!$J$7:$J$167))</f>
        <v>1337.5</v>
      </c>
      <c r="P241" s="196">
        <f t="shared" si="4"/>
        <v>0.623</v>
      </c>
      <c r="Q241" s="191">
        <f t="shared" si="5"/>
        <v>5.2665418408927227E-5</v>
      </c>
      <c r="R241" s="197">
        <f>IF(ABS(U241)&gt;80, 0, LOOKUP(V241,'Force mapping'!$B$7:$B$167,'Force mapping'!$I$7:$I$167) * (N241/5) * SIGN(U241))</f>
        <v>1.1347072427662207E-4</v>
      </c>
      <c r="S241" s="198">
        <f t="shared" si="6"/>
        <v>3.298567566180874E-3</v>
      </c>
      <c r="T241" s="199">
        <f t="shared" si="14"/>
        <v>1.891961885647973</v>
      </c>
      <c r="U241" s="200">
        <f t="shared" si="15"/>
        <v>46.618286987045359</v>
      </c>
      <c r="V241" s="200">
        <f t="shared" si="7"/>
        <v>46.5</v>
      </c>
      <c r="Y241" s="91"/>
      <c r="Z241" s="88"/>
    </row>
    <row r="242" spans="5:26" ht="12.5" x14ac:dyDescent="0.25">
      <c r="E242" s="186">
        <f t="shared" si="8"/>
        <v>238</v>
      </c>
      <c r="F242" s="187">
        <f t="shared" si="0"/>
        <v>11.9</v>
      </c>
      <c r="G242" s="188">
        <f t="shared" si="1"/>
        <v>12.523</v>
      </c>
      <c r="H242" s="189">
        <f t="shared" si="2"/>
        <v>163.52118655899665</v>
      </c>
      <c r="I242" s="190">
        <f t="shared" si="9"/>
        <v>0.7521974581713845</v>
      </c>
      <c r="J242" s="191">
        <f t="shared" si="10"/>
        <v>18.03958742024772</v>
      </c>
      <c r="K242" s="192" t="b">
        <f t="shared" si="3"/>
        <v>0</v>
      </c>
      <c r="L242" s="193">
        <f t="shared" si="11"/>
        <v>0</v>
      </c>
      <c r="M242" s="194">
        <f t="shared" si="12"/>
        <v>5.6913867643873276E-71</v>
      </c>
      <c r="N242" s="194">
        <f t="shared" si="13"/>
        <v>2.1684748643289022E-4</v>
      </c>
      <c r="O242" s="195">
        <f>IF(ABS(U242)&gt;80,$B$7, LOOKUP(V242,'Force mapping'!$B$7:$B$167,'Force mapping'!$J$7:$J$167))</f>
        <v>1337.5</v>
      </c>
      <c r="P242" s="196">
        <f t="shared" si="4"/>
        <v>0.623</v>
      </c>
      <c r="Q242" s="191">
        <f t="shared" si="5"/>
        <v>4.8438659307087162E-5</v>
      </c>
      <c r="R242" s="197">
        <f>IF(ABS(U242)&gt;80, 0, LOOKUP(V242,'Force mapping'!$B$7:$B$167,'Force mapping'!$I$7:$I$167) * (N242/5) * SIGN(U242))</f>
        <v>1.0436392457544854E-4</v>
      </c>
      <c r="S242" s="198">
        <f t="shared" si="6"/>
        <v>3.0338350167281552E-3</v>
      </c>
      <c r="T242" s="199">
        <f t="shared" si="14"/>
        <v>1.8919620505763513</v>
      </c>
      <c r="U242" s="200">
        <f t="shared" si="15"/>
        <v>46.523688810298772</v>
      </c>
      <c r="V242" s="200">
        <f t="shared" si="7"/>
        <v>46.5</v>
      </c>
      <c r="Y242" s="91"/>
      <c r="Z242" s="88"/>
    </row>
    <row r="243" spans="5:26" ht="12.5" x14ac:dyDescent="0.25">
      <c r="E243" s="186">
        <f t="shared" si="8"/>
        <v>239</v>
      </c>
      <c r="F243" s="187">
        <f t="shared" si="0"/>
        <v>11.950000000000001</v>
      </c>
      <c r="G243" s="188">
        <f t="shared" si="1"/>
        <v>12.573</v>
      </c>
      <c r="H243" s="189">
        <f t="shared" si="2"/>
        <v>163.52118655899665</v>
      </c>
      <c r="I243" s="190">
        <f t="shared" si="9"/>
        <v>0.7521974581713845</v>
      </c>
      <c r="J243" s="191">
        <f t="shared" si="10"/>
        <v>18.03958742024772</v>
      </c>
      <c r="K243" s="192" t="b">
        <f t="shared" si="3"/>
        <v>0</v>
      </c>
      <c r="L243" s="193">
        <f t="shared" si="11"/>
        <v>0</v>
      </c>
      <c r="M243" s="194">
        <f t="shared" si="12"/>
        <v>2.1058131028233113E-71</v>
      </c>
      <c r="N243" s="194">
        <f t="shared" si="13"/>
        <v>1.9944399634999371E-4</v>
      </c>
      <c r="O243" s="195">
        <f>IF(ABS(U243)&gt;80,$B$7, LOOKUP(V243,'Force mapping'!$B$7:$B$167,'Force mapping'!$J$7:$J$167))</f>
        <v>1337.5</v>
      </c>
      <c r="P243" s="196">
        <f t="shared" si="4"/>
        <v>0.623</v>
      </c>
      <c r="Q243" s="191">
        <f t="shared" si="5"/>
        <v>4.4551126457401192E-5</v>
      </c>
      <c r="R243" s="197">
        <f>IF(ABS(U243)&gt;80, 0, LOOKUP(V243,'Force mapping'!$B$7:$B$167,'Force mapping'!$I$7:$I$167) * (N243/5) * SIGN(U243))</f>
        <v>9.5988007675332283E-5</v>
      </c>
      <c r="S243" s="198">
        <f t="shared" si="6"/>
        <v>2.7903490603294269E-3</v>
      </c>
      <c r="T243" s="199">
        <f t="shared" si="14"/>
        <v>1.8919622022681022</v>
      </c>
      <c r="U243" s="200">
        <f t="shared" si="15"/>
        <v>46.429090631924076</v>
      </c>
      <c r="V243" s="200">
        <f t="shared" si="7"/>
        <v>46.5</v>
      </c>
      <c r="Y243" s="91"/>
      <c r="Z243" s="88"/>
    </row>
    <row r="244" spans="5:26" ht="12.5" x14ac:dyDescent="0.25">
      <c r="E244" s="186">
        <f t="shared" si="8"/>
        <v>240</v>
      </c>
      <c r="F244" s="187">
        <f t="shared" si="0"/>
        <v>12</v>
      </c>
      <c r="G244" s="188">
        <f t="shared" si="1"/>
        <v>12.622999999999999</v>
      </c>
      <c r="H244" s="189">
        <f t="shared" si="2"/>
        <v>163.52118655899665</v>
      </c>
      <c r="I244" s="190">
        <f t="shared" si="9"/>
        <v>0.7521974581713845</v>
      </c>
      <c r="J244" s="191">
        <f t="shared" si="10"/>
        <v>18.03958742024772</v>
      </c>
      <c r="K244" s="192" t="b">
        <f t="shared" si="3"/>
        <v>0</v>
      </c>
      <c r="L244" s="193">
        <f t="shared" si="11"/>
        <v>0</v>
      </c>
      <c r="M244" s="194">
        <f t="shared" si="12"/>
        <v>7.7915084804462523E-72</v>
      </c>
      <c r="N244" s="194">
        <f t="shared" si="13"/>
        <v>1.834372550698979E-4</v>
      </c>
      <c r="O244" s="195">
        <f>IF(ABS(U244)&gt;80,$B$7, LOOKUP(V244,'Force mapping'!$B$7:$B$167,'Force mapping'!$J$7:$J$167))</f>
        <v>1337.5</v>
      </c>
      <c r="P244" s="196">
        <f t="shared" si="4"/>
        <v>0.623</v>
      </c>
      <c r="Q244" s="191">
        <f t="shared" si="5"/>
        <v>4.0975594638990181E-5</v>
      </c>
      <c r="R244" s="197">
        <f>IF(ABS(U244)&gt;80, 0, LOOKUP(V244,'Force mapping'!$B$7:$B$167,'Force mapping'!$I$7:$I$167) * (N244/5) * SIGN(U244))</f>
        <v>8.828431524553032E-5</v>
      </c>
      <c r="S244" s="198">
        <f t="shared" si="6"/>
        <v>2.566404512951463E-3</v>
      </c>
      <c r="T244" s="199">
        <f t="shared" si="14"/>
        <v>1.8919623417855551</v>
      </c>
      <c r="U244" s="200">
        <f t="shared" si="15"/>
        <v>46.334492452051947</v>
      </c>
      <c r="V244" s="200">
        <f t="shared" si="7"/>
        <v>46.5</v>
      </c>
      <c r="Y244" s="91"/>
      <c r="Z244" s="88"/>
    </row>
    <row r="245" spans="5:26" ht="12.5" x14ac:dyDescent="0.25">
      <c r="E245" s="186">
        <f t="shared" si="8"/>
        <v>241</v>
      </c>
      <c r="F245" s="187">
        <f t="shared" si="0"/>
        <v>12.05</v>
      </c>
      <c r="G245" s="188">
        <f t="shared" si="1"/>
        <v>12.673</v>
      </c>
      <c r="H245" s="189">
        <f t="shared" si="2"/>
        <v>163.52118655899665</v>
      </c>
      <c r="I245" s="190">
        <f t="shared" si="9"/>
        <v>0.7521974581713845</v>
      </c>
      <c r="J245" s="191">
        <f t="shared" si="10"/>
        <v>18.03958742024772</v>
      </c>
      <c r="K245" s="192" t="b">
        <f t="shared" si="3"/>
        <v>0</v>
      </c>
      <c r="L245" s="193">
        <f t="shared" si="11"/>
        <v>0</v>
      </c>
      <c r="M245" s="194">
        <f t="shared" si="12"/>
        <v>2.8828581377651129E-72</v>
      </c>
      <c r="N245" s="194">
        <f t="shared" si="13"/>
        <v>1.6871516397279533E-4</v>
      </c>
      <c r="O245" s="195">
        <f>IF(ABS(U245)&gt;80,$B$7, LOOKUP(V245,'Force mapping'!$B$7:$B$167,'Force mapping'!$J$7:$J$167))</f>
        <v>1370</v>
      </c>
      <c r="P245" s="196">
        <f t="shared" si="4"/>
        <v>0.623</v>
      </c>
      <c r="Q245" s="191">
        <f t="shared" si="5"/>
        <v>3.7687023640676358E-5</v>
      </c>
      <c r="R245" s="197">
        <f>IF(ABS(U245)&gt;80, 0, LOOKUP(V245,'Force mapping'!$B$7:$B$167,'Force mapping'!$I$7:$I$167) * (N245/5) * SIGN(U245))</f>
        <v>8.3100316584472397E-5</v>
      </c>
      <c r="S245" s="198">
        <f t="shared" si="6"/>
        <v>2.4157068774555931E-3</v>
      </c>
      <c r="T245" s="199">
        <f t="shared" si="14"/>
        <v>1.8919624701057807</v>
      </c>
      <c r="U245" s="200">
        <f t="shared" si="15"/>
        <v>46.239894270802559</v>
      </c>
      <c r="V245" s="200">
        <f t="shared" si="7"/>
        <v>46</v>
      </c>
      <c r="Y245" s="91"/>
      <c r="Z245" s="88"/>
    </row>
    <row r="246" spans="5:26" ht="12.5" x14ac:dyDescent="0.25">
      <c r="E246" s="186">
        <f t="shared" si="8"/>
        <v>242</v>
      </c>
      <c r="F246" s="187">
        <f t="shared" si="0"/>
        <v>12.100000000000001</v>
      </c>
      <c r="G246" s="188">
        <f t="shared" si="1"/>
        <v>12.723000000000001</v>
      </c>
      <c r="H246" s="189">
        <f t="shared" si="2"/>
        <v>163.52118655899665</v>
      </c>
      <c r="I246" s="190">
        <f t="shared" si="9"/>
        <v>0.7521974581713845</v>
      </c>
      <c r="J246" s="191">
        <f t="shared" si="10"/>
        <v>18.03958742024772</v>
      </c>
      <c r="K246" s="192" t="b">
        <f t="shared" si="3"/>
        <v>0</v>
      </c>
      <c r="L246" s="193">
        <f t="shared" si="11"/>
        <v>0</v>
      </c>
      <c r="M246" s="194">
        <f t="shared" si="12"/>
        <v>1.0666575109730918E-72</v>
      </c>
      <c r="N246" s="194">
        <f t="shared" si="13"/>
        <v>1.5517462111783582E-4</v>
      </c>
      <c r="O246" s="195">
        <f>IF(ABS(U246)&gt;80,$B$7, LOOKUP(V246,'Force mapping'!$B$7:$B$167,'Force mapping'!$J$7:$J$167))</f>
        <v>1370</v>
      </c>
      <c r="P246" s="196">
        <f t="shared" si="4"/>
        <v>0.623</v>
      </c>
      <c r="Q246" s="191">
        <f t="shared" si="5"/>
        <v>3.4662382899049037E-5</v>
      </c>
      <c r="R246" s="197">
        <f>IF(ABS(U246)&gt;80, 0, LOOKUP(V246,'Force mapping'!$B$7:$B$167,'Force mapping'!$I$7:$I$167) * (N246/5) * SIGN(U246))</f>
        <v>7.6430949282347809E-5</v>
      </c>
      <c r="S246" s="198">
        <f t="shared" si="6"/>
        <v>2.221829920998483E-3</v>
      </c>
      <c r="T246" s="199">
        <f t="shared" si="14"/>
        <v>1.8919625908911246</v>
      </c>
      <c r="U246" s="200">
        <f t="shared" si="15"/>
        <v>46.145296086904601</v>
      </c>
      <c r="V246" s="200">
        <f t="shared" si="7"/>
        <v>46</v>
      </c>
      <c r="Y246" s="91"/>
      <c r="Z246" s="88"/>
    </row>
    <row r="247" spans="5:26" ht="12.5" x14ac:dyDescent="0.25">
      <c r="E247" s="186">
        <f t="shared" si="8"/>
        <v>243</v>
      </c>
      <c r="F247" s="187">
        <f t="shared" si="0"/>
        <v>12.15</v>
      </c>
      <c r="G247" s="188">
        <f t="shared" si="1"/>
        <v>12.773</v>
      </c>
      <c r="H247" s="189">
        <f t="shared" si="2"/>
        <v>163.52118655899665</v>
      </c>
      <c r="I247" s="190">
        <f t="shared" si="9"/>
        <v>0.7521974581713845</v>
      </c>
      <c r="J247" s="191">
        <f t="shared" si="10"/>
        <v>18.03958742024772</v>
      </c>
      <c r="K247" s="192" t="b">
        <f t="shared" si="3"/>
        <v>0</v>
      </c>
      <c r="L247" s="193">
        <f t="shared" si="11"/>
        <v>0</v>
      </c>
      <c r="M247" s="194">
        <f t="shared" si="12"/>
        <v>3.946632790600439E-73</v>
      </c>
      <c r="N247" s="194">
        <f t="shared" si="13"/>
        <v>1.4272079919826631E-4</v>
      </c>
      <c r="O247" s="195">
        <f>IF(ABS(U247)&gt;80,$B$7, LOOKUP(V247,'Force mapping'!$B$7:$B$167,'Force mapping'!$J$7:$J$167))</f>
        <v>1370</v>
      </c>
      <c r="P247" s="196">
        <f t="shared" si="4"/>
        <v>0.623</v>
      </c>
      <c r="Q247" s="191">
        <f t="shared" si="5"/>
        <v>3.1880490210521826E-5</v>
      </c>
      <c r="R247" s="197">
        <f>IF(ABS(U247)&gt;80, 0, LOOKUP(V247,'Force mapping'!$B$7:$B$167,'Force mapping'!$I$7:$I$167) * (N247/5) * SIGN(U247))</f>
        <v>7.0296844203507683E-5</v>
      </c>
      <c r="S247" s="198">
        <f t="shared" si="6"/>
        <v>2.043512912892665E-3</v>
      </c>
      <c r="T247" s="199">
        <f t="shared" si="14"/>
        <v>1.8919627019826206</v>
      </c>
      <c r="U247" s="200">
        <f t="shared" si="15"/>
        <v>46.050697901814296</v>
      </c>
      <c r="V247" s="200">
        <f t="shared" si="7"/>
        <v>46</v>
      </c>
      <c r="Y247" s="91"/>
      <c r="Z247" s="88"/>
    </row>
    <row r="248" spans="5:26" ht="12.5" x14ac:dyDescent="0.25">
      <c r="E248" s="186">
        <f t="shared" si="8"/>
        <v>244</v>
      </c>
      <c r="F248" s="187">
        <f t="shared" si="0"/>
        <v>12.200000000000001</v>
      </c>
      <c r="G248" s="188">
        <f t="shared" si="1"/>
        <v>12.823</v>
      </c>
      <c r="H248" s="189">
        <f t="shared" si="2"/>
        <v>163.52118655899665</v>
      </c>
      <c r="I248" s="190">
        <f t="shared" si="9"/>
        <v>0.7521974581713845</v>
      </c>
      <c r="J248" s="191">
        <f t="shared" si="10"/>
        <v>18.03958742024772</v>
      </c>
      <c r="K248" s="192" t="b">
        <f t="shared" si="3"/>
        <v>0</v>
      </c>
      <c r="L248" s="193">
        <f t="shared" si="11"/>
        <v>0</v>
      </c>
      <c r="M248" s="194">
        <f t="shared" si="12"/>
        <v>1.4602541325221625E-73</v>
      </c>
      <c r="N248" s="194">
        <f t="shared" si="13"/>
        <v>1.3126648144559644E-4</v>
      </c>
      <c r="O248" s="195">
        <f>IF(ABS(U248)&gt;80,$B$7, LOOKUP(V248,'Force mapping'!$B$7:$B$167,'Force mapping'!$J$7:$J$167))</f>
        <v>1370</v>
      </c>
      <c r="P248" s="196">
        <f t="shared" si="4"/>
        <v>0.623</v>
      </c>
      <c r="Q248" s="191">
        <f t="shared" si="5"/>
        <v>2.9321863387847516E-5</v>
      </c>
      <c r="R248" s="197">
        <f>IF(ABS(U248)&gt;80, 0, LOOKUP(V248,'Force mapping'!$B$7:$B$167,'Force mapping'!$I$7:$I$167) * (N248/5) * SIGN(U248))</f>
        <v>6.4655042903065646E-5</v>
      </c>
      <c r="S248" s="198">
        <f t="shared" si="6"/>
        <v>1.8795070611356292E-3</v>
      </c>
      <c r="T248" s="199">
        <f t="shared" si="14"/>
        <v>1.8919628041582663</v>
      </c>
      <c r="U248" s="200">
        <f t="shared" si="15"/>
        <v>45.956099715627339</v>
      </c>
      <c r="V248" s="200">
        <f t="shared" si="7"/>
        <v>46</v>
      </c>
      <c r="Y248" s="91"/>
      <c r="Z248" s="88"/>
    </row>
    <row r="249" spans="5:26" ht="12.5" x14ac:dyDescent="0.25">
      <c r="E249" s="186">
        <f t="shared" si="8"/>
        <v>245</v>
      </c>
      <c r="F249" s="187">
        <f t="shared" si="0"/>
        <v>12.25</v>
      </c>
      <c r="G249" s="188">
        <f t="shared" si="1"/>
        <v>12.872999999999999</v>
      </c>
      <c r="H249" s="189">
        <f t="shared" si="2"/>
        <v>163.52118655899665</v>
      </c>
      <c r="I249" s="190">
        <f t="shared" si="9"/>
        <v>0.7521974581713845</v>
      </c>
      <c r="J249" s="191">
        <f t="shared" si="10"/>
        <v>18.03958742024772</v>
      </c>
      <c r="K249" s="192" t="b">
        <f t="shared" si="3"/>
        <v>0</v>
      </c>
      <c r="L249" s="193">
        <f t="shared" si="11"/>
        <v>0</v>
      </c>
      <c r="M249" s="194">
        <f t="shared" si="12"/>
        <v>5.4029402903320009E-74</v>
      </c>
      <c r="N249" s="194">
        <f t="shared" si="13"/>
        <v>1.2073145083198517E-4</v>
      </c>
      <c r="O249" s="195">
        <f>IF(ABS(U249)&gt;80,$B$7, LOOKUP(V249,'Force mapping'!$B$7:$B$167,'Force mapping'!$J$7:$J$167))</f>
        <v>1370</v>
      </c>
      <c r="P249" s="196">
        <f t="shared" si="4"/>
        <v>0.623</v>
      </c>
      <c r="Q249" s="191">
        <f t="shared" si="5"/>
        <v>2.6968583822209672E-5</v>
      </c>
      <c r="R249" s="197">
        <f>IF(ABS(U249)&gt;80, 0, LOOKUP(V249,'Force mapping'!$B$7:$B$167,'Force mapping'!$I$7:$I$167) * (N249/5) * SIGN(U249))</f>
        <v>5.946603464439263E-5</v>
      </c>
      <c r="S249" s="198">
        <f t="shared" si="6"/>
        <v>1.7286637978021113E-3</v>
      </c>
      <c r="T249" s="199">
        <f t="shared" si="14"/>
        <v>1.8919628981336194</v>
      </c>
      <c r="U249" s="200">
        <f t="shared" si="15"/>
        <v>45.861501528431752</v>
      </c>
      <c r="V249" s="200">
        <f t="shared" si="7"/>
        <v>46</v>
      </c>
      <c r="Y249" s="91"/>
      <c r="Z249" s="88"/>
    </row>
    <row r="250" spans="5:26" ht="12.5" x14ac:dyDescent="0.25">
      <c r="E250" s="186">
        <f t="shared" si="8"/>
        <v>246</v>
      </c>
      <c r="F250" s="187">
        <f t="shared" si="0"/>
        <v>12.3</v>
      </c>
      <c r="G250" s="188">
        <f t="shared" si="1"/>
        <v>12.923</v>
      </c>
      <c r="H250" s="189">
        <f t="shared" si="2"/>
        <v>163.52118655899665</v>
      </c>
      <c r="I250" s="190">
        <f t="shared" si="9"/>
        <v>0.7521974581713845</v>
      </c>
      <c r="J250" s="191">
        <f t="shared" si="10"/>
        <v>18.03958742024772</v>
      </c>
      <c r="K250" s="192" t="b">
        <f t="shared" si="3"/>
        <v>0</v>
      </c>
      <c r="L250" s="193">
        <f t="shared" si="11"/>
        <v>0</v>
      </c>
      <c r="M250" s="194">
        <f t="shared" si="12"/>
        <v>1.9990879074228404E-74</v>
      </c>
      <c r="N250" s="194">
        <f t="shared" si="13"/>
        <v>1.1104192829330256E-4</v>
      </c>
      <c r="O250" s="195">
        <f>IF(ABS(U250)&gt;80,$B$7, LOOKUP(V250,'Force mapping'!$B$7:$B$167,'Force mapping'!$J$7:$J$167))</f>
        <v>1370</v>
      </c>
      <c r="P250" s="196">
        <f t="shared" si="4"/>
        <v>0.623</v>
      </c>
      <c r="Q250" s="191">
        <f t="shared" si="5"/>
        <v>2.4804170995387065E-5</v>
      </c>
      <c r="R250" s="197">
        <f>IF(ABS(U250)&gt;80, 0, LOOKUP(V250,'Force mapping'!$B$7:$B$167,'Force mapping'!$I$7:$I$167) * (N250/5) * SIGN(U250))</f>
        <v>5.4693479697009592E-5</v>
      </c>
      <c r="S250" s="198">
        <f t="shared" si="6"/>
        <v>1.5899267353781858E-3</v>
      </c>
      <c r="T250" s="199">
        <f t="shared" si="14"/>
        <v>1.8919629845668093</v>
      </c>
      <c r="U250" s="200">
        <f t="shared" si="15"/>
        <v>45.766903340308474</v>
      </c>
      <c r="V250" s="200">
        <f t="shared" si="7"/>
        <v>46</v>
      </c>
      <c r="Y250" s="91"/>
      <c r="Z250" s="88"/>
    </row>
    <row r="251" spans="5:26" ht="12.5" x14ac:dyDescent="0.25">
      <c r="E251" s="186">
        <f t="shared" si="8"/>
        <v>247</v>
      </c>
      <c r="F251" s="187">
        <f t="shared" si="0"/>
        <v>12.350000000000001</v>
      </c>
      <c r="G251" s="188">
        <f t="shared" si="1"/>
        <v>12.973000000000001</v>
      </c>
      <c r="H251" s="189">
        <f t="shared" si="2"/>
        <v>163.52118655899665</v>
      </c>
      <c r="I251" s="190">
        <f t="shared" si="9"/>
        <v>0.7521974581713845</v>
      </c>
      <c r="J251" s="191">
        <f t="shared" si="10"/>
        <v>18.03958742024772</v>
      </c>
      <c r="K251" s="192" t="b">
        <f t="shared" si="3"/>
        <v>0</v>
      </c>
      <c r="L251" s="193">
        <f t="shared" si="11"/>
        <v>0</v>
      </c>
      <c r="M251" s="194">
        <f t="shared" si="12"/>
        <v>7.3966252574645092E-75</v>
      </c>
      <c r="N251" s="194">
        <f t="shared" si="13"/>
        <v>1.0213005603862337E-4</v>
      </c>
      <c r="O251" s="195">
        <f>IF(ABS(U251)&gt;80,$B$7, LOOKUP(V251,'Force mapping'!$B$7:$B$167,'Force mapping'!$J$7:$J$167))</f>
        <v>1406</v>
      </c>
      <c r="P251" s="196">
        <f t="shared" si="4"/>
        <v>0.623</v>
      </c>
      <c r="Q251" s="191">
        <f t="shared" si="5"/>
        <v>2.2813467063173012E-5</v>
      </c>
      <c r="R251" s="197">
        <f>IF(ABS(U251)&gt;80, 0, LOOKUP(V251,'Force mapping'!$B$7:$B$167,'Force mapping'!$I$7:$I$167) * (N251/5) * SIGN(U251))</f>
        <v>5.1284811899906808E-5</v>
      </c>
      <c r="S251" s="198">
        <f t="shared" si="6"/>
        <v>1.4908375552298491E-3</v>
      </c>
      <c r="T251" s="199">
        <f t="shared" si="14"/>
        <v>1.8919630640631462</v>
      </c>
      <c r="U251" s="200">
        <f t="shared" si="15"/>
        <v>45.672305151331962</v>
      </c>
      <c r="V251" s="200">
        <f t="shared" si="7"/>
        <v>45.5</v>
      </c>
      <c r="Y251" s="91"/>
      <c r="Z251" s="88"/>
    </row>
    <row r="252" spans="5:26" ht="12.5" x14ac:dyDescent="0.25">
      <c r="E252" s="186">
        <f t="shared" si="8"/>
        <v>248</v>
      </c>
      <c r="F252" s="187">
        <f t="shared" si="0"/>
        <v>12.4</v>
      </c>
      <c r="G252" s="188">
        <f t="shared" si="1"/>
        <v>13.023</v>
      </c>
      <c r="H252" s="189">
        <f t="shared" si="2"/>
        <v>163.52118655899665</v>
      </c>
      <c r="I252" s="190">
        <f t="shared" si="9"/>
        <v>0.7521974581713845</v>
      </c>
      <c r="J252" s="191">
        <f t="shared" si="10"/>
        <v>18.03958742024772</v>
      </c>
      <c r="K252" s="192" t="b">
        <f t="shared" si="3"/>
        <v>0</v>
      </c>
      <c r="L252" s="193">
        <f t="shared" si="11"/>
        <v>0</v>
      </c>
      <c r="M252" s="194">
        <f t="shared" si="12"/>
        <v>2.7367513452618682E-75</v>
      </c>
      <c r="N252" s="194">
        <f t="shared" si="13"/>
        <v>9.3933422327658396E-5</v>
      </c>
      <c r="O252" s="195">
        <f>IF(ABS(U252)&gt;80,$B$7, LOOKUP(V252,'Force mapping'!$B$7:$B$167,'Force mapping'!$J$7:$J$167))</f>
        <v>1406</v>
      </c>
      <c r="P252" s="196">
        <f t="shared" si="4"/>
        <v>0.623</v>
      </c>
      <c r="Q252" s="191">
        <f t="shared" si="5"/>
        <v>2.0982530701762653E-5</v>
      </c>
      <c r="R252" s="197">
        <f>IF(ABS(U252)&gt;80, 0, LOOKUP(V252,'Force mapping'!$B$7:$B$167,'Force mapping'!$I$7:$I$167) * (N252/5) * SIGN(U252))</f>
        <v>4.7168855888678324E-5</v>
      </c>
      <c r="S252" s="198">
        <f t="shared" si="6"/>
        <v>1.3711876711825094E-3</v>
      </c>
      <c r="T252" s="199">
        <f t="shared" si="14"/>
        <v>1.891963138605024</v>
      </c>
      <c r="U252" s="200">
        <f t="shared" si="15"/>
        <v>45.577706960857867</v>
      </c>
      <c r="V252" s="200">
        <f t="shared" si="7"/>
        <v>45.5</v>
      </c>
      <c r="Y252" s="91"/>
      <c r="Z252" s="88"/>
    </row>
    <row r="253" spans="5:26" ht="12.5" x14ac:dyDescent="0.25">
      <c r="E253" s="186">
        <f t="shared" si="8"/>
        <v>249</v>
      </c>
      <c r="F253" s="187">
        <f t="shared" si="0"/>
        <v>12.450000000000001</v>
      </c>
      <c r="G253" s="188">
        <f t="shared" si="1"/>
        <v>13.073</v>
      </c>
      <c r="H253" s="189">
        <f t="shared" si="2"/>
        <v>163.52118655899665</v>
      </c>
      <c r="I253" s="190">
        <f t="shared" si="9"/>
        <v>0.7521974581713845</v>
      </c>
      <c r="J253" s="191">
        <f t="shared" si="10"/>
        <v>18.03958742024772</v>
      </c>
      <c r="K253" s="192" t="b">
        <f t="shared" si="3"/>
        <v>0</v>
      </c>
      <c r="L253" s="193">
        <f t="shared" si="11"/>
        <v>0</v>
      </c>
      <c r="M253" s="194">
        <f t="shared" si="12"/>
        <v>1.0125979977468913E-75</v>
      </c>
      <c r="N253" s="194">
        <f t="shared" si="13"/>
        <v>8.6394624388038939E-5</v>
      </c>
      <c r="O253" s="195">
        <f>IF(ABS(U253)&gt;80,$B$7, LOOKUP(V253,'Force mapping'!$B$7:$B$167,'Force mapping'!$J$7:$J$167))</f>
        <v>1406</v>
      </c>
      <c r="P253" s="196">
        <f t="shared" si="4"/>
        <v>0.623</v>
      </c>
      <c r="Q253" s="191">
        <f t="shared" si="5"/>
        <v>1.9298539473691814E-5</v>
      </c>
      <c r="R253" s="197">
        <f>IF(ABS(U253)&gt;80, 0, LOOKUP(V253,'Force mapping'!$B$7:$B$167,'Force mapping'!$I$7:$I$167) * (N253/5) * SIGN(U253))</f>
        <v>4.3383233425702535E-5</v>
      </c>
      <c r="S253" s="198">
        <f t="shared" si="6"/>
        <v>1.2611405065611203E-3</v>
      </c>
      <c r="T253" s="199">
        <f t="shared" si="14"/>
        <v>1.8919632071644075</v>
      </c>
      <c r="U253" s="200">
        <f t="shared" si="15"/>
        <v>45.483108769647927</v>
      </c>
      <c r="V253" s="200">
        <f t="shared" si="7"/>
        <v>45.5</v>
      </c>
      <c r="Y253" s="91"/>
      <c r="Z253" s="88"/>
    </row>
    <row r="254" spans="5:26" ht="12.5" x14ac:dyDescent="0.25">
      <c r="E254" s="186">
        <f t="shared" si="8"/>
        <v>250</v>
      </c>
      <c r="F254" s="187">
        <f t="shared" si="0"/>
        <v>12.5</v>
      </c>
      <c r="G254" s="188">
        <f t="shared" si="1"/>
        <v>13.122999999999999</v>
      </c>
      <c r="H254" s="189">
        <f t="shared" si="2"/>
        <v>163.52118655899665</v>
      </c>
      <c r="I254" s="190">
        <f t="shared" si="9"/>
        <v>0.7521974581713845</v>
      </c>
      <c r="J254" s="191">
        <f t="shared" si="10"/>
        <v>18.03958742024772</v>
      </c>
      <c r="K254" s="192" t="b">
        <f t="shared" si="3"/>
        <v>0</v>
      </c>
      <c r="L254" s="193">
        <f t="shared" si="11"/>
        <v>0</v>
      </c>
      <c r="M254" s="194">
        <f t="shared" si="12"/>
        <v>3.7466125916634978E-76</v>
      </c>
      <c r="N254" s="194">
        <f t="shared" si="13"/>
        <v>7.9460866411470795E-5</v>
      </c>
      <c r="O254" s="195">
        <f>IF(ABS(U254)&gt;80,$B$7, LOOKUP(V254,'Force mapping'!$B$7:$B$167,'Force mapping'!$J$7:$J$167))</f>
        <v>1406</v>
      </c>
      <c r="P254" s="196">
        <f t="shared" si="4"/>
        <v>0.623</v>
      </c>
      <c r="Q254" s="191">
        <f t="shared" si="5"/>
        <v>1.7749700029575294E-5</v>
      </c>
      <c r="R254" s="197">
        <f>IF(ABS(U254)&gt;80, 0, LOOKUP(V254,'Force mapping'!$B$7:$B$167,'Force mapping'!$I$7:$I$167) * (N254/5) * SIGN(U254))</f>
        <v>3.9901432990252888E-5</v>
      </c>
      <c r="S254" s="198">
        <f t="shared" si="6"/>
        <v>1.1599253776236305E-3</v>
      </c>
      <c r="T254" s="199">
        <f t="shared" si="14"/>
        <v>1.8919632702214328</v>
      </c>
      <c r="U254" s="200">
        <f t="shared" si="15"/>
        <v>45.388510577761195</v>
      </c>
      <c r="V254" s="200">
        <f t="shared" si="7"/>
        <v>45.5</v>
      </c>
      <c r="Y254" s="91"/>
      <c r="Z254" s="88"/>
    </row>
    <row r="255" spans="5:26" ht="12.5" x14ac:dyDescent="0.25">
      <c r="E255" s="218"/>
      <c r="F255" s="219"/>
      <c r="G255" s="220"/>
      <c r="H255" s="221"/>
      <c r="I255" s="222"/>
      <c r="J255" s="223"/>
      <c r="K255" s="100"/>
      <c r="L255" s="224"/>
      <c r="M255" s="225"/>
      <c r="N255" s="225"/>
      <c r="O255" s="226"/>
      <c r="P255" s="227"/>
      <c r="Q255" s="223"/>
      <c r="R255" s="228"/>
      <c r="S255" s="229"/>
      <c r="T255" s="230"/>
      <c r="U255" s="231"/>
      <c r="V255" s="231"/>
      <c r="Y255" s="91"/>
      <c r="Z255" s="88"/>
    </row>
    <row r="256" spans="5:26" ht="12.5" x14ac:dyDescent="0.25">
      <c r="E256" s="218"/>
      <c r="F256" s="219"/>
      <c r="G256" s="220"/>
      <c r="H256" s="221"/>
      <c r="I256" s="222"/>
      <c r="J256" s="223"/>
      <c r="K256" s="100"/>
      <c r="L256" s="224"/>
      <c r="M256" s="225"/>
      <c r="N256" s="225"/>
      <c r="O256" s="226"/>
      <c r="P256" s="227"/>
      <c r="Q256" s="223"/>
      <c r="R256" s="228"/>
      <c r="S256" s="229"/>
      <c r="T256" s="230"/>
      <c r="U256" s="231"/>
      <c r="V256" s="231"/>
      <c r="Y256" s="91"/>
      <c r="Z256" s="88"/>
    </row>
    <row r="257" spans="5:26" ht="12.5" x14ac:dyDescent="0.25">
      <c r="E257" s="218"/>
      <c r="F257" s="219"/>
      <c r="G257" s="220"/>
      <c r="H257" s="221"/>
      <c r="I257" s="222"/>
      <c r="J257" s="223"/>
      <c r="K257" s="100"/>
      <c r="L257" s="224"/>
      <c r="M257" s="225"/>
      <c r="N257" s="225"/>
      <c r="O257" s="226"/>
      <c r="P257" s="227"/>
      <c r="Q257" s="223"/>
      <c r="R257" s="228"/>
      <c r="S257" s="229"/>
      <c r="T257" s="230"/>
      <c r="U257" s="231"/>
      <c r="V257" s="231"/>
      <c r="Y257" s="91"/>
      <c r="Z257" s="88"/>
    </row>
    <row r="258" spans="5:26" ht="12.5" x14ac:dyDescent="0.25">
      <c r="E258" s="218"/>
      <c r="F258" s="219"/>
      <c r="G258" s="220"/>
      <c r="H258" s="221"/>
      <c r="I258" s="222"/>
      <c r="J258" s="223"/>
      <c r="K258" s="100"/>
      <c r="L258" s="224"/>
      <c r="M258" s="225"/>
      <c r="N258" s="225"/>
      <c r="O258" s="226"/>
      <c r="P258" s="227"/>
      <c r="Q258" s="223"/>
      <c r="R258" s="228"/>
      <c r="S258" s="229"/>
      <c r="T258" s="230"/>
      <c r="U258" s="231"/>
      <c r="V258" s="231"/>
      <c r="Y258" s="91"/>
      <c r="Z258" s="88"/>
    </row>
    <row r="259" spans="5:26" ht="12.5" x14ac:dyDescent="0.25">
      <c r="E259" s="218"/>
      <c r="F259" s="219"/>
      <c r="G259" s="220"/>
      <c r="H259" s="221"/>
      <c r="I259" s="222"/>
      <c r="J259" s="223"/>
      <c r="K259" s="100"/>
      <c r="L259" s="224"/>
      <c r="M259" s="225"/>
      <c r="N259" s="225"/>
      <c r="O259" s="226"/>
      <c r="P259" s="227"/>
      <c r="Q259" s="223"/>
      <c r="R259" s="228"/>
      <c r="S259" s="229"/>
      <c r="T259" s="230"/>
      <c r="U259" s="231"/>
      <c r="V259" s="231"/>
      <c r="Y259" s="91"/>
      <c r="Z259" s="88"/>
    </row>
    <row r="260" spans="5:26" ht="12.5" x14ac:dyDescent="0.25">
      <c r="E260" s="218"/>
      <c r="F260" s="219"/>
      <c r="G260" s="220"/>
      <c r="H260" s="221"/>
      <c r="I260" s="222"/>
      <c r="J260" s="223"/>
      <c r="K260" s="100"/>
      <c r="L260" s="224"/>
      <c r="M260" s="225"/>
      <c r="N260" s="225"/>
      <c r="O260" s="226"/>
      <c r="P260" s="227"/>
      <c r="Q260" s="223"/>
      <c r="R260" s="228"/>
      <c r="S260" s="229"/>
      <c r="T260" s="230"/>
      <c r="U260" s="231"/>
      <c r="V260" s="231"/>
      <c r="Y260" s="91"/>
      <c r="Z260" s="88"/>
    </row>
    <row r="261" spans="5:26" ht="12.5" x14ac:dyDescent="0.25">
      <c r="E261" s="218"/>
      <c r="F261" s="219"/>
      <c r="G261" s="220"/>
      <c r="H261" s="221"/>
      <c r="I261" s="222"/>
      <c r="J261" s="223"/>
      <c r="K261" s="100"/>
      <c r="L261" s="224"/>
      <c r="M261" s="225"/>
      <c r="N261" s="225"/>
      <c r="O261" s="226"/>
      <c r="P261" s="227"/>
      <c r="Q261" s="223"/>
      <c r="R261" s="228"/>
      <c r="S261" s="229"/>
      <c r="T261" s="230"/>
      <c r="U261" s="231"/>
      <c r="V261" s="231"/>
      <c r="Y261" s="91"/>
      <c r="Z261" s="88"/>
    </row>
    <row r="262" spans="5:26" ht="12.5" x14ac:dyDescent="0.25">
      <c r="E262" s="218"/>
      <c r="F262" s="219"/>
      <c r="G262" s="220"/>
      <c r="H262" s="221"/>
      <c r="I262" s="222"/>
      <c r="J262" s="223"/>
      <c r="K262" s="100"/>
      <c r="L262" s="224"/>
      <c r="M262" s="225"/>
      <c r="N262" s="225"/>
      <c r="O262" s="226"/>
      <c r="P262" s="227"/>
      <c r="Q262" s="223"/>
      <c r="R262" s="228"/>
      <c r="S262" s="229"/>
      <c r="T262" s="230"/>
      <c r="U262" s="231"/>
      <c r="V262" s="231"/>
      <c r="Y262" s="91"/>
      <c r="Z262" s="88"/>
    </row>
    <row r="263" spans="5:26" ht="12.5" x14ac:dyDescent="0.25">
      <c r="E263" s="218"/>
      <c r="F263" s="219"/>
      <c r="G263" s="220"/>
      <c r="H263" s="221"/>
      <c r="I263" s="222"/>
      <c r="J263" s="223"/>
      <c r="K263" s="100"/>
      <c r="L263" s="224"/>
      <c r="M263" s="225"/>
      <c r="N263" s="225"/>
      <c r="O263" s="226"/>
      <c r="P263" s="227"/>
      <c r="Q263" s="223"/>
      <c r="R263" s="228"/>
      <c r="S263" s="229"/>
      <c r="T263" s="230"/>
      <c r="U263" s="231"/>
      <c r="V263" s="231"/>
      <c r="Y263" s="91"/>
      <c r="Z263" s="88"/>
    </row>
    <row r="264" spans="5:26" ht="12.5" x14ac:dyDescent="0.25">
      <c r="E264" s="218"/>
      <c r="F264" s="219"/>
      <c r="G264" s="220"/>
      <c r="H264" s="221"/>
      <c r="I264" s="222"/>
      <c r="J264" s="223"/>
      <c r="K264" s="100"/>
      <c r="L264" s="224"/>
      <c r="M264" s="225"/>
      <c r="N264" s="225"/>
      <c r="O264" s="226"/>
      <c r="P264" s="227"/>
      <c r="Q264" s="223"/>
      <c r="R264" s="228"/>
      <c r="S264" s="229"/>
      <c r="T264" s="230"/>
      <c r="U264" s="231"/>
      <c r="V264" s="231"/>
      <c r="Y264" s="91"/>
      <c r="Z264" s="88"/>
    </row>
    <row r="265" spans="5:26" ht="12.5" x14ac:dyDescent="0.25">
      <c r="E265" s="218"/>
      <c r="F265" s="219"/>
      <c r="G265" s="220"/>
      <c r="H265" s="221"/>
      <c r="I265" s="222"/>
      <c r="J265" s="223"/>
      <c r="K265" s="100"/>
      <c r="L265" s="224"/>
      <c r="M265" s="225"/>
      <c r="N265" s="225"/>
      <c r="O265" s="226"/>
      <c r="P265" s="227"/>
      <c r="Q265" s="223"/>
      <c r="R265" s="228"/>
      <c r="S265" s="229"/>
      <c r="T265" s="230"/>
      <c r="U265" s="231"/>
      <c r="V265" s="231"/>
      <c r="Y265" s="91"/>
      <c r="Z265" s="88"/>
    </row>
    <row r="266" spans="5:26" ht="12.5" x14ac:dyDescent="0.25">
      <c r="E266" s="218"/>
      <c r="F266" s="219"/>
      <c r="G266" s="220"/>
      <c r="H266" s="221"/>
      <c r="I266" s="222"/>
      <c r="J266" s="223"/>
      <c r="K266" s="100"/>
      <c r="L266" s="224"/>
      <c r="M266" s="225"/>
      <c r="N266" s="225"/>
      <c r="O266" s="226"/>
      <c r="P266" s="227"/>
      <c r="Q266" s="223"/>
      <c r="R266" s="228"/>
      <c r="S266" s="229"/>
      <c r="T266" s="230"/>
      <c r="U266" s="231"/>
      <c r="V266" s="231"/>
      <c r="Y266" s="91"/>
      <c r="Z266" s="88"/>
    </row>
    <row r="267" spans="5:26" ht="12.5" x14ac:dyDescent="0.25">
      <c r="E267" s="218"/>
      <c r="F267" s="219"/>
      <c r="G267" s="220"/>
      <c r="H267" s="221"/>
      <c r="I267" s="222"/>
      <c r="J267" s="223"/>
      <c r="K267" s="100"/>
      <c r="L267" s="224"/>
      <c r="M267" s="225"/>
      <c r="N267" s="225"/>
      <c r="O267" s="226"/>
      <c r="P267" s="227"/>
      <c r="Q267" s="223"/>
      <c r="R267" s="228"/>
      <c r="S267" s="229"/>
      <c r="T267" s="230"/>
      <c r="U267" s="231"/>
      <c r="V267" s="231"/>
      <c r="Y267" s="91"/>
      <c r="Z267" s="88"/>
    </row>
    <row r="268" spans="5:26" ht="12.5" x14ac:dyDescent="0.25">
      <c r="F268" s="101"/>
      <c r="G268" s="91"/>
      <c r="H268" s="91"/>
      <c r="I268" s="88"/>
      <c r="J268" s="91"/>
      <c r="K268" s="88"/>
      <c r="L268" s="88"/>
      <c r="M268" s="91"/>
      <c r="N268" s="88"/>
      <c r="O268" s="91"/>
      <c r="P268" s="91"/>
      <c r="Q268" s="88"/>
      <c r="R268" s="91"/>
      <c r="S268" s="91"/>
      <c r="T268" s="88"/>
      <c r="U268" s="88"/>
      <c r="V268" s="88"/>
      <c r="Y268" s="91"/>
      <c r="Z268" s="88"/>
    </row>
    <row r="269" spans="5:26" ht="12.5" x14ac:dyDescent="0.25">
      <c r="F269" s="101"/>
      <c r="G269" s="91"/>
      <c r="H269" s="91"/>
      <c r="I269" s="88"/>
      <c r="J269" s="91"/>
      <c r="K269" s="88"/>
      <c r="L269" s="88"/>
      <c r="M269" s="91"/>
      <c r="N269" s="88"/>
      <c r="O269" s="91"/>
      <c r="P269" s="91"/>
      <c r="Q269" s="88"/>
      <c r="R269" s="91"/>
      <c r="S269" s="91"/>
      <c r="T269" s="88"/>
      <c r="U269" s="88"/>
      <c r="V269" s="88"/>
      <c r="Y269" s="91"/>
      <c r="Z269" s="88"/>
    </row>
    <row r="270" spans="5:26" ht="12.5" x14ac:dyDescent="0.25">
      <c r="F270" s="101"/>
      <c r="G270" s="91"/>
      <c r="H270" s="91"/>
      <c r="I270" s="88"/>
      <c r="J270" s="91"/>
      <c r="K270" s="88"/>
      <c r="L270" s="88"/>
      <c r="M270" s="91"/>
      <c r="N270" s="88"/>
      <c r="O270" s="91"/>
      <c r="P270" s="91"/>
      <c r="Q270" s="88"/>
      <c r="R270" s="91"/>
      <c r="S270" s="91"/>
      <c r="T270" s="88"/>
      <c r="U270" s="88"/>
      <c r="V270" s="88"/>
      <c r="Y270" s="91"/>
      <c r="Z270" s="88"/>
    </row>
    <row r="271" spans="5:26" ht="12.5" x14ac:dyDescent="0.25">
      <c r="F271" s="101"/>
      <c r="G271" s="91"/>
      <c r="H271" s="91"/>
      <c r="I271" s="88"/>
      <c r="J271" s="91"/>
      <c r="K271" s="88"/>
      <c r="L271" s="88"/>
      <c r="M271" s="91"/>
      <c r="N271" s="88"/>
      <c r="O271" s="91"/>
      <c r="P271" s="91"/>
      <c r="Q271" s="88"/>
      <c r="R271" s="91"/>
      <c r="S271" s="91"/>
      <c r="T271" s="88"/>
      <c r="U271" s="88"/>
      <c r="V271" s="88"/>
      <c r="Y271" s="91"/>
      <c r="Z271" s="88"/>
    </row>
    <row r="272" spans="5:26" ht="12.5" x14ac:dyDescent="0.25">
      <c r="F272" s="101"/>
      <c r="G272" s="91"/>
      <c r="H272" s="91"/>
      <c r="I272" s="88"/>
      <c r="J272" s="91"/>
      <c r="K272" s="88"/>
      <c r="L272" s="88"/>
      <c r="M272" s="91"/>
      <c r="N272" s="88"/>
      <c r="O272" s="91"/>
      <c r="P272" s="91"/>
      <c r="Q272" s="88"/>
      <c r="R272" s="91"/>
      <c r="S272" s="91"/>
      <c r="T272" s="88"/>
      <c r="U272" s="88"/>
      <c r="V272" s="88"/>
      <c r="Y272" s="91"/>
      <c r="Z272" s="88"/>
    </row>
    <row r="273" spans="6:26" ht="12.5" x14ac:dyDescent="0.25">
      <c r="F273" s="101"/>
      <c r="G273" s="91"/>
      <c r="H273" s="91"/>
      <c r="I273" s="88"/>
      <c r="J273" s="91"/>
      <c r="K273" s="88"/>
      <c r="L273" s="88"/>
      <c r="M273" s="91"/>
      <c r="N273" s="88"/>
      <c r="O273" s="91"/>
      <c r="P273" s="91"/>
      <c r="Q273" s="88"/>
      <c r="R273" s="91"/>
      <c r="S273" s="91"/>
      <c r="T273" s="88"/>
      <c r="U273" s="88"/>
      <c r="V273" s="88"/>
      <c r="Y273" s="91"/>
      <c r="Z273" s="88"/>
    </row>
    <row r="274" spans="6:26" ht="12.5" x14ac:dyDescent="0.25">
      <c r="F274" s="101"/>
      <c r="G274" s="91"/>
      <c r="H274" s="91"/>
      <c r="I274" s="88"/>
      <c r="J274" s="91"/>
      <c r="K274" s="88"/>
      <c r="L274" s="88"/>
      <c r="M274" s="91"/>
      <c r="N274" s="88"/>
      <c r="O274" s="91"/>
      <c r="P274" s="91"/>
      <c r="Q274" s="88"/>
      <c r="R274" s="91"/>
      <c r="S274" s="91"/>
      <c r="T274" s="88"/>
      <c r="U274" s="88"/>
      <c r="V274" s="88"/>
      <c r="Y274" s="91"/>
      <c r="Z274" s="88"/>
    </row>
    <row r="275" spans="6:26" ht="12.5" x14ac:dyDescent="0.25">
      <c r="F275" s="101"/>
      <c r="G275" s="91"/>
      <c r="H275" s="91"/>
      <c r="I275" s="88"/>
      <c r="J275" s="91"/>
      <c r="K275" s="88"/>
      <c r="L275" s="88"/>
      <c r="M275" s="91"/>
      <c r="N275" s="88"/>
      <c r="O275" s="91"/>
      <c r="P275" s="91"/>
      <c r="Q275" s="88"/>
      <c r="R275" s="91"/>
      <c r="S275" s="91"/>
      <c r="T275" s="88"/>
      <c r="U275" s="88"/>
      <c r="V275" s="88"/>
      <c r="Y275" s="91"/>
      <c r="Z275" s="88"/>
    </row>
    <row r="276" spans="6:26" ht="12.5" x14ac:dyDescent="0.25">
      <c r="F276" s="101"/>
      <c r="G276" s="91"/>
      <c r="H276" s="91"/>
      <c r="I276" s="88"/>
      <c r="J276" s="91"/>
      <c r="K276" s="88"/>
      <c r="L276" s="88"/>
      <c r="M276" s="91"/>
      <c r="N276" s="88"/>
      <c r="O276" s="91"/>
      <c r="P276" s="91"/>
      <c r="Q276" s="88"/>
      <c r="R276" s="91"/>
      <c r="S276" s="91"/>
      <c r="T276" s="88"/>
      <c r="U276" s="88"/>
      <c r="V276" s="88"/>
      <c r="Y276" s="91"/>
      <c r="Z276" s="88"/>
    </row>
    <row r="277" spans="6:26" ht="12.5" x14ac:dyDescent="0.25">
      <c r="F277" s="101"/>
      <c r="G277" s="91"/>
      <c r="H277" s="91"/>
      <c r="I277" s="88"/>
      <c r="J277" s="91"/>
      <c r="K277" s="88"/>
      <c r="L277" s="88"/>
      <c r="M277" s="91"/>
      <c r="N277" s="88"/>
      <c r="O277" s="91"/>
      <c r="P277" s="91"/>
      <c r="Q277" s="88"/>
      <c r="R277" s="91"/>
      <c r="S277" s="91"/>
      <c r="T277" s="88"/>
      <c r="U277" s="88"/>
      <c r="V277" s="88"/>
      <c r="Y277" s="91"/>
      <c r="Z277" s="88"/>
    </row>
    <row r="278" spans="6:26" ht="12.5" x14ac:dyDescent="0.25">
      <c r="F278" s="101"/>
      <c r="G278" s="91"/>
      <c r="H278" s="91"/>
      <c r="I278" s="88"/>
      <c r="J278" s="91"/>
      <c r="K278" s="88"/>
      <c r="L278" s="88"/>
      <c r="M278" s="91"/>
      <c r="N278" s="88"/>
      <c r="O278" s="91"/>
      <c r="P278" s="91"/>
      <c r="Q278" s="88"/>
      <c r="R278" s="91"/>
      <c r="S278" s="91"/>
      <c r="T278" s="88"/>
      <c r="U278" s="88"/>
      <c r="V278" s="88"/>
      <c r="Y278" s="91"/>
      <c r="Z278" s="88"/>
    </row>
    <row r="279" spans="6:26" ht="12.5" x14ac:dyDescent="0.25">
      <c r="F279" s="101"/>
      <c r="G279" s="91"/>
      <c r="H279" s="91"/>
      <c r="I279" s="88"/>
      <c r="J279" s="91"/>
      <c r="K279" s="88"/>
      <c r="L279" s="88"/>
      <c r="M279" s="91"/>
      <c r="N279" s="88"/>
      <c r="O279" s="91"/>
      <c r="P279" s="91"/>
      <c r="Q279" s="88"/>
      <c r="R279" s="91"/>
      <c r="S279" s="91"/>
      <c r="T279" s="88"/>
      <c r="U279" s="88"/>
      <c r="V279" s="88"/>
      <c r="Y279" s="91"/>
      <c r="Z279" s="88"/>
    </row>
    <row r="280" spans="6:26" ht="12.5" x14ac:dyDescent="0.25">
      <c r="F280" s="101"/>
      <c r="G280" s="91"/>
      <c r="H280" s="91"/>
      <c r="I280" s="88"/>
      <c r="J280" s="91"/>
      <c r="K280" s="88"/>
      <c r="L280" s="88"/>
      <c r="M280" s="91"/>
      <c r="N280" s="88"/>
      <c r="O280" s="91"/>
      <c r="P280" s="91"/>
      <c r="Q280" s="88"/>
      <c r="R280" s="91"/>
      <c r="S280" s="91"/>
      <c r="T280" s="88"/>
      <c r="U280" s="88"/>
      <c r="V280" s="88"/>
      <c r="Y280" s="91"/>
      <c r="Z280" s="88"/>
    </row>
    <row r="281" spans="6:26" ht="12.5" x14ac:dyDescent="0.25">
      <c r="F281" s="101"/>
      <c r="G281" s="91"/>
      <c r="H281" s="91"/>
      <c r="I281" s="88"/>
      <c r="J281" s="91"/>
      <c r="K281" s="88"/>
      <c r="L281" s="88"/>
      <c r="M281" s="91"/>
      <c r="N281" s="88"/>
      <c r="O281" s="91"/>
      <c r="P281" s="91"/>
      <c r="Q281" s="88"/>
      <c r="R281" s="91"/>
      <c r="S281" s="91"/>
      <c r="T281" s="88"/>
      <c r="U281" s="88"/>
      <c r="V281" s="88"/>
      <c r="Y281" s="91"/>
      <c r="Z281" s="88"/>
    </row>
    <row r="282" spans="6:26" ht="12.5" x14ac:dyDescent="0.25">
      <c r="F282" s="101"/>
      <c r="G282" s="91"/>
      <c r="H282" s="91"/>
      <c r="I282" s="88"/>
      <c r="J282" s="91"/>
      <c r="K282" s="88"/>
      <c r="L282" s="88"/>
      <c r="M282" s="91"/>
      <c r="N282" s="88"/>
      <c r="O282" s="91"/>
      <c r="P282" s="91"/>
      <c r="Q282" s="88"/>
      <c r="R282" s="91"/>
      <c r="S282" s="91"/>
      <c r="T282" s="88"/>
      <c r="U282" s="88"/>
      <c r="V282" s="88"/>
      <c r="Y282" s="91"/>
      <c r="Z282" s="88"/>
    </row>
    <row r="283" spans="6:26" ht="12.5" x14ac:dyDescent="0.25">
      <c r="F283" s="101"/>
      <c r="G283" s="91"/>
      <c r="H283" s="91"/>
      <c r="I283" s="88"/>
      <c r="J283" s="91"/>
      <c r="K283" s="88"/>
      <c r="L283" s="88"/>
      <c r="M283" s="91"/>
      <c r="N283" s="88"/>
      <c r="O283" s="91"/>
      <c r="P283" s="91"/>
      <c r="Q283" s="88"/>
      <c r="R283" s="91"/>
      <c r="S283" s="91"/>
      <c r="T283" s="88"/>
      <c r="U283" s="88"/>
      <c r="V283" s="88"/>
      <c r="Y283" s="91"/>
      <c r="Z283" s="88"/>
    </row>
    <row r="284" spans="6:26" ht="12.5" x14ac:dyDescent="0.25">
      <c r="F284" s="101"/>
      <c r="G284" s="91"/>
      <c r="H284" s="91"/>
      <c r="I284" s="88"/>
      <c r="J284" s="91"/>
      <c r="K284" s="88"/>
      <c r="L284" s="88"/>
      <c r="M284" s="91"/>
      <c r="N284" s="88"/>
      <c r="O284" s="91"/>
      <c r="P284" s="91"/>
      <c r="Q284" s="88"/>
      <c r="R284" s="91"/>
      <c r="S284" s="91"/>
      <c r="T284" s="88"/>
      <c r="U284" s="88"/>
      <c r="V284" s="88"/>
      <c r="Y284" s="91"/>
      <c r="Z284" s="88"/>
    </row>
    <row r="285" spans="6:26" ht="12.5" x14ac:dyDescent="0.25">
      <c r="F285" s="101"/>
      <c r="G285" s="91"/>
      <c r="H285" s="91"/>
      <c r="I285" s="88"/>
      <c r="J285" s="91"/>
      <c r="K285" s="88"/>
      <c r="L285" s="88"/>
      <c r="M285" s="91"/>
      <c r="N285" s="88"/>
      <c r="O285" s="91"/>
      <c r="P285" s="91"/>
      <c r="Q285" s="88"/>
      <c r="R285" s="91"/>
      <c r="S285" s="91"/>
      <c r="T285" s="88"/>
      <c r="U285" s="88"/>
      <c r="V285" s="88"/>
      <c r="Y285" s="91"/>
      <c r="Z285" s="88"/>
    </row>
    <row r="286" spans="6:26" ht="12.5" x14ac:dyDescent="0.25">
      <c r="F286" s="101"/>
      <c r="G286" s="91"/>
      <c r="H286" s="91"/>
      <c r="I286" s="88"/>
      <c r="J286" s="91"/>
      <c r="K286" s="88"/>
      <c r="L286" s="88"/>
      <c r="M286" s="91"/>
      <c r="N286" s="88"/>
      <c r="O286" s="91"/>
      <c r="P286" s="91"/>
      <c r="Q286" s="88"/>
      <c r="R286" s="91"/>
      <c r="S286" s="91"/>
      <c r="T286" s="88"/>
      <c r="U286" s="88"/>
      <c r="V286" s="88"/>
      <c r="Y286" s="91"/>
      <c r="Z286" s="88"/>
    </row>
    <row r="287" spans="6:26" ht="12.5" x14ac:dyDescent="0.25">
      <c r="F287" s="101"/>
      <c r="G287" s="91"/>
      <c r="H287" s="91"/>
      <c r="I287" s="88"/>
      <c r="J287" s="91"/>
      <c r="K287" s="88"/>
      <c r="L287" s="88"/>
      <c r="M287" s="91"/>
      <c r="N287" s="88"/>
      <c r="O287" s="91"/>
      <c r="P287" s="91"/>
      <c r="Q287" s="88"/>
      <c r="R287" s="91"/>
      <c r="S287" s="91"/>
      <c r="T287" s="88"/>
      <c r="U287" s="88"/>
      <c r="V287" s="88"/>
      <c r="Y287" s="91"/>
      <c r="Z287" s="88"/>
    </row>
    <row r="288" spans="6:26" ht="12.5" x14ac:dyDescent="0.25">
      <c r="F288" s="101"/>
      <c r="G288" s="91"/>
      <c r="H288" s="91"/>
      <c r="I288" s="88"/>
      <c r="J288" s="91"/>
      <c r="K288" s="88"/>
      <c r="L288" s="88"/>
      <c r="M288" s="91"/>
      <c r="N288" s="88"/>
      <c r="O288" s="91"/>
      <c r="P288" s="91"/>
      <c r="Q288" s="88"/>
      <c r="R288" s="91"/>
      <c r="S288" s="91"/>
      <c r="T288" s="88"/>
      <c r="U288" s="88"/>
      <c r="V288" s="88"/>
      <c r="Y288" s="91"/>
      <c r="Z288" s="88"/>
    </row>
    <row r="289" spans="6:26" ht="12.5" x14ac:dyDescent="0.25">
      <c r="F289" s="101"/>
      <c r="G289" s="91"/>
      <c r="H289" s="91"/>
      <c r="I289" s="88"/>
      <c r="J289" s="91"/>
      <c r="K289" s="88"/>
      <c r="L289" s="88"/>
      <c r="M289" s="91"/>
      <c r="N289" s="88"/>
      <c r="O289" s="91"/>
      <c r="P289" s="91"/>
      <c r="Q289" s="88"/>
      <c r="R289" s="91"/>
      <c r="S289" s="91"/>
      <c r="T289" s="88"/>
      <c r="U289" s="88"/>
      <c r="V289" s="88"/>
      <c r="Y289" s="91"/>
      <c r="Z289" s="88"/>
    </row>
    <row r="290" spans="6:26" ht="12.5" x14ac:dyDescent="0.25">
      <c r="F290" s="101"/>
      <c r="G290" s="91"/>
      <c r="H290" s="91"/>
      <c r="I290" s="88"/>
      <c r="J290" s="91"/>
      <c r="K290" s="88"/>
      <c r="L290" s="88"/>
      <c r="M290" s="91"/>
      <c r="N290" s="88"/>
      <c r="O290" s="91"/>
      <c r="P290" s="91"/>
      <c r="Q290" s="88"/>
      <c r="R290" s="91"/>
      <c r="S290" s="91"/>
      <c r="T290" s="88"/>
      <c r="U290" s="88"/>
      <c r="V290" s="88"/>
      <c r="Y290" s="91"/>
      <c r="Z290" s="88"/>
    </row>
    <row r="291" spans="6:26" ht="12.5" x14ac:dyDescent="0.25">
      <c r="F291" s="101"/>
      <c r="G291" s="91"/>
      <c r="H291" s="91"/>
      <c r="I291" s="88"/>
      <c r="J291" s="91"/>
      <c r="K291" s="88"/>
      <c r="L291" s="88"/>
      <c r="M291" s="91"/>
      <c r="N291" s="88"/>
      <c r="O291" s="91"/>
      <c r="P291" s="91"/>
      <c r="Q291" s="88"/>
      <c r="R291" s="91"/>
      <c r="S291" s="91"/>
      <c r="T291" s="88"/>
      <c r="U291" s="88"/>
      <c r="V291" s="88"/>
      <c r="Y291" s="91"/>
      <c r="Z291" s="88"/>
    </row>
    <row r="292" spans="6:26" ht="12.5" x14ac:dyDescent="0.25">
      <c r="F292" s="101"/>
      <c r="G292" s="91"/>
      <c r="H292" s="91"/>
      <c r="I292" s="88"/>
      <c r="J292" s="91"/>
      <c r="K292" s="88"/>
      <c r="L292" s="88"/>
      <c r="M292" s="91"/>
      <c r="N292" s="88"/>
      <c r="O292" s="91"/>
      <c r="P292" s="91"/>
      <c r="Q292" s="88"/>
      <c r="R292" s="91"/>
      <c r="S292" s="91"/>
      <c r="T292" s="88"/>
      <c r="U292" s="88"/>
      <c r="V292" s="88"/>
      <c r="Y292" s="91"/>
      <c r="Z292" s="88"/>
    </row>
    <row r="293" spans="6:26" ht="12.5" x14ac:dyDescent="0.25">
      <c r="F293" s="101"/>
      <c r="G293" s="91"/>
      <c r="H293" s="91"/>
      <c r="I293" s="88"/>
      <c r="J293" s="91"/>
      <c r="K293" s="88"/>
      <c r="L293" s="88"/>
      <c r="M293" s="91"/>
      <c r="N293" s="88"/>
      <c r="O293" s="91"/>
      <c r="P293" s="91"/>
      <c r="Q293" s="88"/>
      <c r="R293" s="91"/>
      <c r="S293" s="91"/>
      <c r="T293" s="88"/>
      <c r="U293" s="88"/>
      <c r="V293" s="88"/>
      <c r="Y293" s="91"/>
      <c r="Z293" s="88"/>
    </row>
    <row r="294" spans="6:26" ht="12.5" x14ac:dyDescent="0.25">
      <c r="F294" s="101"/>
      <c r="G294" s="91"/>
      <c r="H294" s="91"/>
      <c r="I294" s="88"/>
      <c r="J294" s="91"/>
      <c r="K294" s="88"/>
      <c r="L294" s="88"/>
      <c r="M294" s="91"/>
      <c r="N294" s="88"/>
      <c r="O294" s="91"/>
      <c r="P294" s="91"/>
      <c r="Q294" s="88"/>
      <c r="R294" s="91"/>
      <c r="S294" s="91"/>
      <c r="T294" s="88"/>
      <c r="U294" s="88"/>
      <c r="V294" s="88"/>
      <c r="Y294" s="91"/>
      <c r="Z294" s="88"/>
    </row>
    <row r="295" spans="6:26" ht="12.5" x14ac:dyDescent="0.25">
      <c r="F295" s="101"/>
      <c r="G295" s="91"/>
      <c r="H295" s="91"/>
      <c r="I295" s="88"/>
      <c r="J295" s="91"/>
      <c r="K295" s="88"/>
      <c r="L295" s="88"/>
      <c r="M295" s="91"/>
      <c r="N295" s="88"/>
      <c r="O295" s="91"/>
      <c r="P295" s="91"/>
      <c r="Q295" s="88"/>
      <c r="R295" s="91"/>
      <c r="S295" s="91"/>
      <c r="T295" s="88"/>
      <c r="U295" s="88"/>
      <c r="V295" s="88"/>
      <c r="Y295" s="91"/>
      <c r="Z295" s="88"/>
    </row>
    <row r="296" spans="6:26" ht="12.5" x14ac:dyDescent="0.25">
      <c r="F296" s="101"/>
      <c r="G296" s="91"/>
      <c r="H296" s="91"/>
      <c r="I296" s="88"/>
      <c r="J296" s="91"/>
      <c r="K296" s="88"/>
      <c r="L296" s="88"/>
      <c r="M296" s="91"/>
      <c r="N296" s="88"/>
      <c r="O296" s="91"/>
      <c r="P296" s="91"/>
      <c r="Q296" s="88"/>
      <c r="R296" s="91"/>
      <c r="S296" s="91"/>
      <c r="T296" s="88"/>
      <c r="U296" s="88"/>
      <c r="V296" s="88"/>
      <c r="Y296" s="91"/>
      <c r="Z296" s="88"/>
    </row>
    <row r="297" spans="6:26" ht="12.5" x14ac:dyDescent="0.25">
      <c r="F297" s="101"/>
      <c r="G297" s="91"/>
      <c r="H297" s="91"/>
      <c r="I297" s="88"/>
      <c r="J297" s="91"/>
      <c r="K297" s="88"/>
      <c r="L297" s="88"/>
      <c r="M297" s="91"/>
      <c r="N297" s="88"/>
      <c r="O297" s="91"/>
      <c r="P297" s="91"/>
      <c r="Q297" s="88"/>
      <c r="R297" s="91"/>
      <c r="S297" s="91"/>
      <c r="T297" s="88"/>
      <c r="U297" s="88"/>
      <c r="V297" s="88"/>
      <c r="Y297" s="91"/>
      <c r="Z297" s="88"/>
    </row>
    <row r="298" spans="6:26" ht="12.5" x14ac:dyDescent="0.25">
      <c r="F298" s="101"/>
      <c r="G298" s="91"/>
      <c r="H298" s="91"/>
      <c r="I298" s="88"/>
      <c r="J298" s="91"/>
      <c r="K298" s="88"/>
      <c r="L298" s="88"/>
      <c r="M298" s="91"/>
      <c r="N298" s="88"/>
      <c r="O298" s="91"/>
      <c r="P298" s="91"/>
      <c r="Q298" s="88"/>
      <c r="R298" s="91"/>
      <c r="S298" s="91"/>
      <c r="T298" s="88"/>
      <c r="U298" s="88"/>
      <c r="V298" s="88"/>
      <c r="Y298" s="91"/>
      <c r="Z298" s="88"/>
    </row>
    <row r="299" spans="6:26" ht="12.5" x14ac:dyDescent="0.25">
      <c r="F299" s="101"/>
      <c r="G299" s="91"/>
      <c r="H299" s="91"/>
      <c r="I299" s="88"/>
      <c r="J299" s="91"/>
      <c r="K299" s="88"/>
      <c r="L299" s="88"/>
      <c r="M299" s="91"/>
      <c r="N299" s="88"/>
      <c r="O299" s="91"/>
      <c r="P299" s="91"/>
      <c r="Q299" s="88"/>
      <c r="R299" s="91"/>
      <c r="S299" s="91"/>
      <c r="T299" s="88"/>
      <c r="U299" s="88"/>
      <c r="V299" s="88"/>
      <c r="Y299" s="91"/>
      <c r="Z299" s="88"/>
    </row>
    <row r="300" spans="6:26" ht="12.5" x14ac:dyDescent="0.25">
      <c r="F300" s="101"/>
      <c r="G300" s="91"/>
      <c r="H300" s="91"/>
      <c r="I300" s="88"/>
      <c r="J300" s="91"/>
      <c r="K300" s="88"/>
      <c r="L300" s="88"/>
      <c r="M300" s="91"/>
      <c r="N300" s="88"/>
      <c r="O300" s="91"/>
      <c r="P300" s="91"/>
      <c r="Q300" s="88"/>
      <c r="R300" s="91"/>
      <c r="S300" s="91"/>
      <c r="T300" s="88"/>
      <c r="U300" s="88"/>
      <c r="V300" s="88"/>
      <c r="Y300" s="91"/>
      <c r="Z300" s="88"/>
    </row>
    <row r="301" spans="6:26" ht="12.5" x14ac:dyDescent="0.25">
      <c r="F301" s="101"/>
      <c r="G301" s="91"/>
      <c r="H301" s="91"/>
      <c r="I301" s="88"/>
      <c r="J301" s="91"/>
      <c r="K301" s="88"/>
      <c r="L301" s="88"/>
      <c r="M301" s="91"/>
      <c r="N301" s="88"/>
      <c r="O301" s="91"/>
      <c r="P301" s="91"/>
      <c r="Q301" s="88"/>
      <c r="R301" s="91"/>
      <c r="S301" s="91"/>
      <c r="T301" s="88"/>
      <c r="U301" s="88"/>
      <c r="V301" s="88"/>
      <c r="Y301" s="91"/>
      <c r="Z301" s="88"/>
    </row>
    <row r="302" spans="6:26" ht="12.5" x14ac:dyDescent="0.25">
      <c r="F302" s="101"/>
      <c r="G302" s="91"/>
      <c r="H302" s="91"/>
      <c r="I302" s="88"/>
      <c r="J302" s="91"/>
      <c r="K302" s="88"/>
      <c r="L302" s="88"/>
      <c r="M302" s="91"/>
      <c r="N302" s="88"/>
      <c r="O302" s="91"/>
      <c r="P302" s="91"/>
      <c r="Q302" s="88"/>
      <c r="R302" s="91"/>
      <c r="S302" s="91"/>
      <c r="T302" s="88"/>
      <c r="U302" s="88"/>
      <c r="V302" s="88"/>
      <c r="Y302" s="91"/>
      <c r="Z302" s="88"/>
    </row>
    <row r="303" spans="6:26" ht="12.5" x14ac:dyDescent="0.25">
      <c r="F303" s="101"/>
      <c r="G303" s="91"/>
      <c r="H303" s="91"/>
      <c r="I303" s="88"/>
      <c r="J303" s="91"/>
      <c r="K303" s="88"/>
      <c r="L303" s="88"/>
      <c r="M303" s="91"/>
      <c r="N303" s="88"/>
      <c r="O303" s="91"/>
      <c r="P303" s="91"/>
      <c r="Q303" s="88"/>
      <c r="R303" s="91"/>
      <c r="S303" s="91"/>
      <c r="T303" s="88"/>
      <c r="U303" s="88"/>
      <c r="V303" s="88"/>
      <c r="Y303" s="91"/>
      <c r="Z303" s="88"/>
    </row>
    <row r="304" spans="6:26" ht="12.5" x14ac:dyDescent="0.25">
      <c r="F304" s="101"/>
      <c r="G304" s="91"/>
      <c r="H304" s="91"/>
      <c r="I304" s="88"/>
      <c r="J304" s="91"/>
      <c r="K304" s="88"/>
      <c r="L304" s="88"/>
      <c r="M304" s="91"/>
      <c r="N304" s="88"/>
      <c r="O304" s="91"/>
      <c r="P304" s="91"/>
      <c r="Q304" s="88"/>
      <c r="R304" s="91"/>
      <c r="S304" s="91"/>
      <c r="T304" s="88"/>
      <c r="U304" s="88"/>
      <c r="V304" s="88"/>
      <c r="Y304" s="91"/>
      <c r="Z304" s="88"/>
    </row>
    <row r="305" spans="6:26" ht="12.5" x14ac:dyDescent="0.25">
      <c r="F305" s="101"/>
      <c r="G305" s="91"/>
      <c r="H305" s="91"/>
      <c r="I305" s="88"/>
      <c r="J305" s="91"/>
      <c r="K305" s="88"/>
      <c r="L305" s="88"/>
      <c r="M305" s="91"/>
      <c r="N305" s="88"/>
      <c r="O305" s="91"/>
      <c r="P305" s="91"/>
      <c r="Q305" s="88"/>
      <c r="R305" s="91"/>
      <c r="S305" s="91"/>
      <c r="T305" s="88"/>
      <c r="U305" s="88"/>
      <c r="V305" s="88"/>
      <c r="Y305" s="91"/>
      <c r="Z305" s="88"/>
    </row>
    <row r="306" spans="6:26" ht="12.5" x14ac:dyDescent="0.25">
      <c r="F306" s="101"/>
      <c r="G306" s="91"/>
      <c r="H306" s="91"/>
      <c r="I306" s="88"/>
      <c r="J306" s="91"/>
      <c r="K306" s="88"/>
      <c r="L306" s="88"/>
      <c r="M306" s="91"/>
      <c r="N306" s="88"/>
      <c r="O306" s="91"/>
      <c r="P306" s="91"/>
      <c r="Q306" s="88"/>
      <c r="R306" s="91"/>
      <c r="S306" s="91"/>
      <c r="T306" s="88"/>
      <c r="U306" s="88"/>
      <c r="V306" s="88"/>
      <c r="Y306" s="91"/>
      <c r="Z306" s="88"/>
    </row>
    <row r="307" spans="6:26" ht="12.5" x14ac:dyDescent="0.25">
      <c r="F307" s="101"/>
      <c r="G307" s="91"/>
      <c r="H307" s="91"/>
      <c r="I307" s="88"/>
      <c r="J307" s="91"/>
      <c r="K307" s="88"/>
      <c r="L307" s="88"/>
      <c r="M307" s="91"/>
      <c r="N307" s="88"/>
      <c r="O307" s="91"/>
      <c r="P307" s="91"/>
      <c r="Q307" s="88"/>
      <c r="R307" s="91"/>
      <c r="S307" s="91"/>
      <c r="T307" s="88"/>
      <c r="U307" s="88"/>
      <c r="V307" s="88"/>
      <c r="Y307" s="91"/>
      <c r="Z307" s="88"/>
    </row>
    <row r="308" spans="6:26" ht="12.5" x14ac:dyDescent="0.25">
      <c r="F308" s="101"/>
      <c r="G308" s="91"/>
      <c r="H308" s="91"/>
      <c r="I308" s="88"/>
      <c r="J308" s="91"/>
      <c r="K308" s="88"/>
      <c r="L308" s="88"/>
      <c r="M308" s="91"/>
      <c r="N308" s="88"/>
      <c r="O308" s="91"/>
      <c r="P308" s="91"/>
      <c r="Q308" s="88"/>
      <c r="R308" s="91"/>
      <c r="S308" s="91"/>
      <c r="T308" s="88"/>
      <c r="U308" s="88"/>
      <c r="V308" s="88"/>
      <c r="Y308" s="91"/>
      <c r="Z308" s="88"/>
    </row>
    <row r="309" spans="6:26" ht="12.5" x14ac:dyDescent="0.25">
      <c r="F309" s="101"/>
      <c r="G309" s="91"/>
      <c r="H309" s="91"/>
      <c r="I309" s="88"/>
      <c r="J309" s="91"/>
      <c r="K309" s="88"/>
      <c r="L309" s="88"/>
      <c r="M309" s="91"/>
      <c r="N309" s="88"/>
      <c r="O309" s="91"/>
      <c r="P309" s="91"/>
      <c r="Q309" s="88"/>
      <c r="R309" s="91"/>
      <c r="S309" s="91"/>
      <c r="T309" s="88"/>
      <c r="U309" s="88"/>
      <c r="V309" s="88"/>
      <c r="Y309" s="91"/>
      <c r="Z309" s="88"/>
    </row>
    <row r="310" spans="6:26" ht="12.5" x14ac:dyDescent="0.25">
      <c r="F310" s="101"/>
      <c r="G310" s="91"/>
      <c r="H310" s="91"/>
      <c r="I310" s="88"/>
      <c r="J310" s="91"/>
      <c r="K310" s="88"/>
      <c r="L310" s="88"/>
      <c r="M310" s="91"/>
      <c r="N310" s="88"/>
      <c r="O310" s="91"/>
      <c r="P310" s="91"/>
      <c r="Q310" s="88"/>
      <c r="R310" s="91"/>
      <c r="S310" s="91"/>
      <c r="T310" s="88"/>
      <c r="U310" s="88"/>
      <c r="V310" s="88"/>
      <c r="Y310" s="91"/>
      <c r="Z310" s="88"/>
    </row>
    <row r="311" spans="6:26" ht="12.5" x14ac:dyDescent="0.25">
      <c r="F311" s="101"/>
      <c r="G311" s="91"/>
      <c r="H311" s="91"/>
      <c r="I311" s="88"/>
      <c r="J311" s="91"/>
      <c r="K311" s="88"/>
      <c r="L311" s="88"/>
      <c r="M311" s="91"/>
      <c r="N311" s="88"/>
      <c r="O311" s="91"/>
      <c r="P311" s="91"/>
      <c r="Q311" s="88"/>
      <c r="R311" s="91"/>
      <c r="S311" s="91"/>
      <c r="T311" s="88"/>
      <c r="U311" s="88"/>
      <c r="V311" s="88"/>
      <c r="Y311" s="91"/>
      <c r="Z311" s="88"/>
    </row>
    <row r="312" spans="6:26" ht="12.5" x14ac:dyDescent="0.25">
      <c r="F312" s="101"/>
      <c r="G312" s="91"/>
      <c r="H312" s="91"/>
      <c r="I312" s="88"/>
      <c r="J312" s="91"/>
      <c r="K312" s="88"/>
      <c r="L312" s="88"/>
      <c r="M312" s="91"/>
      <c r="N312" s="88"/>
      <c r="O312" s="91"/>
      <c r="P312" s="91"/>
      <c r="Q312" s="88"/>
      <c r="R312" s="91"/>
      <c r="S312" s="91"/>
      <c r="T312" s="88"/>
      <c r="U312" s="88"/>
      <c r="V312" s="88"/>
      <c r="Y312" s="91"/>
      <c r="Z312" s="88"/>
    </row>
    <row r="313" spans="6:26" ht="12.5" x14ac:dyDescent="0.25">
      <c r="F313" s="101"/>
      <c r="G313" s="91"/>
      <c r="H313" s="91"/>
      <c r="I313" s="88"/>
      <c r="J313" s="91"/>
      <c r="K313" s="88"/>
      <c r="L313" s="88"/>
      <c r="M313" s="91"/>
      <c r="N313" s="88"/>
      <c r="O313" s="91"/>
      <c r="P313" s="91"/>
      <c r="Q313" s="88"/>
      <c r="R313" s="91"/>
      <c r="S313" s="91"/>
      <c r="T313" s="88"/>
      <c r="U313" s="88"/>
      <c r="V313" s="88"/>
      <c r="Y313" s="91"/>
      <c r="Z313" s="88"/>
    </row>
    <row r="314" spans="6:26" ht="12.5" x14ac:dyDescent="0.25">
      <c r="F314" s="101"/>
      <c r="G314" s="91"/>
      <c r="H314" s="91"/>
      <c r="I314" s="88"/>
      <c r="J314" s="91"/>
      <c r="K314" s="88"/>
      <c r="L314" s="88"/>
      <c r="M314" s="91"/>
      <c r="N314" s="88"/>
      <c r="O314" s="91"/>
      <c r="P314" s="91"/>
      <c r="Q314" s="88"/>
      <c r="R314" s="91"/>
      <c r="S314" s="91"/>
      <c r="T314" s="88"/>
      <c r="U314" s="88"/>
      <c r="V314" s="88"/>
      <c r="Y314" s="91"/>
      <c r="Z314" s="88"/>
    </row>
    <row r="315" spans="6:26" ht="12.5" x14ac:dyDescent="0.25">
      <c r="F315" s="101"/>
      <c r="G315" s="91"/>
      <c r="H315" s="91"/>
      <c r="I315" s="88"/>
      <c r="J315" s="91"/>
      <c r="K315" s="88"/>
      <c r="L315" s="88"/>
      <c r="M315" s="91"/>
      <c r="N315" s="88"/>
      <c r="O315" s="91"/>
      <c r="P315" s="91"/>
      <c r="Q315" s="88"/>
      <c r="R315" s="91"/>
      <c r="S315" s="91"/>
      <c r="T315" s="88"/>
      <c r="U315" s="88"/>
      <c r="V315" s="88"/>
      <c r="Y315" s="91"/>
      <c r="Z315" s="88"/>
    </row>
    <row r="316" spans="6:26" ht="12.5" x14ac:dyDescent="0.25">
      <c r="F316" s="101"/>
      <c r="G316" s="91"/>
      <c r="H316" s="91"/>
      <c r="I316" s="88"/>
      <c r="J316" s="91"/>
      <c r="K316" s="88"/>
      <c r="L316" s="88"/>
      <c r="M316" s="91"/>
      <c r="N316" s="88"/>
      <c r="O316" s="91"/>
      <c r="P316" s="91"/>
      <c r="Q316" s="88"/>
      <c r="R316" s="91"/>
      <c r="S316" s="91"/>
      <c r="T316" s="88"/>
      <c r="U316" s="88"/>
      <c r="V316" s="88"/>
      <c r="Y316" s="91"/>
      <c r="Z316" s="88"/>
    </row>
    <row r="317" spans="6:26" ht="12.5" x14ac:dyDescent="0.25">
      <c r="F317" s="101"/>
      <c r="G317" s="91"/>
      <c r="H317" s="91"/>
      <c r="I317" s="88"/>
      <c r="J317" s="91"/>
      <c r="K317" s="88"/>
      <c r="L317" s="88"/>
      <c r="M317" s="91"/>
      <c r="N317" s="88"/>
      <c r="O317" s="91"/>
      <c r="P317" s="91"/>
      <c r="Q317" s="88"/>
      <c r="R317" s="91"/>
      <c r="S317" s="91"/>
      <c r="T317" s="88"/>
      <c r="U317" s="88"/>
      <c r="V317" s="88"/>
      <c r="Y317" s="91"/>
      <c r="Z317" s="88"/>
    </row>
    <row r="318" spans="6:26" ht="12.5" x14ac:dyDescent="0.25">
      <c r="F318" s="101"/>
      <c r="G318" s="91"/>
      <c r="H318" s="91"/>
      <c r="I318" s="88"/>
      <c r="J318" s="91"/>
      <c r="K318" s="88"/>
      <c r="L318" s="88"/>
      <c r="M318" s="91"/>
      <c r="N318" s="88"/>
      <c r="O318" s="91"/>
      <c r="P318" s="91"/>
      <c r="Q318" s="88"/>
      <c r="R318" s="91"/>
      <c r="S318" s="91"/>
      <c r="T318" s="88"/>
      <c r="U318" s="88"/>
      <c r="V318" s="88"/>
      <c r="Y318" s="91"/>
      <c r="Z318" s="88"/>
    </row>
    <row r="319" spans="6:26" ht="12.5" x14ac:dyDescent="0.25">
      <c r="F319" s="101"/>
      <c r="G319" s="91"/>
      <c r="H319" s="91"/>
      <c r="I319" s="88"/>
      <c r="J319" s="91"/>
      <c r="K319" s="88"/>
      <c r="L319" s="88"/>
      <c r="M319" s="91"/>
      <c r="N319" s="88"/>
      <c r="O319" s="91"/>
      <c r="P319" s="91"/>
      <c r="Q319" s="88"/>
      <c r="R319" s="91"/>
      <c r="S319" s="91"/>
      <c r="T319" s="88"/>
      <c r="U319" s="88"/>
      <c r="V319" s="88"/>
      <c r="Y319" s="91"/>
      <c r="Z319" s="88"/>
    </row>
    <row r="320" spans="6:26" ht="12.5" x14ac:dyDescent="0.25">
      <c r="F320" s="101"/>
      <c r="G320" s="91"/>
      <c r="H320" s="91"/>
      <c r="I320" s="88"/>
      <c r="J320" s="91"/>
      <c r="K320" s="88"/>
      <c r="L320" s="88"/>
      <c r="M320" s="91"/>
      <c r="N320" s="88"/>
      <c r="O320" s="91"/>
      <c r="P320" s="91"/>
      <c r="Q320" s="88"/>
      <c r="R320" s="91"/>
      <c r="S320" s="91"/>
      <c r="T320" s="88"/>
      <c r="U320" s="88"/>
      <c r="V320" s="88"/>
      <c r="Y320" s="91"/>
      <c r="Z320" s="88"/>
    </row>
    <row r="321" spans="6:26" ht="12.5" x14ac:dyDescent="0.25">
      <c r="F321" s="101"/>
      <c r="G321" s="91"/>
      <c r="H321" s="91"/>
      <c r="I321" s="88"/>
      <c r="J321" s="91"/>
      <c r="K321" s="88"/>
      <c r="L321" s="88"/>
      <c r="M321" s="91"/>
      <c r="N321" s="88"/>
      <c r="O321" s="91"/>
      <c r="P321" s="91"/>
      <c r="Q321" s="88"/>
      <c r="R321" s="91"/>
      <c r="S321" s="91"/>
      <c r="T321" s="88"/>
      <c r="U321" s="88"/>
      <c r="V321" s="88"/>
      <c r="Y321" s="91"/>
      <c r="Z321" s="88"/>
    </row>
    <row r="322" spans="6:26" ht="12.5" x14ac:dyDescent="0.25">
      <c r="F322" s="101"/>
      <c r="G322" s="91"/>
      <c r="H322" s="91"/>
      <c r="I322" s="88"/>
      <c r="J322" s="91"/>
      <c r="K322" s="88"/>
      <c r="L322" s="88"/>
      <c r="M322" s="91"/>
      <c r="N322" s="88"/>
      <c r="O322" s="91"/>
      <c r="P322" s="91"/>
      <c r="Q322" s="88"/>
      <c r="R322" s="91"/>
      <c r="S322" s="91"/>
      <c r="T322" s="88"/>
      <c r="U322" s="88"/>
      <c r="V322" s="88"/>
      <c r="Y322" s="91"/>
      <c r="Z322" s="88"/>
    </row>
    <row r="323" spans="6:26" ht="12.5" x14ac:dyDescent="0.25">
      <c r="F323" s="101"/>
      <c r="G323" s="91"/>
      <c r="H323" s="91"/>
      <c r="I323" s="88"/>
      <c r="J323" s="91"/>
      <c r="K323" s="88"/>
      <c r="L323" s="88"/>
      <c r="M323" s="91"/>
      <c r="N323" s="88"/>
      <c r="O323" s="91"/>
      <c r="P323" s="91"/>
      <c r="Q323" s="88"/>
      <c r="R323" s="91"/>
      <c r="S323" s="91"/>
      <c r="T323" s="88"/>
      <c r="U323" s="88"/>
      <c r="V323" s="88"/>
      <c r="Y323" s="91"/>
      <c r="Z323" s="88"/>
    </row>
    <row r="324" spans="6:26" ht="12.5" x14ac:dyDescent="0.25">
      <c r="F324" s="101"/>
      <c r="G324" s="91"/>
      <c r="H324" s="91"/>
      <c r="I324" s="88"/>
      <c r="J324" s="91"/>
      <c r="K324" s="88"/>
      <c r="L324" s="88"/>
      <c r="M324" s="91"/>
      <c r="N324" s="88"/>
      <c r="O324" s="91"/>
      <c r="P324" s="91"/>
      <c r="Q324" s="88"/>
      <c r="R324" s="91"/>
      <c r="S324" s="91"/>
      <c r="T324" s="88"/>
      <c r="U324" s="88"/>
      <c r="V324" s="88"/>
      <c r="Y324" s="91"/>
      <c r="Z324" s="88"/>
    </row>
    <row r="325" spans="6:26" ht="12.5" x14ac:dyDescent="0.25">
      <c r="F325" s="101"/>
      <c r="G325" s="91"/>
      <c r="H325" s="91"/>
      <c r="I325" s="88"/>
      <c r="J325" s="91"/>
      <c r="K325" s="88"/>
      <c r="L325" s="88"/>
      <c r="M325" s="91"/>
      <c r="N325" s="88"/>
      <c r="O325" s="91"/>
      <c r="P325" s="91"/>
      <c r="Q325" s="88"/>
      <c r="R325" s="91"/>
      <c r="S325" s="91"/>
      <c r="T325" s="88"/>
      <c r="U325" s="88"/>
      <c r="V325" s="88"/>
      <c r="Y325" s="91"/>
      <c r="Z325" s="88"/>
    </row>
    <row r="326" spans="6:26" ht="12.5" x14ac:dyDescent="0.25">
      <c r="F326" s="101"/>
      <c r="G326" s="91"/>
      <c r="H326" s="91"/>
      <c r="I326" s="88"/>
      <c r="J326" s="91"/>
      <c r="K326" s="88"/>
      <c r="L326" s="88"/>
      <c r="M326" s="91"/>
      <c r="N326" s="88"/>
      <c r="O326" s="91"/>
      <c r="P326" s="91"/>
      <c r="Q326" s="88"/>
      <c r="R326" s="91"/>
      <c r="S326" s="91"/>
      <c r="T326" s="88"/>
      <c r="U326" s="88"/>
      <c r="V326" s="88"/>
      <c r="Y326" s="91"/>
      <c r="Z326" s="88"/>
    </row>
    <row r="327" spans="6:26" ht="12.5" x14ac:dyDescent="0.25">
      <c r="F327" s="101"/>
      <c r="G327" s="91"/>
      <c r="H327" s="91"/>
      <c r="I327" s="88"/>
      <c r="J327" s="91"/>
      <c r="K327" s="88"/>
      <c r="L327" s="88"/>
      <c r="M327" s="91"/>
      <c r="N327" s="88"/>
      <c r="O327" s="91"/>
      <c r="P327" s="91"/>
      <c r="Q327" s="88"/>
      <c r="R327" s="91"/>
      <c r="S327" s="91"/>
      <c r="T327" s="88"/>
      <c r="U327" s="88"/>
      <c r="V327" s="88"/>
      <c r="Y327" s="91"/>
      <c r="Z327" s="88"/>
    </row>
    <row r="328" spans="6:26" ht="12.5" x14ac:dyDescent="0.25">
      <c r="F328" s="101"/>
      <c r="G328" s="91"/>
      <c r="H328" s="91"/>
      <c r="I328" s="88"/>
      <c r="J328" s="91"/>
      <c r="K328" s="88"/>
      <c r="L328" s="88"/>
      <c r="M328" s="91"/>
      <c r="N328" s="88"/>
      <c r="O328" s="91"/>
      <c r="P328" s="91"/>
      <c r="Q328" s="88"/>
      <c r="R328" s="91"/>
      <c r="S328" s="91"/>
      <c r="T328" s="88"/>
      <c r="U328" s="88"/>
      <c r="V328" s="88"/>
      <c r="Y328" s="91"/>
      <c r="Z328" s="88"/>
    </row>
    <row r="329" spans="6:26" ht="12.5" x14ac:dyDescent="0.25">
      <c r="F329" s="101"/>
      <c r="G329" s="91"/>
      <c r="H329" s="91"/>
      <c r="I329" s="88"/>
      <c r="J329" s="91"/>
      <c r="K329" s="88"/>
      <c r="L329" s="88"/>
      <c r="M329" s="91"/>
      <c r="N329" s="88"/>
      <c r="O329" s="91"/>
      <c r="P329" s="91"/>
      <c r="Q329" s="88"/>
      <c r="R329" s="91"/>
      <c r="S329" s="91"/>
      <c r="T329" s="88"/>
      <c r="U329" s="88"/>
      <c r="V329" s="88"/>
      <c r="Y329" s="91"/>
      <c r="Z329" s="88"/>
    </row>
    <row r="330" spans="6:26" ht="12.5" x14ac:dyDescent="0.25">
      <c r="F330" s="101"/>
      <c r="G330" s="91"/>
      <c r="H330" s="91"/>
      <c r="I330" s="88"/>
      <c r="J330" s="91"/>
      <c r="K330" s="88"/>
      <c r="L330" s="88"/>
      <c r="M330" s="91"/>
      <c r="N330" s="88"/>
      <c r="O330" s="91"/>
      <c r="P330" s="91"/>
      <c r="Q330" s="88"/>
      <c r="R330" s="91"/>
      <c r="S330" s="91"/>
      <c r="T330" s="88"/>
      <c r="U330" s="88"/>
      <c r="V330" s="88"/>
      <c r="Y330" s="91"/>
      <c r="Z330" s="88"/>
    </row>
    <row r="331" spans="6:26" ht="12.5" x14ac:dyDescent="0.25">
      <c r="F331" s="101"/>
      <c r="G331" s="91"/>
      <c r="H331" s="91"/>
      <c r="I331" s="88"/>
      <c r="J331" s="91"/>
      <c r="K331" s="88"/>
      <c r="L331" s="88"/>
      <c r="M331" s="91"/>
      <c r="N331" s="88"/>
      <c r="O331" s="91"/>
      <c r="P331" s="91"/>
      <c r="Q331" s="88"/>
      <c r="R331" s="91"/>
      <c r="S331" s="91"/>
      <c r="T331" s="88"/>
      <c r="U331" s="88"/>
      <c r="V331" s="88"/>
      <c r="Y331" s="91"/>
      <c r="Z331" s="88"/>
    </row>
    <row r="332" spans="6:26" ht="12.5" x14ac:dyDescent="0.25">
      <c r="F332" s="101"/>
      <c r="G332" s="91"/>
      <c r="H332" s="91"/>
      <c r="I332" s="88"/>
      <c r="J332" s="91"/>
      <c r="K332" s="88"/>
      <c r="L332" s="88"/>
      <c r="M332" s="91"/>
      <c r="N332" s="88"/>
      <c r="O332" s="91"/>
      <c r="P332" s="91"/>
      <c r="Q332" s="88"/>
      <c r="R332" s="91"/>
      <c r="S332" s="91"/>
      <c r="T332" s="88"/>
      <c r="U332" s="88"/>
      <c r="V332" s="88"/>
      <c r="Y332" s="91"/>
      <c r="Z332" s="88"/>
    </row>
    <row r="333" spans="6:26" ht="12.5" x14ac:dyDescent="0.25">
      <c r="F333" s="101"/>
      <c r="G333" s="91"/>
      <c r="H333" s="91"/>
      <c r="I333" s="88"/>
      <c r="J333" s="91"/>
      <c r="K333" s="88"/>
      <c r="L333" s="88"/>
      <c r="M333" s="91"/>
      <c r="N333" s="88"/>
      <c r="O333" s="91"/>
      <c r="P333" s="91"/>
      <c r="Q333" s="88"/>
      <c r="R333" s="91"/>
      <c r="S333" s="91"/>
      <c r="T333" s="88"/>
      <c r="U333" s="88"/>
      <c r="V333" s="88"/>
      <c r="Y333" s="91"/>
      <c r="Z333" s="88"/>
    </row>
    <row r="334" spans="6:26" ht="12.5" x14ac:dyDescent="0.25">
      <c r="F334" s="101"/>
      <c r="G334" s="91"/>
      <c r="H334" s="91"/>
      <c r="I334" s="88"/>
      <c r="J334" s="91"/>
      <c r="K334" s="88"/>
      <c r="L334" s="88"/>
      <c r="M334" s="91"/>
      <c r="N334" s="88"/>
      <c r="O334" s="91"/>
      <c r="P334" s="91"/>
      <c r="Q334" s="88"/>
      <c r="R334" s="91"/>
      <c r="S334" s="91"/>
      <c r="T334" s="88"/>
      <c r="U334" s="88"/>
      <c r="V334" s="88"/>
      <c r="Y334" s="91"/>
      <c r="Z334" s="88"/>
    </row>
    <row r="335" spans="6:26" ht="12.5" x14ac:dyDescent="0.25">
      <c r="F335" s="101"/>
      <c r="G335" s="91"/>
      <c r="H335" s="91"/>
      <c r="I335" s="88"/>
      <c r="J335" s="91"/>
      <c r="K335" s="88"/>
      <c r="L335" s="88"/>
      <c r="M335" s="91"/>
      <c r="N335" s="88"/>
      <c r="O335" s="91"/>
      <c r="P335" s="91"/>
      <c r="Q335" s="88"/>
      <c r="R335" s="91"/>
      <c r="S335" s="91"/>
      <c r="T335" s="88"/>
      <c r="U335" s="88"/>
      <c r="V335" s="88"/>
      <c r="Y335" s="91"/>
      <c r="Z335" s="88"/>
    </row>
    <row r="336" spans="6:26" ht="12.5" x14ac:dyDescent="0.25">
      <c r="F336" s="101"/>
      <c r="G336" s="91"/>
      <c r="H336" s="91"/>
      <c r="I336" s="88"/>
      <c r="J336" s="91"/>
      <c r="K336" s="88"/>
      <c r="L336" s="88"/>
      <c r="M336" s="91"/>
      <c r="N336" s="88"/>
      <c r="O336" s="91"/>
      <c r="P336" s="91"/>
      <c r="Q336" s="88"/>
      <c r="R336" s="91"/>
      <c r="S336" s="91"/>
      <c r="T336" s="88"/>
      <c r="U336" s="88"/>
      <c r="V336" s="88"/>
      <c r="Y336" s="91"/>
      <c r="Z336" s="88"/>
    </row>
    <row r="337" spans="6:26" ht="12.5" x14ac:dyDescent="0.25">
      <c r="F337" s="101"/>
      <c r="G337" s="91"/>
      <c r="H337" s="91"/>
      <c r="I337" s="88"/>
      <c r="J337" s="91"/>
      <c r="K337" s="88"/>
      <c r="L337" s="88"/>
      <c r="M337" s="91"/>
      <c r="N337" s="88"/>
      <c r="O337" s="91"/>
      <c r="P337" s="91"/>
      <c r="Q337" s="88"/>
      <c r="R337" s="91"/>
      <c r="S337" s="91"/>
      <c r="T337" s="88"/>
      <c r="U337" s="88"/>
      <c r="V337" s="88"/>
      <c r="Y337" s="91"/>
      <c r="Z337" s="88"/>
    </row>
    <row r="338" spans="6:26" ht="12.5" x14ac:dyDescent="0.25">
      <c r="F338" s="101"/>
      <c r="G338" s="91"/>
      <c r="H338" s="91"/>
      <c r="I338" s="88"/>
      <c r="J338" s="91"/>
      <c r="K338" s="88"/>
      <c r="L338" s="88"/>
      <c r="M338" s="91"/>
      <c r="N338" s="88"/>
      <c r="O338" s="91"/>
      <c r="P338" s="91"/>
      <c r="Q338" s="88"/>
      <c r="R338" s="91"/>
      <c r="S338" s="91"/>
      <c r="T338" s="88"/>
      <c r="U338" s="88"/>
      <c r="V338" s="88"/>
      <c r="Y338" s="91"/>
      <c r="Z338" s="88"/>
    </row>
    <row r="339" spans="6:26" ht="12.5" x14ac:dyDescent="0.25">
      <c r="F339" s="101"/>
      <c r="G339" s="91"/>
      <c r="H339" s="91"/>
      <c r="I339" s="88"/>
      <c r="J339" s="91"/>
      <c r="K339" s="88"/>
      <c r="L339" s="88"/>
      <c r="M339" s="91"/>
      <c r="N339" s="88"/>
      <c r="O339" s="91"/>
      <c r="P339" s="91"/>
      <c r="Q339" s="88"/>
      <c r="R339" s="91"/>
      <c r="S339" s="91"/>
      <c r="T339" s="88"/>
      <c r="U339" s="88"/>
      <c r="V339" s="88"/>
      <c r="Y339" s="91"/>
      <c r="Z339" s="88"/>
    </row>
    <row r="340" spans="6:26" ht="12.5" x14ac:dyDescent="0.25">
      <c r="F340" s="101"/>
      <c r="G340" s="91"/>
      <c r="H340" s="91"/>
      <c r="I340" s="88"/>
      <c r="J340" s="91"/>
      <c r="K340" s="88"/>
      <c r="L340" s="88"/>
      <c r="M340" s="91"/>
      <c r="N340" s="88"/>
      <c r="O340" s="91"/>
      <c r="P340" s="91"/>
      <c r="Q340" s="88"/>
      <c r="R340" s="91"/>
      <c r="S340" s="91"/>
      <c r="T340" s="88"/>
      <c r="U340" s="88"/>
      <c r="V340" s="88"/>
      <c r="Y340" s="91"/>
      <c r="Z340" s="88"/>
    </row>
    <row r="341" spans="6:26" ht="12.5" x14ac:dyDescent="0.25">
      <c r="F341" s="101"/>
      <c r="G341" s="91"/>
      <c r="H341" s="91"/>
      <c r="I341" s="88"/>
      <c r="J341" s="91"/>
      <c r="K341" s="88"/>
      <c r="L341" s="88"/>
      <c r="M341" s="91"/>
      <c r="N341" s="88"/>
      <c r="O341" s="91"/>
      <c r="P341" s="91"/>
      <c r="Q341" s="88"/>
      <c r="R341" s="91"/>
      <c r="S341" s="91"/>
      <c r="T341" s="88"/>
      <c r="U341" s="88"/>
      <c r="V341" s="88"/>
      <c r="Y341" s="91"/>
      <c r="Z341" s="88"/>
    </row>
    <row r="342" spans="6:26" ht="12.5" x14ac:dyDescent="0.25">
      <c r="F342" s="101"/>
      <c r="G342" s="91"/>
      <c r="H342" s="91"/>
      <c r="I342" s="88"/>
      <c r="J342" s="91"/>
      <c r="K342" s="88"/>
      <c r="L342" s="88"/>
      <c r="M342" s="91"/>
      <c r="N342" s="88"/>
      <c r="O342" s="91"/>
      <c r="P342" s="91"/>
      <c r="Q342" s="88"/>
      <c r="R342" s="91"/>
      <c r="S342" s="91"/>
      <c r="T342" s="88"/>
      <c r="U342" s="88"/>
      <c r="V342" s="88"/>
      <c r="Y342" s="91"/>
      <c r="Z342" s="88"/>
    </row>
    <row r="343" spans="6:26" ht="12.5" x14ac:dyDescent="0.25">
      <c r="F343" s="101"/>
      <c r="G343" s="91"/>
      <c r="H343" s="91"/>
      <c r="I343" s="88"/>
      <c r="J343" s="91"/>
      <c r="K343" s="88"/>
      <c r="L343" s="88"/>
      <c r="M343" s="91"/>
      <c r="N343" s="88"/>
      <c r="O343" s="91"/>
      <c r="P343" s="91"/>
      <c r="Q343" s="88"/>
      <c r="R343" s="91"/>
      <c r="S343" s="91"/>
      <c r="T343" s="88"/>
      <c r="U343" s="88"/>
      <c r="V343" s="88"/>
      <c r="Y343" s="91"/>
      <c r="Z343" s="88"/>
    </row>
    <row r="344" spans="6:26" ht="12.5" x14ac:dyDescent="0.25">
      <c r="F344" s="101"/>
      <c r="G344" s="91"/>
      <c r="H344" s="91"/>
      <c r="I344" s="88"/>
      <c r="J344" s="91"/>
      <c r="K344" s="88"/>
      <c r="L344" s="88"/>
      <c r="M344" s="91"/>
      <c r="N344" s="88"/>
      <c r="O344" s="91"/>
      <c r="P344" s="91"/>
      <c r="Q344" s="88"/>
      <c r="R344" s="91"/>
      <c r="S344" s="91"/>
      <c r="T344" s="88"/>
      <c r="U344" s="88"/>
      <c r="V344" s="88"/>
      <c r="Y344" s="91"/>
      <c r="Z344" s="88"/>
    </row>
    <row r="345" spans="6:26" ht="12.5" x14ac:dyDescent="0.25">
      <c r="F345" s="101"/>
      <c r="G345" s="91"/>
      <c r="H345" s="91"/>
      <c r="I345" s="88"/>
      <c r="J345" s="91"/>
      <c r="K345" s="88"/>
      <c r="L345" s="88"/>
      <c r="M345" s="91"/>
      <c r="N345" s="88"/>
      <c r="O345" s="91"/>
      <c r="P345" s="91"/>
      <c r="Q345" s="88"/>
      <c r="R345" s="91"/>
      <c r="S345" s="91"/>
      <c r="T345" s="88"/>
      <c r="U345" s="88"/>
      <c r="V345" s="88"/>
      <c r="Y345" s="91"/>
      <c r="Z345" s="88"/>
    </row>
    <row r="346" spans="6:26" ht="12.5" x14ac:dyDescent="0.25">
      <c r="F346" s="101"/>
      <c r="G346" s="91"/>
      <c r="H346" s="91"/>
      <c r="I346" s="88"/>
      <c r="J346" s="91"/>
      <c r="K346" s="88"/>
      <c r="L346" s="88"/>
      <c r="M346" s="91"/>
      <c r="N346" s="88"/>
      <c r="O346" s="91"/>
      <c r="P346" s="91"/>
      <c r="Q346" s="88"/>
      <c r="R346" s="91"/>
      <c r="S346" s="91"/>
      <c r="T346" s="88"/>
      <c r="U346" s="88"/>
      <c r="V346" s="88"/>
      <c r="Y346" s="91"/>
      <c r="Z346" s="88"/>
    </row>
    <row r="347" spans="6:26" ht="12.5" x14ac:dyDescent="0.25">
      <c r="F347" s="101"/>
      <c r="G347" s="91"/>
      <c r="H347" s="91"/>
      <c r="I347" s="88"/>
      <c r="J347" s="91"/>
      <c r="K347" s="88"/>
      <c r="L347" s="88"/>
      <c r="M347" s="91"/>
      <c r="N347" s="88"/>
      <c r="O347" s="91"/>
      <c r="P347" s="91"/>
      <c r="Q347" s="88"/>
      <c r="R347" s="91"/>
      <c r="S347" s="91"/>
      <c r="T347" s="88"/>
      <c r="U347" s="88"/>
      <c r="V347" s="88"/>
      <c r="Y347" s="91"/>
      <c r="Z347" s="88"/>
    </row>
    <row r="348" spans="6:26" ht="12.5" x14ac:dyDescent="0.25">
      <c r="F348" s="101"/>
      <c r="G348" s="91"/>
      <c r="H348" s="91"/>
      <c r="I348" s="88"/>
      <c r="J348" s="91"/>
      <c r="K348" s="88"/>
      <c r="L348" s="88"/>
      <c r="M348" s="91"/>
      <c r="N348" s="88"/>
      <c r="O348" s="91"/>
      <c r="P348" s="91"/>
      <c r="Q348" s="88"/>
      <c r="R348" s="91"/>
      <c r="S348" s="91"/>
      <c r="T348" s="88"/>
      <c r="U348" s="88"/>
      <c r="V348" s="88"/>
      <c r="Y348" s="91"/>
      <c r="Z348" s="88"/>
    </row>
    <row r="349" spans="6:26" ht="12.5" x14ac:dyDescent="0.25">
      <c r="F349" s="101"/>
      <c r="G349" s="91"/>
      <c r="H349" s="91"/>
      <c r="I349" s="88"/>
      <c r="J349" s="91"/>
      <c r="K349" s="88"/>
      <c r="L349" s="88"/>
      <c r="M349" s="91"/>
      <c r="N349" s="88"/>
      <c r="O349" s="91"/>
      <c r="P349" s="91"/>
      <c r="Q349" s="88"/>
      <c r="R349" s="91"/>
      <c r="S349" s="91"/>
      <c r="T349" s="88"/>
      <c r="U349" s="88"/>
      <c r="V349" s="88"/>
      <c r="Y349" s="91"/>
      <c r="Z349" s="88"/>
    </row>
    <row r="350" spans="6:26" ht="12.5" x14ac:dyDescent="0.25">
      <c r="F350" s="101"/>
      <c r="G350" s="91"/>
      <c r="H350" s="91"/>
      <c r="I350" s="88"/>
      <c r="J350" s="91"/>
      <c r="K350" s="88"/>
      <c r="L350" s="88"/>
      <c r="M350" s="91"/>
      <c r="N350" s="88"/>
      <c r="O350" s="91"/>
      <c r="P350" s="91"/>
      <c r="Q350" s="88"/>
      <c r="R350" s="91"/>
      <c r="S350" s="91"/>
      <c r="T350" s="88"/>
      <c r="U350" s="88"/>
      <c r="V350" s="88"/>
      <c r="Y350" s="91"/>
      <c r="Z350" s="88"/>
    </row>
    <row r="351" spans="6:26" ht="12.5" x14ac:dyDescent="0.25">
      <c r="F351" s="101"/>
      <c r="G351" s="91"/>
      <c r="H351" s="91"/>
      <c r="I351" s="88"/>
      <c r="J351" s="91"/>
      <c r="K351" s="88"/>
      <c r="L351" s="88"/>
      <c r="M351" s="91"/>
      <c r="N351" s="88"/>
      <c r="O351" s="91"/>
      <c r="P351" s="91"/>
      <c r="Q351" s="88"/>
      <c r="R351" s="91"/>
      <c r="S351" s="91"/>
      <c r="T351" s="88"/>
      <c r="U351" s="88"/>
      <c r="V351" s="88"/>
      <c r="Y351" s="91"/>
      <c r="Z351" s="88"/>
    </row>
    <row r="352" spans="6:26" ht="12.5" x14ac:dyDescent="0.25">
      <c r="F352" s="101"/>
      <c r="G352" s="91"/>
      <c r="H352" s="91"/>
      <c r="I352" s="88"/>
      <c r="J352" s="91"/>
      <c r="K352" s="88"/>
      <c r="L352" s="88"/>
      <c r="M352" s="91"/>
      <c r="N352" s="88"/>
      <c r="O352" s="91"/>
      <c r="P352" s="91"/>
      <c r="Q352" s="88"/>
      <c r="R352" s="91"/>
      <c r="S352" s="91"/>
      <c r="T352" s="88"/>
      <c r="U352" s="88"/>
      <c r="V352" s="88"/>
      <c r="Y352" s="91"/>
      <c r="Z352" s="88"/>
    </row>
    <row r="353" spans="6:26" ht="12.5" x14ac:dyDescent="0.25">
      <c r="F353" s="101"/>
      <c r="G353" s="91"/>
      <c r="H353" s="91"/>
      <c r="I353" s="88"/>
      <c r="J353" s="91"/>
      <c r="K353" s="88"/>
      <c r="L353" s="88"/>
      <c r="M353" s="91"/>
      <c r="N353" s="88"/>
      <c r="O353" s="91"/>
      <c r="P353" s="91"/>
      <c r="Q353" s="88"/>
      <c r="R353" s="91"/>
      <c r="S353" s="91"/>
      <c r="T353" s="88"/>
      <c r="U353" s="88"/>
      <c r="V353" s="88"/>
      <c r="Y353" s="91"/>
      <c r="Z353" s="88"/>
    </row>
    <row r="354" spans="6:26" ht="12.5" x14ac:dyDescent="0.25">
      <c r="F354" s="101"/>
      <c r="G354" s="91"/>
      <c r="H354" s="91"/>
      <c r="I354" s="88"/>
      <c r="J354" s="91"/>
      <c r="K354" s="88"/>
      <c r="L354" s="88"/>
      <c r="M354" s="91"/>
      <c r="N354" s="88"/>
      <c r="O354" s="91"/>
      <c r="P354" s="91"/>
      <c r="Q354" s="88"/>
      <c r="R354" s="91"/>
      <c r="S354" s="91"/>
      <c r="T354" s="88"/>
      <c r="U354" s="88"/>
      <c r="V354" s="88"/>
      <c r="Y354" s="91"/>
      <c r="Z354" s="88"/>
    </row>
    <row r="355" spans="6:26" ht="12.5" x14ac:dyDescent="0.25">
      <c r="F355" s="101"/>
      <c r="G355" s="91"/>
      <c r="H355" s="91"/>
      <c r="I355" s="88"/>
      <c r="J355" s="91"/>
      <c r="K355" s="88"/>
      <c r="L355" s="88"/>
      <c r="M355" s="91"/>
      <c r="N355" s="88"/>
      <c r="O355" s="91"/>
      <c r="P355" s="91"/>
      <c r="Q355" s="88"/>
      <c r="R355" s="91"/>
      <c r="S355" s="91"/>
      <c r="T355" s="88"/>
      <c r="U355" s="88"/>
      <c r="V355" s="88"/>
      <c r="Y355" s="91"/>
      <c r="Z355" s="88"/>
    </row>
    <row r="356" spans="6:26" ht="12.5" x14ac:dyDescent="0.25">
      <c r="F356" s="101"/>
      <c r="G356" s="91"/>
      <c r="H356" s="91"/>
      <c r="I356" s="88"/>
      <c r="J356" s="91"/>
      <c r="K356" s="88"/>
      <c r="L356" s="88"/>
      <c r="M356" s="91"/>
      <c r="N356" s="88"/>
      <c r="O356" s="91"/>
      <c r="P356" s="91"/>
      <c r="Q356" s="88"/>
      <c r="R356" s="91"/>
      <c r="S356" s="91"/>
      <c r="T356" s="88"/>
      <c r="U356" s="88"/>
      <c r="V356" s="88"/>
      <c r="Y356" s="91"/>
      <c r="Z356" s="88"/>
    </row>
    <row r="357" spans="6:26" ht="12.5" x14ac:dyDescent="0.25">
      <c r="F357" s="101"/>
      <c r="G357" s="91"/>
      <c r="H357" s="91"/>
      <c r="I357" s="88"/>
      <c r="J357" s="91"/>
      <c r="K357" s="88"/>
      <c r="L357" s="88"/>
      <c r="M357" s="91"/>
      <c r="N357" s="88"/>
      <c r="O357" s="91"/>
      <c r="P357" s="91"/>
      <c r="Q357" s="88"/>
      <c r="R357" s="91"/>
      <c r="S357" s="91"/>
      <c r="T357" s="88"/>
      <c r="U357" s="88"/>
      <c r="V357" s="88"/>
      <c r="Y357" s="91"/>
      <c r="Z357" s="88"/>
    </row>
    <row r="358" spans="6:26" ht="12.5" x14ac:dyDescent="0.25">
      <c r="F358" s="101"/>
      <c r="G358" s="91"/>
      <c r="H358" s="91"/>
      <c r="I358" s="88"/>
      <c r="J358" s="91"/>
      <c r="K358" s="88"/>
      <c r="L358" s="88"/>
      <c r="M358" s="91"/>
      <c r="N358" s="88"/>
      <c r="O358" s="91"/>
      <c r="P358" s="91"/>
      <c r="Q358" s="88"/>
      <c r="R358" s="91"/>
      <c r="S358" s="91"/>
      <c r="T358" s="88"/>
      <c r="U358" s="88"/>
      <c r="V358" s="88"/>
      <c r="Y358" s="91"/>
      <c r="Z358" s="88"/>
    </row>
    <row r="359" spans="6:26" ht="12.5" x14ac:dyDescent="0.25">
      <c r="F359" s="101"/>
      <c r="G359" s="91"/>
      <c r="H359" s="91"/>
      <c r="I359" s="88"/>
      <c r="J359" s="91"/>
      <c r="K359" s="88"/>
      <c r="L359" s="88"/>
      <c r="M359" s="91"/>
      <c r="N359" s="88"/>
      <c r="O359" s="91"/>
      <c r="P359" s="91"/>
      <c r="Q359" s="88"/>
      <c r="R359" s="91"/>
      <c r="S359" s="91"/>
      <c r="T359" s="88"/>
      <c r="U359" s="88"/>
      <c r="V359" s="88"/>
      <c r="Y359" s="91"/>
      <c r="Z359" s="88"/>
    </row>
    <row r="360" spans="6:26" ht="12.5" x14ac:dyDescent="0.25">
      <c r="F360" s="101"/>
      <c r="G360" s="91"/>
      <c r="H360" s="91"/>
      <c r="I360" s="88"/>
      <c r="J360" s="91"/>
      <c r="K360" s="88"/>
      <c r="L360" s="88"/>
      <c r="M360" s="91"/>
      <c r="N360" s="88"/>
      <c r="O360" s="91"/>
      <c r="P360" s="91"/>
      <c r="Q360" s="88"/>
      <c r="R360" s="91"/>
      <c r="S360" s="91"/>
      <c r="T360" s="88"/>
      <c r="U360" s="88"/>
      <c r="V360" s="88"/>
      <c r="Y360" s="91"/>
      <c r="Z360" s="88"/>
    </row>
    <row r="361" spans="6:26" ht="12.5" x14ac:dyDescent="0.25">
      <c r="F361" s="101"/>
      <c r="G361" s="91"/>
      <c r="H361" s="91"/>
      <c r="I361" s="88"/>
      <c r="J361" s="91"/>
      <c r="K361" s="88"/>
      <c r="L361" s="88"/>
      <c r="M361" s="91"/>
      <c r="N361" s="88"/>
      <c r="O361" s="91"/>
      <c r="P361" s="91"/>
      <c r="Q361" s="88"/>
      <c r="R361" s="91"/>
      <c r="S361" s="91"/>
      <c r="T361" s="88"/>
      <c r="U361" s="88"/>
      <c r="V361" s="88"/>
      <c r="Y361" s="91"/>
      <c r="Z361" s="88"/>
    </row>
    <row r="362" spans="6:26" ht="12.5" x14ac:dyDescent="0.25">
      <c r="F362" s="101"/>
      <c r="G362" s="91"/>
      <c r="H362" s="91"/>
      <c r="I362" s="88"/>
      <c r="J362" s="91"/>
      <c r="K362" s="88"/>
      <c r="L362" s="88"/>
      <c r="M362" s="91"/>
      <c r="N362" s="88"/>
      <c r="O362" s="91"/>
      <c r="P362" s="91"/>
      <c r="Q362" s="88"/>
      <c r="R362" s="91"/>
      <c r="S362" s="91"/>
      <c r="T362" s="88"/>
      <c r="U362" s="88"/>
      <c r="V362" s="88"/>
      <c r="Y362" s="91"/>
      <c r="Z362" s="88"/>
    </row>
    <row r="363" spans="6:26" ht="12.5" x14ac:dyDescent="0.25">
      <c r="F363" s="101"/>
      <c r="G363" s="91"/>
      <c r="H363" s="91"/>
      <c r="I363" s="88"/>
      <c r="J363" s="91"/>
      <c r="K363" s="88"/>
      <c r="L363" s="88"/>
      <c r="M363" s="91"/>
      <c r="N363" s="88"/>
      <c r="O363" s="91"/>
      <c r="P363" s="91"/>
      <c r="Q363" s="88"/>
      <c r="R363" s="91"/>
      <c r="S363" s="91"/>
      <c r="T363" s="88"/>
      <c r="U363" s="88"/>
      <c r="V363" s="88"/>
      <c r="Y363" s="91"/>
      <c r="Z363" s="88"/>
    </row>
    <row r="364" spans="6:26" ht="12.5" x14ac:dyDescent="0.25">
      <c r="F364" s="101"/>
      <c r="G364" s="91"/>
      <c r="H364" s="91"/>
      <c r="I364" s="88"/>
      <c r="J364" s="91"/>
      <c r="K364" s="88"/>
      <c r="L364" s="88"/>
      <c r="M364" s="91"/>
      <c r="N364" s="88"/>
      <c r="O364" s="91"/>
      <c r="P364" s="91"/>
      <c r="Q364" s="88"/>
      <c r="R364" s="91"/>
      <c r="S364" s="91"/>
      <c r="T364" s="88"/>
      <c r="U364" s="88"/>
      <c r="V364" s="88"/>
      <c r="Y364" s="91"/>
      <c r="Z364" s="88"/>
    </row>
    <row r="365" spans="6:26" ht="12.5" x14ac:dyDescent="0.25">
      <c r="F365" s="101"/>
      <c r="G365" s="91"/>
      <c r="H365" s="91"/>
      <c r="I365" s="88"/>
      <c r="J365" s="91"/>
      <c r="K365" s="88"/>
      <c r="L365" s="88"/>
      <c r="M365" s="91"/>
      <c r="N365" s="88"/>
      <c r="O365" s="91"/>
      <c r="P365" s="91"/>
      <c r="Q365" s="88"/>
      <c r="R365" s="91"/>
      <c r="S365" s="91"/>
      <c r="T365" s="88"/>
      <c r="U365" s="88"/>
      <c r="V365" s="88"/>
      <c r="Y365" s="91"/>
      <c r="Z365" s="88"/>
    </row>
    <row r="366" spans="6:26" ht="12.5" x14ac:dyDescent="0.25">
      <c r="F366" s="101"/>
      <c r="G366" s="91"/>
      <c r="H366" s="91"/>
      <c r="I366" s="88"/>
      <c r="J366" s="91"/>
      <c r="K366" s="88"/>
      <c r="L366" s="88"/>
      <c r="M366" s="91"/>
      <c r="N366" s="88"/>
      <c r="O366" s="91"/>
      <c r="P366" s="91"/>
      <c r="Q366" s="88"/>
      <c r="R366" s="91"/>
      <c r="S366" s="91"/>
      <c r="T366" s="88"/>
      <c r="U366" s="88"/>
      <c r="V366" s="88"/>
      <c r="Y366" s="91"/>
      <c r="Z366" s="88"/>
    </row>
    <row r="367" spans="6:26" ht="12.5" x14ac:dyDescent="0.25">
      <c r="F367" s="101"/>
      <c r="G367" s="91"/>
      <c r="H367" s="91"/>
      <c r="I367" s="88"/>
      <c r="J367" s="91"/>
      <c r="K367" s="88"/>
      <c r="L367" s="88"/>
      <c r="M367" s="91"/>
      <c r="N367" s="88"/>
      <c r="O367" s="91"/>
      <c r="P367" s="91"/>
      <c r="Q367" s="88"/>
      <c r="R367" s="91"/>
      <c r="S367" s="91"/>
      <c r="T367" s="88"/>
      <c r="U367" s="88"/>
      <c r="V367" s="88"/>
      <c r="Y367" s="91"/>
      <c r="Z367" s="88"/>
    </row>
    <row r="368" spans="6:26" ht="12.5" x14ac:dyDescent="0.25">
      <c r="F368" s="101"/>
      <c r="G368" s="91"/>
      <c r="H368" s="91"/>
      <c r="I368" s="88"/>
      <c r="J368" s="91"/>
      <c r="K368" s="88"/>
      <c r="L368" s="88"/>
      <c r="M368" s="91"/>
      <c r="N368" s="88"/>
      <c r="O368" s="91"/>
      <c r="P368" s="91"/>
      <c r="Q368" s="88"/>
      <c r="R368" s="91"/>
      <c r="S368" s="91"/>
      <c r="T368" s="88"/>
      <c r="U368" s="88"/>
      <c r="V368" s="88"/>
      <c r="Y368" s="91"/>
      <c r="Z368" s="88"/>
    </row>
    <row r="369" spans="6:26" ht="12.5" x14ac:dyDescent="0.25">
      <c r="F369" s="101"/>
      <c r="G369" s="91"/>
      <c r="H369" s="91"/>
      <c r="I369" s="88"/>
      <c r="J369" s="91"/>
      <c r="K369" s="88"/>
      <c r="L369" s="88"/>
      <c r="M369" s="91"/>
      <c r="N369" s="88"/>
      <c r="O369" s="91"/>
      <c r="P369" s="91"/>
      <c r="Q369" s="88"/>
      <c r="R369" s="91"/>
      <c r="S369" s="91"/>
      <c r="T369" s="88"/>
      <c r="U369" s="88"/>
      <c r="V369" s="88"/>
      <c r="Y369" s="91"/>
      <c r="Z369" s="88"/>
    </row>
    <row r="370" spans="6:26" ht="12.5" x14ac:dyDescent="0.25">
      <c r="F370" s="101"/>
      <c r="G370" s="91"/>
      <c r="H370" s="91"/>
      <c r="I370" s="88"/>
      <c r="J370" s="91"/>
      <c r="K370" s="88"/>
      <c r="L370" s="88"/>
      <c r="M370" s="91"/>
      <c r="N370" s="88"/>
      <c r="O370" s="91"/>
      <c r="P370" s="91"/>
      <c r="Q370" s="88"/>
      <c r="R370" s="91"/>
      <c r="S370" s="91"/>
      <c r="T370" s="88"/>
      <c r="U370" s="88"/>
      <c r="V370" s="88"/>
      <c r="Y370" s="91"/>
      <c r="Z370" s="88"/>
    </row>
    <row r="371" spans="6:26" ht="12.5" x14ac:dyDescent="0.25">
      <c r="F371" s="101"/>
      <c r="G371" s="91"/>
      <c r="H371" s="91"/>
      <c r="I371" s="88"/>
      <c r="J371" s="91"/>
      <c r="K371" s="88"/>
      <c r="L371" s="88"/>
      <c r="M371" s="91"/>
      <c r="N371" s="88"/>
      <c r="O371" s="91"/>
      <c r="P371" s="91"/>
      <c r="Q371" s="88"/>
      <c r="R371" s="91"/>
      <c r="S371" s="91"/>
      <c r="T371" s="88"/>
      <c r="U371" s="88"/>
      <c r="V371" s="88"/>
      <c r="Y371" s="91"/>
      <c r="Z371" s="88"/>
    </row>
    <row r="372" spans="6:26" ht="12.5" x14ac:dyDescent="0.25">
      <c r="F372" s="101"/>
      <c r="G372" s="91"/>
      <c r="H372" s="91"/>
      <c r="I372" s="88"/>
      <c r="J372" s="91"/>
      <c r="K372" s="88"/>
      <c r="L372" s="88"/>
      <c r="M372" s="91"/>
      <c r="N372" s="88"/>
      <c r="O372" s="91"/>
      <c r="P372" s="91"/>
      <c r="Q372" s="88"/>
      <c r="R372" s="91"/>
      <c r="S372" s="91"/>
      <c r="T372" s="88"/>
      <c r="U372" s="88"/>
      <c r="V372" s="88"/>
      <c r="Y372" s="91"/>
      <c r="Z372" s="88"/>
    </row>
    <row r="373" spans="6:26" ht="12.5" x14ac:dyDescent="0.25">
      <c r="F373" s="101"/>
      <c r="G373" s="91"/>
      <c r="H373" s="91"/>
      <c r="I373" s="88"/>
      <c r="J373" s="91"/>
      <c r="K373" s="88"/>
      <c r="L373" s="88"/>
      <c r="M373" s="91"/>
      <c r="N373" s="88"/>
      <c r="O373" s="91"/>
      <c r="P373" s="91"/>
      <c r="Q373" s="88"/>
      <c r="R373" s="91"/>
      <c r="S373" s="91"/>
      <c r="T373" s="88"/>
      <c r="U373" s="88"/>
      <c r="V373" s="88"/>
      <c r="Y373" s="91"/>
      <c r="Z373" s="88"/>
    </row>
    <row r="374" spans="6:26" ht="12.5" x14ac:dyDescent="0.25">
      <c r="F374" s="101"/>
      <c r="G374" s="91"/>
      <c r="H374" s="91"/>
      <c r="I374" s="88"/>
      <c r="J374" s="91"/>
      <c r="K374" s="88"/>
      <c r="L374" s="88"/>
      <c r="M374" s="91"/>
      <c r="N374" s="88"/>
      <c r="O374" s="91"/>
      <c r="P374" s="91"/>
      <c r="Q374" s="88"/>
      <c r="R374" s="91"/>
      <c r="S374" s="91"/>
      <c r="T374" s="88"/>
      <c r="U374" s="88"/>
      <c r="V374" s="88"/>
      <c r="Y374" s="91"/>
      <c r="Z374" s="88"/>
    </row>
    <row r="375" spans="6:26" ht="12.5" x14ac:dyDescent="0.25">
      <c r="F375" s="101"/>
      <c r="G375" s="91"/>
      <c r="H375" s="91"/>
      <c r="I375" s="88"/>
      <c r="J375" s="91"/>
      <c r="K375" s="88"/>
      <c r="L375" s="88"/>
      <c r="M375" s="91"/>
      <c r="N375" s="88"/>
      <c r="O375" s="91"/>
      <c r="P375" s="91"/>
      <c r="Q375" s="88"/>
      <c r="R375" s="91"/>
      <c r="S375" s="91"/>
      <c r="T375" s="88"/>
      <c r="U375" s="88"/>
      <c r="V375" s="88"/>
      <c r="Y375" s="91"/>
      <c r="Z375" s="88"/>
    </row>
    <row r="376" spans="6:26" ht="12.5" x14ac:dyDescent="0.25">
      <c r="F376" s="101"/>
      <c r="G376" s="91"/>
      <c r="H376" s="91"/>
      <c r="I376" s="88"/>
      <c r="J376" s="91"/>
      <c r="K376" s="88"/>
      <c r="L376" s="88"/>
      <c r="M376" s="91"/>
      <c r="N376" s="88"/>
      <c r="O376" s="91"/>
      <c r="P376" s="91"/>
      <c r="Q376" s="88"/>
      <c r="R376" s="91"/>
      <c r="S376" s="91"/>
      <c r="T376" s="88"/>
      <c r="U376" s="88"/>
      <c r="V376" s="88"/>
      <c r="Y376" s="91"/>
      <c r="Z376" s="88"/>
    </row>
    <row r="377" spans="6:26" ht="12.5" x14ac:dyDescent="0.25">
      <c r="F377" s="101"/>
      <c r="G377" s="91"/>
      <c r="H377" s="91"/>
      <c r="I377" s="88"/>
      <c r="J377" s="91"/>
      <c r="K377" s="88"/>
      <c r="L377" s="88"/>
      <c r="M377" s="91"/>
      <c r="N377" s="88"/>
      <c r="O377" s="91"/>
      <c r="P377" s="91"/>
      <c r="Q377" s="88"/>
      <c r="R377" s="91"/>
      <c r="S377" s="91"/>
      <c r="T377" s="88"/>
      <c r="U377" s="88"/>
      <c r="V377" s="88"/>
      <c r="Y377" s="91"/>
      <c r="Z377" s="88"/>
    </row>
    <row r="378" spans="6:26" ht="12.5" x14ac:dyDescent="0.25">
      <c r="F378" s="101"/>
      <c r="G378" s="91"/>
      <c r="H378" s="91"/>
      <c r="I378" s="88"/>
      <c r="J378" s="91"/>
      <c r="K378" s="88"/>
      <c r="L378" s="88"/>
      <c r="M378" s="91"/>
      <c r="N378" s="88"/>
      <c r="O378" s="91"/>
      <c r="P378" s="91"/>
      <c r="Q378" s="88"/>
      <c r="R378" s="91"/>
      <c r="S378" s="91"/>
      <c r="T378" s="88"/>
      <c r="U378" s="88"/>
      <c r="V378" s="88"/>
      <c r="Y378" s="91"/>
      <c r="Z378" s="88"/>
    </row>
    <row r="379" spans="6:26" ht="12.5" x14ac:dyDescent="0.25">
      <c r="F379" s="101"/>
      <c r="G379" s="91"/>
      <c r="H379" s="91"/>
      <c r="I379" s="88"/>
      <c r="J379" s="91"/>
      <c r="K379" s="88"/>
      <c r="L379" s="88"/>
      <c r="M379" s="91"/>
      <c r="N379" s="88"/>
      <c r="O379" s="91"/>
      <c r="P379" s="91"/>
      <c r="Q379" s="88"/>
      <c r="R379" s="91"/>
      <c r="S379" s="91"/>
      <c r="T379" s="88"/>
      <c r="U379" s="88"/>
      <c r="V379" s="88"/>
      <c r="Y379" s="91"/>
      <c r="Z379" s="88"/>
    </row>
    <row r="380" spans="6:26" ht="12.5" x14ac:dyDescent="0.25">
      <c r="F380" s="101"/>
      <c r="G380" s="91"/>
      <c r="H380" s="91"/>
      <c r="I380" s="88"/>
      <c r="J380" s="91"/>
      <c r="K380" s="88"/>
      <c r="L380" s="88"/>
      <c r="M380" s="91"/>
      <c r="N380" s="88"/>
      <c r="O380" s="91"/>
      <c r="P380" s="91"/>
      <c r="Q380" s="88"/>
      <c r="R380" s="91"/>
      <c r="S380" s="91"/>
      <c r="T380" s="88"/>
      <c r="U380" s="88"/>
      <c r="V380" s="88"/>
      <c r="Y380" s="91"/>
      <c r="Z380" s="88"/>
    </row>
    <row r="381" spans="6:26" ht="12.5" x14ac:dyDescent="0.25">
      <c r="F381" s="101"/>
      <c r="G381" s="91"/>
      <c r="H381" s="91"/>
      <c r="I381" s="88"/>
      <c r="J381" s="91"/>
      <c r="K381" s="88"/>
      <c r="L381" s="88"/>
      <c r="M381" s="91"/>
      <c r="N381" s="88"/>
      <c r="O381" s="91"/>
      <c r="P381" s="91"/>
      <c r="Q381" s="88"/>
      <c r="R381" s="91"/>
      <c r="S381" s="91"/>
      <c r="T381" s="88"/>
      <c r="U381" s="88"/>
      <c r="V381" s="88"/>
      <c r="Y381" s="91"/>
      <c r="Z381" s="88"/>
    </row>
    <row r="382" spans="6:26" ht="12.5" x14ac:dyDescent="0.25">
      <c r="F382" s="101"/>
      <c r="G382" s="91"/>
      <c r="H382" s="91"/>
      <c r="I382" s="88"/>
      <c r="J382" s="91"/>
      <c r="K382" s="88"/>
      <c r="L382" s="88"/>
      <c r="M382" s="91"/>
      <c r="N382" s="88"/>
      <c r="O382" s="91"/>
      <c r="P382" s="91"/>
      <c r="Q382" s="88"/>
      <c r="R382" s="91"/>
      <c r="S382" s="91"/>
      <c r="T382" s="88"/>
      <c r="U382" s="88"/>
      <c r="V382" s="88"/>
      <c r="Y382" s="91"/>
      <c r="Z382" s="88"/>
    </row>
    <row r="383" spans="6:26" ht="12.5" x14ac:dyDescent="0.25">
      <c r="F383" s="101"/>
      <c r="G383" s="91"/>
      <c r="H383" s="91"/>
      <c r="I383" s="88"/>
      <c r="J383" s="91"/>
      <c r="K383" s="88"/>
      <c r="L383" s="88"/>
      <c r="M383" s="91"/>
      <c r="N383" s="88"/>
      <c r="O383" s="91"/>
      <c r="P383" s="91"/>
      <c r="Q383" s="88"/>
      <c r="R383" s="91"/>
      <c r="S383" s="91"/>
      <c r="T383" s="88"/>
      <c r="U383" s="88"/>
      <c r="V383" s="88"/>
      <c r="Y383" s="91"/>
      <c r="Z383" s="88"/>
    </row>
    <row r="384" spans="6:26" ht="12.5" x14ac:dyDescent="0.25">
      <c r="F384" s="101"/>
      <c r="G384" s="91"/>
      <c r="H384" s="91"/>
      <c r="I384" s="88"/>
      <c r="J384" s="91"/>
      <c r="K384" s="88"/>
      <c r="L384" s="88"/>
      <c r="M384" s="91"/>
      <c r="N384" s="88"/>
      <c r="O384" s="91"/>
      <c r="P384" s="91"/>
      <c r="Q384" s="88"/>
      <c r="R384" s="91"/>
      <c r="S384" s="91"/>
      <c r="T384" s="88"/>
      <c r="U384" s="88"/>
      <c r="V384" s="88"/>
      <c r="Y384" s="91"/>
      <c r="Z384" s="88"/>
    </row>
    <row r="385" spans="6:26" ht="12.5" x14ac:dyDescent="0.25">
      <c r="F385" s="101"/>
      <c r="G385" s="91"/>
      <c r="H385" s="91"/>
      <c r="I385" s="88"/>
      <c r="J385" s="91"/>
      <c r="K385" s="88"/>
      <c r="L385" s="88"/>
      <c r="M385" s="91"/>
      <c r="N385" s="88"/>
      <c r="O385" s="91"/>
      <c r="P385" s="91"/>
      <c r="Q385" s="88"/>
      <c r="R385" s="91"/>
      <c r="S385" s="91"/>
      <c r="T385" s="88"/>
      <c r="U385" s="88"/>
      <c r="V385" s="88"/>
      <c r="Y385" s="91"/>
      <c r="Z385" s="88"/>
    </row>
    <row r="386" spans="6:26" ht="12.5" x14ac:dyDescent="0.25">
      <c r="F386" s="101"/>
      <c r="G386" s="91"/>
      <c r="H386" s="91"/>
      <c r="I386" s="88"/>
      <c r="J386" s="91"/>
      <c r="K386" s="88"/>
      <c r="L386" s="88"/>
      <c r="M386" s="91"/>
      <c r="N386" s="88"/>
      <c r="O386" s="91"/>
      <c r="P386" s="91"/>
      <c r="Q386" s="88"/>
      <c r="R386" s="91"/>
      <c r="S386" s="91"/>
      <c r="T386" s="88"/>
      <c r="U386" s="88"/>
      <c r="V386" s="88"/>
      <c r="Y386" s="91"/>
      <c r="Z386" s="88"/>
    </row>
    <row r="387" spans="6:26" ht="12.5" x14ac:dyDescent="0.25">
      <c r="F387" s="101"/>
      <c r="G387" s="91"/>
      <c r="H387" s="91"/>
      <c r="I387" s="88"/>
      <c r="J387" s="91"/>
      <c r="K387" s="88"/>
      <c r="L387" s="88"/>
      <c r="M387" s="91"/>
      <c r="N387" s="88"/>
      <c r="O387" s="91"/>
      <c r="P387" s="91"/>
      <c r="Q387" s="88"/>
      <c r="R387" s="91"/>
      <c r="S387" s="91"/>
      <c r="T387" s="88"/>
      <c r="U387" s="88"/>
      <c r="V387" s="88"/>
      <c r="Y387" s="91"/>
      <c r="Z387" s="88"/>
    </row>
    <row r="388" spans="6:26" ht="12.5" x14ac:dyDescent="0.25">
      <c r="F388" s="101"/>
      <c r="G388" s="91"/>
      <c r="H388" s="91"/>
      <c r="I388" s="88"/>
      <c r="J388" s="91"/>
      <c r="K388" s="88"/>
      <c r="L388" s="88"/>
      <c r="M388" s="91"/>
      <c r="N388" s="88"/>
      <c r="O388" s="91"/>
      <c r="P388" s="91"/>
      <c r="Q388" s="88"/>
      <c r="R388" s="91"/>
      <c r="S388" s="91"/>
      <c r="T388" s="88"/>
      <c r="U388" s="88"/>
      <c r="V388" s="88"/>
      <c r="Y388" s="91"/>
      <c r="Z388" s="88"/>
    </row>
    <row r="389" spans="6:26" ht="12.5" x14ac:dyDescent="0.25">
      <c r="F389" s="101"/>
      <c r="G389" s="91"/>
      <c r="H389" s="91"/>
      <c r="I389" s="88"/>
      <c r="J389" s="91"/>
      <c r="K389" s="88"/>
      <c r="L389" s="88"/>
      <c r="M389" s="91"/>
      <c r="N389" s="88"/>
      <c r="O389" s="91"/>
      <c r="P389" s="91"/>
      <c r="Q389" s="88"/>
      <c r="R389" s="91"/>
      <c r="S389" s="91"/>
      <c r="T389" s="88"/>
      <c r="U389" s="88"/>
      <c r="V389" s="88"/>
      <c r="Y389" s="91"/>
      <c r="Z389" s="88"/>
    </row>
    <row r="390" spans="6:26" ht="12.5" x14ac:dyDescent="0.25">
      <c r="F390" s="101"/>
      <c r="G390" s="91"/>
      <c r="H390" s="91"/>
      <c r="I390" s="88"/>
      <c r="J390" s="91"/>
      <c r="K390" s="88"/>
      <c r="L390" s="88"/>
      <c r="M390" s="91"/>
      <c r="N390" s="88"/>
      <c r="O390" s="91"/>
      <c r="P390" s="91"/>
      <c r="Q390" s="88"/>
      <c r="R390" s="91"/>
      <c r="S390" s="91"/>
      <c r="T390" s="88"/>
      <c r="U390" s="88"/>
      <c r="V390" s="88"/>
      <c r="Y390" s="91"/>
      <c r="Z390" s="88"/>
    </row>
    <row r="391" spans="6:26" ht="12.5" x14ac:dyDescent="0.25">
      <c r="F391" s="101"/>
      <c r="G391" s="91"/>
      <c r="H391" s="91"/>
      <c r="I391" s="88"/>
      <c r="J391" s="91"/>
      <c r="K391" s="88"/>
      <c r="L391" s="88"/>
      <c r="M391" s="91"/>
      <c r="N391" s="88"/>
      <c r="O391" s="91"/>
      <c r="P391" s="91"/>
      <c r="Q391" s="88"/>
      <c r="R391" s="91"/>
      <c r="S391" s="91"/>
      <c r="T391" s="88"/>
      <c r="U391" s="88"/>
      <c r="V391" s="88"/>
      <c r="Y391" s="91"/>
      <c r="Z391" s="88"/>
    </row>
    <row r="392" spans="6:26" ht="12.5" x14ac:dyDescent="0.25">
      <c r="F392" s="101"/>
      <c r="G392" s="91"/>
      <c r="H392" s="91"/>
      <c r="I392" s="88"/>
      <c r="J392" s="91"/>
      <c r="K392" s="88"/>
      <c r="L392" s="88"/>
      <c r="M392" s="91"/>
      <c r="N392" s="88"/>
      <c r="O392" s="91"/>
      <c r="P392" s="91"/>
      <c r="Q392" s="88"/>
      <c r="R392" s="91"/>
      <c r="S392" s="91"/>
      <c r="T392" s="88"/>
      <c r="U392" s="88"/>
      <c r="V392" s="88"/>
      <c r="Y392" s="91"/>
      <c r="Z392" s="88"/>
    </row>
    <row r="393" spans="6:26" ht="12.5" x14ac:dyDescent="0.25">
      <c r="F393" s="101"/>
      <c r="G393" s="91"/>
      <c r="H393" s="91"/>
      <c r="I393" s="88"/>
      <c r="J393" s="91"/>
      <c r="K393" s="88"/>
      <c r="L393" s="88"/>
      <c r="M393" s="91"/>
      <c r="N393" s="88"/>
      <c r="O393" s="91"/>
      <c r="P393" s="91"/>
      <c r="Q393" s="88"/>
      <c r="R393" s="91"/>
      <c r="S393" s="91"/>
      <c r="T393" s="88"/>
      <c r="U393" s="88"/>
      <c r="V393" s="88"/>
      <c r="Y393" s="91"/>
      <c r="Z393" s="88"/>
    </row>
    <row r="394" spans="6:26" ht="12.5" x14ac:dyDescent="0.25">
      <c r="F394" s="101"/>
      <c r="G394" s="91"/>
      <c r="H394" s="91"/>
      <c r="I394" s="88"/>
      <c r="J394" s="91"/>
      <c r="K394" s="88"/>
      <c r="L394" s="88"/>
      <c r="M394" s="91"/>
      <c r="N394" s="88"/>
      <c r="O394" s="91"/>
      <c r="P394" s="91"/>
      <c r="Q394" s="88"/>
      <c r="R394" s="91"/>
      <c r="S394" s="91"/>
      <c r="T394" s="88"/>
      <c r="U394" s="88"/>
      <c r="V394" s="88"/>
      <c r="Y394" s="91"/>
      <c r="Z394" s="88"/>
    </row>
    <row r="395" spans="6:26" ht="12.5" x14ac:dyDescent="0.25">
      <c r="F395" s="101"/>
      <c r="G395" s="91"/>
      <c r="H395" s="91"/>
      <c r="I395" s="88"/>
      <c r="J395" s="91"/>
      <c r="K395" s="88"/>
      <c r="L395" s="88"/>
      <c r="M395" s="91"/>
      <c r="N395" s="88"/>
      <c r="O395" s="91"/>
      <c r="P395" s="91"/>
      <c r="Q395" s="88"/>
      <c r="R395" s="91"/>
      <c r="S395" s="91"/>
      <c r="T395" s="88"/>
      <c r="U395" s="88"/>
      <c r="V395" s="88"/>
      <c r="Y395" s="91"/>
      <c r="Z395" s="88"/>
    </row>
    <row r="396" spans="6:26" ht="12.5" x14ac:dyDescent="0.25">
      <c r="F396" s="101"/>
      <c r="G396" s="91"/>
      <c r="H396" s="91"/>
      <c r="I396" s="88"/>
      <c r="J396" s="91"/>
      <c r="K396" s="88"/>
      <c r="L396" s="88"/>
      <c r="M396" s="91"/>
      <c r="N396" s="88"/>
      <c r="O396" s="91"/>
      <c r="P396" s="91"/>
      <c r="Q396" s="88"/>
      <c r="R396" s="91"/>
      <c r="S396" s="91"/>
      <c r="T396" s="88"/>
      <c r="U396" s="88"/>
      <c r="V396" s="88"/>
      <c r="Y396" s="91"/>
      <c r="Z396" s="88"/>
    </row>
    <row r="397" spans="6:26" ht="12.5" x14ac:dyDescent="0.25">
      <c r="F397" s="101"/>
      <c r="G397" s="91"/>
      <c r="H397" s="91"/>
      <c r="I397" s="88"/>
      <c r="J397" s="91"/>
      <c r="K397" s="88"/>
      <c r="L397" s="88"/>
      <c r="M397" s="91"/>
      <c r="N397" s="88"/>
      <c r="O397" s="91"/>
      <c r="P397" s="91"/>
      <c r="Q397" s="88"/>
      <c r="R397" s="91"/>
      <c r="S397" s="91"/>
      <c r="T397" s="88"/>
      <c r="U397" s="88"/>
      <c r="V397" s="88"/>
      <c r="Y397" s="91"/>
      <c r="Z397" s="88"/>
    </row>
    <row r="398" spans="6:26" ht="12.5" x14ac:dyDescent="0.25">
      <c r="F398" s="101"/>
      <c r="G398" s="91"/>
      <c r="H398" s="91"/>
      <c r="I398" s="88"/>
      <c r="J398" s="91"/>
      <c r="K398" s="88"/>
      <c r="L398" s="88"/>
      <c r="M398" s="91"/>
      <c r="N398" s="88"/>
      <c r="O398" s="91"/>
      <c r="P398" s="91"/>
      <c r="Q398" s="88"/>
      <c r="R398" s="91"/>
      <c r="S398" s="91"/>
      <c r="T398" s="88"/>
      <c r="U398" s="88"/>
      <c r="V398" s="88"/>
      <c r="Y398" s="91"/>
      <c r="Z398" s="88"/>
    </row>
    <row r="399" spans="6:26" ht="12.5" x14ac:dyDescent="0.25">
      <c r="F399" s="101"/>
      <c r="G399" s="91"/>
      <c r="H399" s="91"/>
      <c r="I399" s="88"/>
      <c r="J399" s="91"/>
      <c r="K399" s="88"/>
      <c r="L399" s="88"/>
      <c r="M399" s="91"/>
      <c r="N399" s="88"/>
      <c r="O399" s="91"/>
      <c r="P399" s="91"/>
      <c r="Q399" s="88"/>
      <c r="R399" s="91"/>
      <c r="S399" s="91"/>
      <c r="T399" s="88"/>
      <c r="U399" s="88"/>
      <c r="V399" s="88"/>
      <c r="Y399" s="91"/>
      <c r="Z399" s="88"/>
    </row>
    <row r="400" spans="6:26" ht="12.5" x14ac:dyDescent="0.25">
      <c r="F400" s="101"/>
      <c r="G400" s="91"/>
      <c r="H400" s="91"/>
      <c r="I400" s="88"/>
      <c r="J400" s="91"/>
      <c r="K400" s="88"/>
      <c r="L400" s="88"/>
      <c r="M400" s="91"/>
      <c r="N400" s="88"/>
      <c r="O400" s="91"/>
      <c r="P400" s="91"/>
      <c r="Q400" s="88"/>
      <c r="R400" s="91"/>
      <c r="S400" s="91"/>
      <c r="T400" s="88"/>
      <c r="U400" s="88"/>
      <c r="V400" s="88"/>
      <c r="Y400" s="91"/>
      <c r="Z400" s="88"/>
    </row>
    <row r="401" spans="6:26" ht="12.5" x14ac:dyDescent="0.25">
      <c r="F401" s="101"/>
      <c r="G401" s="91"/>
      <c r="H401" s="91"/>
      <c r="I401" s="88"/>
      <c r="J401" s="91"/>
      <c r="K401" s="88"/>
      <c r="L401" s="88"/>
      <c r="M401" s="91"/>
      <c r="N401" s="88"/>
      <c r="O401" s="91"/>
      <c r="P401" s="91"/>
      <c r="Q401" s="88"/>
      <c r="R401" s="91"/>
      <c r="S401" s="91"/>
      <c r="T401" s="88"/>
      <c r="U401" s="88"/>
      <c r="V401" s="88"/>
      <c r="Y401" s="91"/>
      <c r="Z401" s="88"/>
    </row>
    <row r="402" spans="6:26" ht="12.5" x14ac:dyDescent="0.25">
      <c r="F402" s="101"/>
      <c r="G402" s="91"/>
      <c r="H402" s="91"/>
      <c r="I402" s="88"/>
      <c r="J402" s="91"/>
      <c r="K402" s="88"/>
      <c r="L402" s="88"/>
      <c r="M402" s="91"/>
      <c r="N402" s="88"/>
      <c r="O402" s="91"/>
      <c r="P402" s="91"/>
      <c r="Q402" s="88"/>
      <c r="R402" s="91"/>
      <c r="S402" s="91"/>
      <c r="T402" s="88"/>
      <c r="U402" s="88"/>
      <c r="V402" s="88"/>
      <c r="Y402" s="91"/>
      <c r="Z402" s="88"/>
    </row>
    <row r="403" spans="6:26" ht="12.5" x14ac:dyDescent="0.25">
      <c r="F403" s="101"/>
      <c r="G403" s="91"/>
      <c r="H403" s="91"/>
      <c r="I403" s="88"/>
      <c r="J403" s="91"/>
      <c r="K403" s="88"/>
      <c r="L403" s="88"/>
      <c r="M403" s="91"/>
      <c r="N403" s="88"/>
      <c r="O403" s="91"/>
      <c r="P403" s="91"/>
      <c r="Q403" s="88"/>
      <c r="R403" s="91"/>
      <c r="S403" s="91"/>
      <c r="T403" s="88"/>
      <c r="U403" s="88"/>
      <c r="V403" s="88"/>
      <c r="Y403" s="91"/>
      <c r="Z403" s="88"/>
    </row>
    <row r="404" spans="6:26" ht="12.5" x14ac:dyDescent="0.25">
      <c r="F404" s="101"/>
      <c r="G404" s="91"/>
      <c r="H404" s="91"/>
      <c r="I404" s="88"/>
      <c r="J404" s="91"/>
      <c r="K404" s="88"/>
      <c r="L404" s="88"/>
      <c r="M404" s="91"/>
      <c r="N404" s="88"/>
      <c r="O404" s="91"/>
      <c r="P404" s="91"/>
      <c r="Q404" s="88"/>
      <c r="R404" s="91"/>
      <c r="S404" s="91"/>
      <c r="T404" s="88"/>
      <c r="U404" s="88"/>
      <c r="V404" s="88"/>
      <c r="Y404" s="91"/>
      <c r="Z404" s="88"/>
    </row>
    <row r="405" spans="6:26" ht="12.5" x14ac:dyDescent="0.25">
      <c r="F405" s="101"/>
      <c r="G405" s="91"/>
      <c r="H405" s="91"/>
      <c r="I405" s="88"/>
      <c r="J405" s="91"/>
      <c r="K405" s="88"/>
      <c r="L405" s="88"/>
      <c r="M405" s="91"/>
      <c r="N405" s="88"/>
      <c r="O405" s="91"/>
      <c r="P405" s="91"/>
      <c r="Q405" s="88"/>
      <c r="R405" s="91"/>
      <c r="S405" s="91"/>
      <c r="T405" s="88"/>
      <c r="U405" s="88"/>
      <c r="V405" s="88"/>
      <c r="Y405" s="91"/>
      <c r="Z405" s="88"/>
    </row>
    <row r="406" spans="6:26" ht="12.5" x14ac:dyDescent="0.25">
      <c r="F406" s="101"/>
      <c r="G406" s="91"/>
      <c r="H406" s="91"/>
      <c r="I406" s="88"/>
      <c r="J406" s="91"/>
      <c r="K406" s="88"/>
      <c r="L406" s="88"/>
      <c r="M406" s="91"/>
      <c r="N406" s="88"/>
      <c r="O406" s="91"/>
      <c r="P406" s="91"/>
      <c r="Q406" s="88"/>
      <c r="R406" s="91"/>
      <c r="S406" s="91"/>
      <c r="T406" s="88"/>
      <c r="U406" s="88"/>
      <c r="V406" s="88"/>
      <c r="Y406" s="91"/>
      <c r="Z406" s="88"/>
    </row>
    <row r="407" spans="6:26" ht="12.5" x14ac:dyDescent="0.25">
      <c r="F407" s="101"/>
      <c r="G407" s="91"/>
      <c r="H407" s="91"/>
      <c r="I407" s="88"/>
      <c r="J407" s="91"/>
      <c r="K407" s="88"/>
      <c r="L407" s="88"/>
      <c r="M407" s="91"/>
      <c r="N407" s="88"/>
      <c r="O407" s="91"/>
      <c r="P407" s="91"/>
      <c r="Q407" s="88"/>
      <c r="R407" s="91"/>
      <c r="S407" s="91"/>
      <c r="T407" s="88"/>
      <c r="U407" s="88"/>
      <c r="V407" s="88"/>
      <c r="Y407" s="91"/>
      <c r="Z407" s="88"/>
    </row>
    <row r="408" spans="6:26" ht="12.5" x14ac:dyDescent="0.25">
      <c r="F408" s="101"/>
      <c r="G408" s="91"/>
      <c r="H408" s="91"/>
      <c r="I408" s="88"/>
      <c r="J408" s="91"/>
      <c r="K408" s="88"/>
      <c r="L408" s="88"/>
      <c r="M408" s="91"/>
      <c r="N408" s="88"/>
      <c r="O408" s="91"/>
      <c r="P408" s="91"/>
      <c r="Q408" s="88"/>
      <c r="R408" s="91"/>
      <c r="S408" s="91"/>
      <c r="T408" s="88"/>
      <c r="U408" s="88"/>
      <c r="V408" s="88"/>
      <c r="Y408" s="91"/>
      <c r="Z408" s="88"/>
    </row>
    <row r="409" spans="6:26" ht="12.5" x14ac:dyDescent="0.25">
      <c r="F409" s="101"/>
      <c r="G409" s="91"/>
      <c r="H409" s="91"/>
      <c r="I409" s="88"/>
      <c r="J409" s="91"/>
      <c r="K409" s="88"/>
      <c r="L409" s="88"/>
      <c r="M409" s="91"/>
      <c r="N409" s="88"/>
      <c r="O409" s="91"/>
      <c r="P409" s="91"/>
      <c r="Q409" s="88"/>
      <c r="R409" s="91"/>
      <c r="S409" s="91"/>
      <c r="T409" s="88"/>
      <c r="U409" s="88"/>
      <c r="V409" s="88"/>
      <c r="Y409" s="91"/>
      <c r="Z409" s="88"/>
    </row>
    <row r="410" spans="6:26" ht="12.5" x14ac:dyDescent="0.25">
      <c r="F410" s="101"/>
      <c r="G410" s="91"/>
      <c r="H410" s="91"/>
      <c r="I410" s="88"/>
      <c r="J410" s="91"/>
      <c r="K410" s="88"/>
      <c r="L410" s="88"/>
      <c r="M410" s="91"/>
      <c r="N410" s="88"/>
      <c r="O410" s="91"/>
      <c r="P410" s="91"/>
      <c r="Q410" s="88"/>
      <c r="R410" s="91"/>
      <c r="S410" s="91"/>
      <c r="T410" s="88"/>
      <c r="U410" s="88"/>
      <c r="V410" s="88"/>
      <c r="Y410" s="91"/>
      <c r="Z410" s="88"/>
    </row>
    <row r="411" spans="6:26" ht="12.5" x14ac:dyDescent="0.25">
      <c r="F411" s="101"/>
      <c r="G411" s="91"/>
      <c r="H411" s="91"/>
      <c r="I411" s="88"/>
      <c r="J411" s="91"/>
      <c r="K411" s="88"/>
      <c r="L411" s="88"/>
      <c r="M411" s="91"/>
      <c r="N411" s="88"/>
      <c r="O411" s="91"/>
      <c r="P411" s="91"/>
      <c r="Q411" s="88"/>
      <c r="R411" s="91"/>
      <c r="S411" s="91"/>
      <c r="T411" s="88"/>
      <c r="U411" s="88"/>
      <c r="V411" s="88"/>
      <c r="Y411" s="91"/>
      <c r="Z411" s="88"/>
    </row>
    <row r="412" spans="6:26" ht="12.5" x14ac:dyDescent="0.25">
      <c r="F412" s="101"/>
      <c r="G412" s="91"/>
      <c r="H412" s="91"/>
      <c r="I412" s="88"/>
      <c r="J412" s="91"/>
      <c r="K412" s="88"/>
      <c r="L412" s="88"/>
      <c r="M412" s="91"/>
      <c r="N412" s="88"/>
      <c r="O412" s="91"/>
      <c r="P412" s="91"/>
      <c r="Q412" s="88"/>
      <c r="R412" s="91"/>
      <c r="S412" s="91"/>
      <c r="T412" s="88"/>
      <c r="U412" s="88"/>
      <c r="V412" s="88"/>
      <c r="Y412" s="91"/>
      <c r="Z412" s="88"/>
    </row>
    <row r="413" spans="6:26" ht="12.5" x14ac:dyDescent="0.25">
      <c r="F413" s="101"/>
      <c r="G413" s="91"/>
      <c r="H413" s="91"/>
      <c r="I413" s="88"/>
      <c r="J413" s="91"/>
      <c r="K413" s="88"/>
      <c r="L413" s="88"/>
      <c r="M413" s="91"/>
      <c r="N413" s="88"/>
      <c r="O413" s="91"/>
      <c r="P413" s="91"/>
      <c r="Q413" s="88"/>
      <c r="R413" s="91"/>
      <c r="S413" s="91"/>
      <c r="T413" s="88"/>
      <c r="U413" s="88"/>
      <c r="V413" s="88"/>
      <c r="Y413" s="91"/>
      <c r="Z413" s="88"/>
    </row>
    <row r="414" spans="6:26" ht="12.5" x14ac:dyDescent="0.25">
      <c r="F414" s="101"/>
      <c r="G414" s="91"/>
      <c r="H414" s="91"/>
      <c r="I414" s="88"/>
      <c r="J414" s="91"/>
      <c r="K414" s="88"/>
      <c r="L414" s="88"/>
      <c r="M414" s="91"/>
      <c r="N414" s="88"/>
      <c r="O414" s="91"/>
      <c r="P414" s="91"/>
      <c r="Q414" s="88"/>
      <c r="R414" s="91"/>
      <c r="S414" s="91"/>
      <c r="T414" s="88"/>
      <c r="U414" s="88"/>
      <c r="V414" s="88"/>
      <c r="Y414" s="91"/>
      <c r="Z414" s="88"/>
    </row>
    <row r="415" spans="6:26" ht="12.5" x14ac:dyDescent="0.25">
      <c r="F415" s="101"/>
      <c r="G415" s="91"/>
      <c r="H415" s="91"/>
      <c r="I415" s="88"/>
      <c r="J415" s="91"/>
      <c r="K415" s="88"/>
      <c r="L415" s="88"/>
      <c r="M415" s="91"/>
      <c r="N415" s="88"/>
      <c r="O415" s="91"/>
      <c r="P415" s="91"/>
      <c r="Q415" s="88"/>
      <c r="R415" s="91"/>
      <c r="S415" s="91"/>
      <c r="T415" s="88"/>
      <c r="U415" s="88"/>
      <c r="V415" s="88"/>
      <c r="Y415" s="91"/>
      <c r="Z415" s="88"/>
    </row>
    <row r="416" spans="6:26" ht="12.5" x14ac:dyDescent="0.25">
      <c r="F416" s="101"/>
      <c r="G416" s="91"/>
      <c r="H416" s="91"/>
      <c r="I416" s="88"/>
      <c r="J416" s="91"/>
      <c r="K416" s="88"/>
      <c r="L416" s="88"/>
      <c r="M416" s="91"/>
      <c r="N416" s="88"/>
      <c r="O416" s="91"/>
      <c r="P416" s="91"/>
      <c r="Q416" s="88"/>
      <c r="R416" s="91"/>
      <c r="S416" s="91"/>
      <c r="T416" s="88"/>
      <c r="U416" s="88"/>
      <c r="V416" s="88"/>
      <c r="Y416" s="91"/>
      <c r="Z416" s="88"/>
    </row>
    <row r="417" spans="6:26" ht="12.5" x14ac:dyDescent="0.25">
      <c r="F417" s="101"/>
      <c r="G417" s="91"/>
      <c r="H417" s="91"/>
      <c r="I417" s="88"/>
      <c r="J417" s="91"/>
      <c r="K417" s="88"/>
      <c r="L417" s="88"/>
      <c r="M417" s="91"/>
      <c r="N417" s="88"/>
      <c r="O417" s="91"/>
      <c r="P417" s="91"/>
      <c r="Q417" s="88"/>
      <c r="R417" s="91"/>
      <c r="S417" s="91"/>
      <c r="T417" s="88"/>
      <c r="U417" s="88"/>
      <c r="V417" s="88"/>
      <c r="Y417" s="91"/>
      <c r="Z417" s="88"/>
    </row>
    <row r="418" spans="6:26" ht="12.5" x14ac:dyDescent="0.25">
      <c r="F418" s="101"/>
      <c r="G418" s="91"/>
      <c r="H418" s="91"/>
      <c r="I418" s="88"/>
      <c r="J418" s="91"/>
      <c r="K418" s="88"/>
      <c r="L418" s="88"/>
      <c r="M418" s="91"/>
      <c r="N418" s="88"/>
      <c r="O418" s="91"/>
      <c r="P418" s="91"/>
      <c r="Q418" s="88"/>
      <c r="R418" s="91"/>
      <c r="S418" s="91"/>
      <c r="T418" s="88"/>
      <c r="U418" s="88"/>
      <c r="V418" s="88"/>
      <c r="Y418" s="91"/>
      <c r="Z418" s="88"/>
    </row>
    <row r="419" spans="6:26" ht="12.5" x14ac:dyDescent="0.25">
      <c r="F419" s="101"/>
      <c r="G419" s="91"/>
      <c r="H419" s="91"/>
      <c r="I419" s="88"/>
      <c r="J419" s="91"/>
      <c r="K419" s="88"/>
      <c r="L419" s="88"/>
      <c r="M419" s="91"/>
      <c r="N419" s="88"/>
      <c r="O419" s="91"/>
      <c r="P419" s="91"/>
      <c r="Q419" s="88"/>
      <c r="R419" s="91"/>
      <c r="S419" s="91"/>
      <c r="T419" s="88"/>
      <c r="U419" s="88"/>
      <c r="V419" s="88"/>
      <c r="Y419" s="91"/>
      <c r="Z419" s="88"/>
    </row>
    <row r="420" spans="6:26" ht="12.5" x14ac:dyDescent="0.25">
      <c r="F420" s="101"/>
      <c r="G420" s="91"/>
      <c r="H420" s="91"/>
      <c r="I420" s="88"/>
      <c r="J420" s="91"/>
      <c r="K420" s="88"/>
      <c r="L420" s="88"/>
      <c r="M420" s="91"/>
      <c r="N420" s="88"/>
      <c r="O420" s="91"/>
      <c r="P420" s="91"/>
      <c r="Q420" s="88"/>
      <c r="R420" s="91"/>
      <c r="S420" s="91"/>
      <c r="T420" s="88"/>
      <c r="U420" s="88"/>
      <c r="V420" s="88"/>
      <c r="Y420" s="91"/>
      <c r="Z420" s="88"/>
    </row>
    <row r="421" spans="6:26" ht="12.5" x14ac:dyDescent="0.25">
      <c r="F421" s="101"/>
      <c r="G421" s="91"/>
      <c r="H421" s="91"/>
      <c r="I421" s="88"/>
      <c r="J421" s="91"/>
      <c r="K421" s="88"/>
      <c r="L421" s="88"/>
      <c r="M421" s="91"/>
      <c r="N421" s="88"/>
      <c r="O421" s="91"/>
      <c r="P421" s="91"/>
      <c r="Q421" s="88"/>
      <c r="R421" s="91"/>
      <c r="S421" s="91"/>
      <c r="T421" s="88"/>
      <c r="U421" s="88"/>
      <c r="V421" s="88"/>
      <c r="Y421" s="91"/>
      <c r="Z421" s="88"/>
    </row>
    <row r="422" spans="6:26" ht="12.5" x14ac:dyDescent="0.25">
      <c r="F422" s="101"/>
      <c r="G422" s="91"/>
      <c r="H422" s="91"/>
      <c r="I422" s="88"/>
      <c r="J422" s="91"/>
      <c r="K422" s="88"/>
      <c r="L422" s="88"/>
      <c r="M422" s="91"/>
      <c r="N422" s="88"/>
      <c r="O422" s="91"/>
      <c r="P422" s="91"/>
      <c r="Q422" s="88"/>
      <c r="R422" s="91"/>
      <c r="S422" s="91"/>
      <c r="T422" s="88"/>
      <c r="U422" s="88"/>
      <c r="V422" s="88"/>
      <c r="Y422" s="91"/>
      <c r="Z422" s="88"/>
    </row>
    <row r="423" spans="6:26" ht="12.5" x14ac:dyDescent="0.25">
      <c r="F423" s="101"/>
      <c r="G423" s="91"/>
      <c r="H423" s="91"/>
      <c r="I423" s="88"/>
      <c r="J423" s="91"/>
      <c r="K423" s="88"/>
      <c r="L423" s="88"/>
      <c r="M423" s="91"/>
      <c r="N423" s="88"/>
      <c r="O423" s="91"/>
      <c r="P423" s="91"/>
      <c r="Q423" s="88"/>
      <c r="R423" s="91"/>
      <c r="S423" s="91"/>
      <c r="T423" s="88"/>
      <c r="U423" s="88"/>
      <c r="V423" s="88"/>
      <c r="Y423" s="91"/>
      <c r="Z423" s="88"/>
    </row>
    <row r="424" spans="6:26" ht="12.5" x14ac:dyDescent="0.25">
      <c r="F424" s="101"/>
      <c r="G424" s="91"/>
      <c r="H424" s="91"/>
      <c r="I424" s="88"/>
      <c r="J424" s="91"/>
      <c r="K424" s="88"/>
      <c r="L424" s="88"/>
      <c r="M424" s="91"/>
      <c r="N424" s="88"/>
      <c r="O424" s="91"/>
      <c r="P424" s="91"/>
      <c r="Q424" s="88"/>
      <c r="R424" s="91"/>
      <c r="S424" s="91"/>
      <c r="T424" s="88"/>
      <c r="U424" s="88"/>
      <c r="V424" s="88"/>
      <c r="Y424" s="91"/>
      <c r="Z424" s="88"/>
    </row>
    <row r="425" spans="6:26" ht="12.5" x14ac:dyDescent="0.25">
      <c r="F425" s="101"/>
      <c r="G425" s="91"/>
      <c r="H425" s="91"/>
      <c r="I425" s="88"/>
      <c r="J425" s="91"/>
      <c r="K425" s="88"/>
      <c r="L425" s="88"/>
      <c r="M425" s="91"/>
      <c r="N425" s="88"/>
      <c r="O425" s="91"/>
      <c r="P425" s="91"/>
      <c r="Q425" s="88"/>
      <c r="R425" s="91"/>
      <c r="S425" s="91"/>
      <c r="T425" s="88"/>
      <c r="U425" s="88"/>
      <c r="V425" s="88"/>
      <c r="Y425" s="91"/>
      <c r="Z425" s="88"/>
    </row>
    <row r="426" spans="6:26" ht="12.5" x14ac:dyDescent="0.25">
      <c r="F426" s="101"/>
      <c r="G426" s="91"/>
      <c r="H426" s="91"/>
      <c r="I426" s="88"/>
      <c r="J426" s="91"/>
      <c r="K426" s="88"/>
      <c r="L426" s="88"/>
      <c r="M426" s="91"/>
      <c r="N426" s="88"/>
      <c r="O426" s="91"/>
      <c r="P426" s="91"/>
      <c r="Q426" s="88"/>
      <c r="R426" s="91"/>
      <c r="S426" s="91"/>
      <c r="T426" s="88"/>
      <c r="U426" s="88"/>
      <c r="V426" s="88"/>
      <c r="Y426" s="91"/>
      <c r="Z426" s="88"/>
    </row>
    <row r="427" spans="6:26" ht="12.5" x14ac:dyDescent="0.25">
      <c r="F427" s="101"/>
      <c r="G427" s="91"/>
      <c r="H427" s="91"/>
      <c r="I427" s="88"/>
      <c r="J427" s="91"/>
      <c r="K427" s="88"/>
      <c r="L427" s="88"/>
      <c r="M427" s="91"/>
      <c r="N427" s="88"/>
      <c r="O427" s="91"/>
      <c r="P427" s="91"/>
      <c r="Q427" s="88"/>
      <c r="R427" s="91"/>
      <c r="S427" s="91"/>
      <c r="T427" s="88"/>
      <c r="U427" s="88"/>
      <c r="V427" s="88"/>
      <c r="Y427" s="91"/>
      <c r="Z427" s="88"/>
    </row>
    <row r="428" spans="6:26" ht="12.5" x14ac:dyDescent="0.25">
      <c r="F428" s="101"/>
      <c r="G428" s="91"/>
      <c r="H428" s="91"/>
      <c r="I428" s="88"/>
      <c r="J428" s="91"/>
      <c r="K428" s="88"/>
      <c r="L428" s="88"/>
      <c r="M428" s="91"/>
      <c r="N428" s="88"/>
      <c r="O428" s="91"/>
      <c r="P428" s="91"/>
      <c r="Q428" s="88"/>
      <c r="R428" s="91"/>
      <c r="S428" s="91"/>
      <c r="T428" s="88"/>
      <c r="U428" s="88"/>
      <c r="V428" s="88"/>
      <c r="Y428" s="91"/>
      <c r="Z428" s="88"/>
    </row>
    <row r="429" spans="6:26" ht="12.5" x14ac:dyDescent="0.25">
      <c r="F429" s="101"/>
      <c r="G429" s="91"/>
      <c r="H429" s="91"/>
      <c r="I429" s="88"/>
      <c r="J429" s="91"/>
      <c r="K429" s="88"/>
      <c r="L429" s="88"/>
      <c r="M429" s="91"/>
      <c r="N429" s="88"/>
      <c r="O429" s="91"/>
      <c r="P429" s="91"/>
      <c r="Q429" s="88"/>
      <c r="R429" s="91"/>
      <c r="S429" s="91"/>
      <c r="T429" s="88"/>
      <c r="U429" s="88"/>
      <c r="V429" s="88"/>
      <c r="Y429" s="91"/>
      <c r="Z429" s="88"/>
    </row>
    <row r="430" spans="6:26" ht="12.5" x14ac:dyDescent="0.25">
      <c r="F430" s="101"/>
      <c r="G430" s="91"/>
      <c r="H430" s="91"/>
      <c r="I430" s="88"/>
      <c r="J430" s="91"/>
      <c r="K430" s="88"/>
      <c r="L430" s="88"/>
      <c r="M430" s="91"/>
      <c r="N430" s="88"/>
      <c r="O430" s="91"/>
      <c r="P430" s="91"/>
      <c r="Q430" s="88"/>
      <c r="R430" s="91"/>
      <c r="S430" s="91"/>
      <c r="T430" s="88"/>
      <c r="U430" s="88"/>
      <c r="V430" s="88"/>
      <c r="Y430" s="91"/>
      <c r="Z430" s="88"/>
    </row>
    <row r="431" spans="6:26" ht="12.5" x14ac:dyDescent="0.25">
      <c r="F431" s="101"/>
      <c r="G431" s="91"/>
      <c r="H431" s="91"/>
      <c r="I431" s="88"/>
      <c r="J431" s="91"/>
      <c r="K431" s="88"/>
      <c r="L431" s="88"/>
      <c r="M431" s="91"/>
      <c r="N431" s="88"/>
      <c r="O431" s="91"/>
      <c r="P431" s="91"/>
      <c r="Q431" s="88"/>
      <c r="R431" s="91"/>
      <c r="S431" s="91"/>
      <c r="T431" s="88"/>
      <c r="U431" s="88"/>
      <c r="V431" s="88"/>
      <c r="Y431" s="91"/>
      <c r="Z431" s="88"/>
    </row>
    <row r="432" spans="6:26" ht="12.5" x14ac:dyDescent="0.25">
      <c r="F432" s="101"/>
      <c r="G432" s="91"/>
      <c r="H432" s="91"/>
      <c r="I432" s="88"/>
      <c r="J432" s="91"/>
      <c r="K432" s="88"/>
      <c r="L432" s="88"/>
      <c r="M432" s="91"/>
      <c r="N432" s="88"/>
      <c r="O432" s="91"/>
      <c r="P432" s="91"/>
      <c r="Q432" s="88"/>
      <c r="R432" s="91"/>
      <c r="S432" s="91"/>
      <c r="T432" s="88"/>
      <c r="U432" s="88"/>
      <c r="V432" s="88"/>
      <c r="Y432" s="91"/>
      <c r="Z432" s="88"/>
    </row>
    <row r="433" spans="6:26" ht="12.5" x14ac:dyDescent="0.25">
      <c r="F433" s="101"/>
      <c r="G433" s="91"/>
      <c r="H433" s="91"/>
      <c r="I433" s="88"/>
      <c r="J433" s="91"/>
      <c r="K433" s="88"/>
      <c r="L433" s="88"/>
      <c r="M433" s="91"/>
      <c r="N433" s="88"/>
      <c r="O433" s="91"/>
      <c r="P433" s="91"/>
      <c r="Q433" s="88"/>
      <c r="R433" s="91"/>
      <c r="S433" s="91"/>
      <c r="T433" s="88"/>
      <c r="U433" s="88"/>
      <c r="V433" s="88"/>
      <c r="Y433" s="91"/>
      <c r="Z433" s="88"/>
    </row>
    <row r="434" spans="6:26" ht="12.5" x14ac:dyDescent="0.25">
      <c r="F434" s="101"/>
      <c r="G434" s="91"/>
      <c r="H434" s="91"/>
      <c r="I434" s="88"/>
      <c r="J434" s="91"/>
      <c r="K434" s="88"/>
      <c r="L434" s="88"/>
      <c r="M434" s="91"/>
      <c r="N434" s="88"/>
      <c r="O434" s="91"/>
      <c r="P434" s="91"/>
      <c r="Q434" s="88"/>
      <c r="R434" s="91"/>
      <c r="S434" s="91"/>
      <c r="T434" s="88"/>
      <c r="U434" s="88"/>
      <c r="V434" s="88"/>
      <c r="Y434" s="91"/>
      <c r="Z434" s="88"/>
    </row>
    <row r="435" spans="6:26" ht="12.5" x14ac:dyDescent="0.25">
      <c r="F435" s="101"/>
      <c r="G435" s="91"/>
      <c r="H435" s="91"/>
      <c r="I435" s="88"/>
      <c r="J435" s="91"/>
      <c r="K435" s="88"/>
      <c r="L435" s="88"/>
      <c r="M435" s="91"/>
      <c r="N435" s="88"/>
      <c r="O435" s="91"/>
      <c r="P435" s="91"/>
      <c r="Q435" s="88"/>
      <c r="R435" s="91"/>
      <c r="S435" s="91"/>
      <c r="T435" s="88"/>
      <c r="U435" s="88"/>
      <c r="V435" s="88"/>
      <c r="Y435" s="91"/>
      <c r="Z435" s="88"/>
    </row>
    <row r="436" spans="6:26" ht="12.5" x14ac:dyDescent="0.25">
      <c r="F436" s="101"/>
      <c r="G436" s="91"/>
      <c r="H436" s="91"/>
      <c r="I436" s="88"/>
      <c r="J436" s="91"/>
      <c r="K436" s="88"/>
      <c r="L436" s="88"/>
      <c r="M436" s="91"/>
      <c r="N436" s="88"/>
      <c r="O436" s="91"/>
      <c r="P436" s="91"/>
      <c r="Q436" s="88"/>
      <c r="R436" s="91"/>
      <c r="S436" s="91"/>
      <c r="T436" s="88"/>
      <c r="U436" s="88"/>
      <c r="V436" s="88"/>
      <c r="Y436" s="91"/>
      <c r="Z436" s="88"/>
    </row>
    <row r="437" spans="6:26" ht="12.5" x14ac:dyDescent="0.25">
      <c r="F437" s="101"/>
      <c r="G437" s="91"/>
      <c r="H437" s="91"/>
      <c r="I437" s="88"/>
      <c r="J437" s="91"/>
      <c r="K437" s="88"/>
      <c r="L437" s="88"/>
      <c r="M437" s="91"/>
      <c r="N437" s="88"/>
      <c r="O437" s="91"/>
      <c r="P437" s="91"/>
      <c r="Q437" s="88"/>
      <c r="R437" s="91"/>
      <c r="S437" s="91"/>
      <c r="T437" s="88"/>
      <c r="U437" s="88"/>
      <c r="V437" s="88"/>
      <c r="Y437" s="91"/>
      <c r="Z437" s="88"/>
    </row>
    <row r="438" spans="6:26" ht="12.5" x14ac:dyDescent="0.25">
      <c r="F438" s="101"/>
      <c r="G438" s="91"/>
      <c r="H438" s="91"/>
      <c r="I438" s="88"/>
      <c r="J438" s="91"/>
      <c r="K438" s="88"/>
      <c r="L438" s="88"/>
      <c r="M438" s="91"/>
      <c r="N438" s="88"/>
      <c r="O438" s="91"/>
      <c r="P438" s="91"/>
      <c r="Q438" s="88"/>
      <c r="R438" s="91"/>
      <c r="S438" s="91"/>
      <c r="T438" s="88"/>
      <c r="U438" s="88"/>
      <c r="V438" s="88"/>
      <c r="Y438" s="91"/>
      <c r="Z438" s="88"/>
    </row>
    <row r="439" spans="6:26" ht="12.5" x14ac:dyDescent="0.25">
      <c r="F439" s="101"/>
      <c r="G439" s="91"/>
      <c r="H439" s="91"/>
      <c r="I439" s="88"/>
      <c r="J439" s="91"/>
      <c r="K439" s="88"/>
      <c r="L439" s="88"/>
      <c r="M439" s="91"/>
      <c r="N439" s="88"/>
      <c r="O439" s="91"/>
      <c r="P439" s="91"/>
      <c r="Q439" s="88"/>
      <c r="R439" s="91"/>
      <c r="S439" s="91"/>
      <c r="T439" s="88"/>
      <c r="U439" s="88"/>
      <c r="V439" s="88"/>
      <c r="Y439" s="91"/>
      <c r="Z439" s="88"/>
    </row>
    <row r="440" spans="6:26" ht="12.5" x14ac:dyDescent="0.25">
      <c r="F440" s="101"/>
      <c r="G440" s="91"/>
      <c r="H440" s="91"/>
      <c r="I440" s="88"/>
      <c r="J440" s="91"/>
      <c r="K440" s="88"/>
      <c r="L440" s="88"/>
      <c r="M440" s="91"/>
      <c r="N440" s="88"/>
      <c r="O440" s="91"/>
      <c r="P440" s="91"/>
      <c r="Q440" s="88"/>
      <c r="R440" s="91"/>
      <c r="S440" s="91"/>
      <c r="T440" s="88"/>
      <c r="U440" s="88"/>
      <c r="V440" s="88"/>
      <c r="Y440" s="91"/>
      <c r="Z440" s="88"/>
    </row>
    <row r="441" spans="6:26" ht="12.5" x14ac:dyDescent="0.25">
      <c r="F441" s="101"/>
      <c r="G441" s="91"/>
      <c r="H441" s="91"/>
      <c r="I441" s="88"/>
      <c r="J441" s="91"/>
      <c r="K441" s="88"/>
      <c r="L441" s="88"/>
      <c r="M441" s="91"/>
      <c r="N441" s="88"/>
      <c r="O441" s="91"/>
      <c r="P441" s="91"/>
      <c r="Q441" s="88"/>
      <c r="R441" s="91"/>
      <c r="S441" s="91"/>
      <c r="T441" s="88"/>
      <c r="U441" s="88"/>
      <c r="V441" s="88"/>
      <c r="Y441" s="91"/>
      <c r="Z441" s="88"/>
    </row>
    <row r="442" spans="6:26" ht="12.5" x14ac:dyDescent="0.25">
      <c r="F442" s="101"/>
      <c r="G442" s="91"/>
      <c r="H442" s="91"/>
      <c r="I442" s="88"/>
      <c r="J442" s="91"/>
      <c r="K442" s="88"/>
      <c r="L442" s="88"/>
      <c r="M442" s="91"/>
      <c r="N442" s="88"/>
      <c r="O442" s="91"/>
      <c r="P442" s="91"/>
      <c r="Q442" s="88"/>
      <c r="R442" s="91"/>
      <c r="S442" s="91"/>
      <c r="T442" s="88"/>
      <c r="U442" s="88"/>
      <c r="V442" s="88"/>
      <c r="Y442" s="91"/>
      <c r="Z442" s="88"/>
    </row>
    <row r="443" spans="6:26" ht="12.5" x14ac:dyDescent="0.25">
      <c r="F443" s="101"/>
      <c r="G443" s="91"/>
      <c r="H443" s="91"/>
      <c r="I443" s="88"/>
      <c r="J443" s="91"/>
      <c r="K443" s="88"/>
      <c r="L443" s="88"/>
      <c r="M443" s="91"/>
      <c r="N443" s="88"/>
      <c r="O443" s="91"/>
      <c r="P443" s="91"/>
      <c r="Q443" s="88"/>
      <c r="R443" s="91"/>
      <c r="S443" s="91"/>
      <c r="T443" s="88"/>
      <c r="U443" s="88"/>
      <c r="V443" s="88"/>
      <c r="Y443" s="91"/>
      <c r="Z443" s="88"/>
    </row>
    <row r="444" spans="6:26" ht="12.5" x14ac:dyDescent="0.25">
      <c r="F444" s="101"/>
      <c r="G444" s="91"/>
      <c r="H444" s="91"/>
      <c r="I444" s="88"/>
      <c r="J444" s="91"/>
      <c r="K444" s="88"/>
      <c r="L444" s="88"/>
      <c r="M444" s="91"/>
      <c r="N444" s="88"/>
      <c r="O444" s="91"/>
      <c r="P444" s="91"/>
      <c r="Q444" s="88"/>
      <c r="R444" s="91"/>
      <c r="S444" s="91"/>
      <c r="T444" s="88"/>
      <c r="U444" s="88"/>
      <c r="V444" s="88"/>
      <c r="Y444" s="91"/>
      <c r="Z444" s="88"/>
    </row>
    <row r="445" spans="6:26" ht="12.5" x14ac:dyDescent="0.25">
      <c r="F445" s="101"/>
      <c r="G445" s="91"/>
      <c r="H445" s="91"/>
      <c r="I445" s="88"/>
      <c r="J445" s="91"/>
      <c r="K445" s="88"/>
      <c r="L445" s="88"/>
      <c r="M445" s="91"/>
      <c r="N445" s="88"/>
      <c r="O445" s="91"/>
      <c r="P445" s="91"/>
      <c r="Q445" s="88"/>
      <c r="R445" s="91"/>
      <c r="S445" s="91"/>
      <c r="T445" s="88"/>
      <c r="U445" s="88"/>
      <c r="V445" s="88"/>
      <c r="Y445" s="91"/>
      <c r="Z445" s="88"/>
    </row>
    <row r="446" spans="6:26" ht="12.5" x14ac:dyDescent="0.25">
      <c r="F446" s="101"/>
      <c r="G446" s="91"/>
      <c r="H446" s="91"/>
      <c r="I446" s="88"/>
      <c r="J446" s="91"/>
      <c r="K446" s="88"/>
      <c r="L446" s="88"/>
      <c r="M446" s="91"/>
      <c r="N446" s="88"/>
      <c r="O446" s="91"/>
      <c r="P446" s="91"/>
      <c r="Q446" s="88"/>
      <c r="R446" s="91"/>
      <c r="S446" s="91"/>
      <c r="T446" s="88"/>
      <c r="U446" s="88"/>
      <c r="V446" s="88"/>
      <c r="Y446" s="91"/>
      <c r="Z446" s="88"/>
    </row>
    <row r="447" spans="6:26" ht="12.5" x14ac:dyDescent="0.25">
      <c r="F447" s="101"/>
      <c r="G447" s="91"/>
      <c r="H447" s="91"/>
      <c r="I447" s="88"/>
      <c r="J447" s="91"/>
      <c r="K447" s="88"/>
      <c r="L447" s="88"/>
      <c r="M447" s="91"/>
      <c r="N447" s="88"/>
      <c r="O447" s="91"/>
      <c r="P447" s="91"/>
      <c r="Q447" s="88"/>
      <c r="R447" s="91"/>
      <c r="S447" s="91"/>
      <c r="T447" s="88"/>
      <c r="U447" s="88"/>
      <c r="V447" s="88"/>
      <c r="Y447" s="91"/>
      <c r="Z447" s="88"/>
    </row>
    <row r="448" spans="6:26" ht="12.5" x14ac:dyDescent="0.25">
      <c r="F448" s="101"/>
      <c r="G448" s="91"/>
      <c r="H448" s="91"/>
      <c r="I448" s="88"/>
      <c r="J448" s="91"/>
      <c r="K448" s="88"/>
      <c r="L448" s="88"/>
      <c r="M448" s="91"/>
      <c r="N448" s="88"/>
      <c r="O448" s="91"/>
      <c r="P448" s="91"/>
      <c r="Q448" s="88"/>
      <c r="R448" s="91"/>
      <c r="S448" s="91"/>
      <c r="T448" s="88"/>
      <c r="U448" s="88"/>
      <c r="V448" s="88"/>
      <c r="Y448" s="91"/>
      <c r="Z448" s="88"/>
    </row>
    <row r="449" spans="6:26" ht="12.5" x14ac:dyDescent="0.25">
      <c r="F449" s="101"/>
      <c r="G449" s="91"/>
      <c r="H449" s="91"/>
      <c r="I449" s="88"/>
      <c r="J449" s="91"/>
      <c r="K449" s="88"/>
      <c r="L449" s="88"/>
      <c r="M449" s="91"/>
      <c r="N449" s="88"/>
      <c r="O449" s="91"/>
      <c r="P449" s="91"/>
      <c r="Q449" s="88"/>
      <c r="R449" s="91"/>
      <c r="S449" s="91"/>
      <c r="T449" s="88"/>
      <c r="U449" s="88"/>
      <c r="V449" s="88"/>
      <c r="Y449" s="91"/>
      <c r="Z449" s="88"/>
    </row>
    <row r="450" spans="6:26" ht="12.5" x14ac:dyDescent="0.25">
      <c r="F450" s="101"/>
      <c r="G450" s="91"/>
      <c r="H450" s="91"/>
      <c r="I450" s="88"/>
      <c r="J450" s="91"/>
      <c r="K450" s="88"/>
      <c r="L450" s="88"/>
      <c r="M450" s="91"/>
      <c r="N450" s="88"/>
      <c r="O450" s="91"/>
      <c r="P450" s="91"/>
      <c r="Q450" s="88"/>
      <c r="R450" s="91"/>
      <c r="S450" s="91"/>
      <c r="T450" s="88"/>
      <c r="U450" s="88"/>
      <c r="V450" s="88"/>
      <c r="Y450" s="91"/>
      <c r="Z450" s="88"/>
    </row>
    <row r="451" spans="6:26" ht="12.5" x14ac:dyDescent="0.25">
      <c r="F451" s="101"/>
      <c r="G451" s="91"/>
      <c r="H451" s="91"/>
      <c r="I451" s="88"/>
      <c r="J451" s="91"/>
      <c r="K451" s="88"/>
      <c r="L451" s="88"/>
      <c r="M451" s="91"/>
      <c r="N451" s="88"/>
      <c r="O451" s="91"/>
      <c r="P451" s="91"/>
      <c r="Q451" s="88"/>
      <c r="R451" s="91"/>
      <c r="S451" s="91"/>
      <c r="T451" s="88"/>
      <c r="U451" s="88"/>
      <c r="V451" s="88"/>
      <c r="Y451" s="91"/>
      <c r="Z451" s="88"/>
    </row>
    <row r="452" spans="6:26" ht="12.5" x14ac:dyDescent="0.25">
      <c r="F452" s="101"/>
      <c r="G452" s="91"/>
      <c r="H452" s="91"/>
      <c r="I452" s="88"/>
      <c r="J452" s="91"/>
      <c r="K452" s="88"/>
      <c r="L452" s="88"/>
      <c r="M452" s="91"/>
      <c r="N452" s="88"/>
      <c r="O452" s="91"/>
      <c r="P452" s="91"/>
      <c r="Q452" s="88"/>
      <c r="R452" s="91"/>
      <c r="S452" s="91"/>
      <c r="T452" s="88"/>
      <c r="U452" s="88"/>
      <c r="V452" s="88"/>
      <c r="Y452" s="91"/>
      <c r="Z452" s="88"/>
    </row>
    <row r="453" spans="6:26" ht="12.5" x14ac:dyDescent="0.25">
      <c r="F453" s="101"/>
      <c r="G453" s="91"/>
      <c r="H453" s="91"/>
      <c r="I453" s="88"/>
      <c r="J453" s="91"/>
      <c r="K453" s="88"/>
      <c r="L453" s="88"/>
      <c r="M453" s="91"/>
      <c r="N453" s="88"/>
      <c r="O453" s="91"/>
      <c r="P453" s="91"/>
      <c r="Q453" s="88"/>
      <c r="R453" s="91"/>
      <c r="S453" s="91"/>
      <c r="T453" s="88"/>
      <c r="U453" s="88"/>
      <c r="V453" s="88"/>
      <c r="Y453" s="91"/>
      <c r="Z453" s="88"/>
    </row>
    <row r="454" spans="6:26" ht="12.5" x14ac:dyDescent="0.25">
      <c r="F454" s="101"/>
      <c r="G454" s="91"/>
      <c r="H454" s="91"/>
      <c r="I454" s="88"/>
      <c r="J454" s="91"/>
      <c r="K454" s="88"/>
      <c r="L454" s="88"/>
      <c r="M454" s="91"/>
      <c r="N454" s="88"/>
      <c r="O454" s="91"/>
      <c r="P454" s="91"/>
      <c r="Q454" s="88"/>
      <c r="R454" s="91"/>
      <c r="S454" s="91"/>
      <c r="T454" s="88"/>
      <c r="U454" s="88"/>
      <c r="V454" s="88"/>
      <c r="Y454" s="91"/>
      <c r="Z454" s="88"/>
    </row>
    <row r="455" spans="6:26" ht="12.5" x14ac:dyDescent="0.25">
      <c r="F455" s="101"/>
      <c r="G455" s="91"/>
      <c r="H455" s="91"/>
      <c r="I455" s="88"/>
      <c r="J455" s="91"/>
      <c r="K455" s="88"/>
      <c r="L455" s="88"/>
      <c r="M455" s="91"/>
      <c r="N455" s="88"/>
      <c r="O455" s="91"/>
      <c r="P455" s="91"/>
      <c r="Q455" s="88"/>
      <c r="R455" s="91"/>
      <c r="S455" s="91"/>
      <c r="T455" s="88"/>
      <c r="U455" s="88"/>
      <c r="V455" s="88"/>
      <c r="Y455" s="91"/>
      <c r="Z455" s="88"/>
    </row>
    <row r="456" spans="6:26" ht="12.5" x14ac:dyDescent="0.25">
      <c r="F456" s="101"/>
      <c r="G456" s="91"/>
      <c r="H456" s="91"/>
      <c r="I456" s="88"/>
      <c r="J456" s="91"/>
      <c r="K456" s="88"/>
      <c r="L456" s="88"/>
      <c r="M456" s="91"/>
      <c r="N456" s="88"/>
      <c r="O456" s="91"/>
      <c r="P456" s="91"/>
      <c r="Q456" s="88"/>
      <c r="R456" s="91"/>
      <c r="S456" s="91"/>
      <c r="T456" s="88"/>
      <c r="U456" s="88"/>
      <c r="V456" s="88"/>
      <c r="Y456" s="91"/>
      <c r="Z456" s="88"/>
    </row>
    <row r="457" spans="6:26" ht="12.5" x14ac:dyDescent="0.25">
      <c r="F457" s="101"/>
      <c r="G457" s="91"/>
      <c r="H457" s="91"/>
      <c r="I457" s="88"/>
      <c r="J457" s="91"/>
      <c r="K457" s="88"/>
      <c r="L457" s="88"/>
      <c r="M457" s="91"/>
      <c r="N457" s="88"/>
      <c r="O457" s="91"/>
      <c r="P457" s="91"/>
      <c r="Q457" s="88"/>
      <c r="R457" s="91"/>
      <c r="S457" s="91"/>
      <c r="T457" s="88"/>
      <c r="U457" s="88"/>
      <c r="V457" s="88"/>
      <c r="Y457" s="91"/>
      <c r="Z457" s="88"/>
    </row>
    <row r="458" spans="6:26" ht="12.5" x14ac:dyDescent="0.25">
      <c r="F458" s="101"/>
      <c r="G458" s="91"/>
      <c r="H458" s="91"/>
      <c r="I458" s="88"/>
      <c r="J458" s="91"/>
      <c r="K458" s="88"/>
      <c r="L458" s="88"/>
      <c r="M458" s="91"/>
      <c r="N458" s="88"/>
      <c r="O458" s="91"/>
      <c r="P458" s="91"/>
      <c r="Q458" s="88"/>
      <c r="R458" s="91"/>
      <c r="S458" s="91"/>
      <c r="T458" s="88"/>
      <c r="U458" s="88"/>
      <c r="V458" s="88"/>
      <c r="Y458" s="91"/>
      <c r="Z458" s="88"/>
    </row>
    <row r="459" spans="6:26" ht="12.5" x14ac:dyDescent="0.25">
      <c r="F459" s="101"/>
      <c r="G459" s="91"/>
      <c r="H459" s="91"/>
      <c r="I459" s="88"/>
      <c r="J459" s="91"/>
      <c r="K459" s="88"/>
      <c r="L459" s="88"/>
      <c r="M459" s="91"/>
      <c r="N459" s="88"/>
      <c r="O459" s="91"/>
      <c r="P459" s="91"/>
      <c r="Q459" s="88"/>
      <c r="R459" s="91"/>
      <c r="S459" s="91"/>
      <c r="T459" s="88"/>
      <c r="U459" s="88"/>
      <c r="V459" s="88"/>
      <c r="Y459" s="91"/>
      <c r="Z459" s="88"/>
    </row>
    <row r="460" spans="6:26" ht="12.5" x14ac:dyDescent="0.25">
      <c r="F460" s="101"/>
      <c r="G460" s="91"/>
      <c r="H460" s="91"/>
      <c r="I460" s="88"/>
      <c r="J460" s="91"/>
      <c r="K460" s="88"/>
      <c r="L460" s="88"/>
      <c r="M460" s="91"/>
      <c r="N460" s="88"/>
      <c r="O460" s="91"/>
      <c r="P460" s="91"/>
      <c r="Q460" s="88"/>
      <c r="R460" s="91"/>
      <c r="S460" s="91"/>
      <c r="T460" s="88"/>
      <c r="U460" s="88"/>
      <c r="V460" s="88"/>
      <c r="Y460" s="91"/>
      <c r="Z460" s="88"/>
    </row>
    <row r="461" spans="6:26" ht="12.5" x14ac:dyDescent="0.25">
      <c r="F461" s="101"/>
      <c r="G461" s="91"/>
      <c r="H461" s="91"/>
      <c r="I461" s="88"/>
      <c r="J461" s="91"/>
      <c r="K461" s="88"/>
      <c r="L461" s="88"/>
      <c r="M461" s="91"/>
      <c r="N461" s="88"/>
      <c r="O461" s="91"/>
      <c r="P461" s="91"/>
      <c r="Q461" s="88"/>
      <c r="R461" s="91"/>
      <c r="S461" s="91"/>
      <c r="T461" s="88"/>
      <c r="U461" s="88"/>
      <c r="V461" s="88"/>
      <c r="Y461" s="91"/>
      <c r="Z461" s="88"/>
    </row>
    <row r="462" spans="6:26" ht="12.5" x14ac:dyDescent="0.25">
      <c r="F462" s="101"/>
      <c r="G462" s="91"/>
      <c r="H462" s="91"/>
      <c r="I462" s="88"/>
      <c r="J462" s="91"/>
      <c r="K462" s="88"/>
      <c r="L462" s="88"/>
      <c r="M462" s="91"/>
      <c r="N462" s="88"/>
      <c r="O462" s="91"/>
      <c r="P462" s="91"/>
      <c r="Q462" s="88"/>
      <c r="R462" s="91"/>
      <c r="S462" s="91"/>
      <c r="T462" s="88"/>
      <c r="U462" s="88"/>
      <c r="V462" s="88"/>
      <c r="Y462" s="91"/>
      <c r="Z462" s="88"/>
    </row>
    <row r="463" spans="6:26" ht="12.5" x14ac:dyDescent="0.25">
      <c r="F463" s="101"/>
      <c r="G463" s="91"/>
      <c r="H463" s="91"/>
      <c r="I463" s="88"/>
      <c r="J463" s="91"/>
      <c r="K463" s="88"/>
      <c r="L463" s="88"/>
      <c r="M463" s="91"/>
      <c r="N463" s="88"/>
      <c r="O463" s="91"/>
      <c r="P463" s="91"/>
      <c r="Q463" s="88"/>
      <c r="R463" s="91"/>
      <c r="S463" s="91"/>
      <c r="T463" s="88"/>
      <c r="U463" s="88"/>
      <c r="V463" s="88"/>
      <c r="Y463" s="91"/>
      <c r="Z463" s="88"/>
    </row>
    <row r="464" spans="6:26" ht="12.5" x14ac:dyDescent="0.25">
      <c r="F464" s="101"/>
      <c r="G464" s="91"/>
      <c r="H464" s="91"/>
      <c r="I464" s="88"/>
      <c r="J464" s="91"/>
      <c r="K464" s="88"/>
      <c r="L464" s="88"/>
      <c r="M464" s="91"/>
      <c r="N464" s="88"/>
      <c r="O464" s="91"/>
      <c r="P464" s="91"/>
      <c r="Q464" s="88"/>
      <c r="R464" s="91"/>
      <c r="S464" s="91"/>
      <c r="T464" s="88"/>
      <c r="U464" s="88"/>
      <c r="V464" s="88"/>
      <c r="Y464" s="91"/>
      <c r="Z464" s="88"/>
    </row>
    <row r="465" spans="6:26" ht="12.5" x14ac:dyDescent="0.25">
      <c r="F465" s="101"/>
      <c r="G465" s="91"/>
      <c r="H465" s="91"/>
      <c r="I465" s="88"/>
      <c r="J465" s="91"/>
      <c r="K465" s="88"/>
      <c r="L465" s="88"/>
      <c r="M465" s="91"/>
      <c r="N465" s="88"/>
      <c r="O465" s="91"/>
      <c r="P465" s="91"/>
      <c r="Q465" s="88"/>
      <c r="R465" s="91"/>
      <c r="S465" s="91"/>
      <c r="T465" s="88"/>
      <c r="U465" s="88"/>
      <c r="V465" s="88"/>
      <c r="Y465" s="91"/>
      <c r="Z465" s="88"/>
    </row>
    <row r="466" spans="6:26" ht="12.5" x14ac:dyDescent="0.25">
      <c r="F466" s="101"/>
      <c r="G466" s="91"/>
      <c r="H466" s="91"/>
      <c r="I466" s="88"/>
      <c r="J466" s="91"/>
      <c r="K466" s="88"/>
      <c r="L466" s="88"/>
      <c r="M466" s="91"/>
      <c r="N466" s="88"/>
      <c r="O466" s="91"/>
      <c r="P466" s="91"/>
      <c r="Q466" s="88"/>
      <c r="R466" s="91"/>
      <c r="S466" s="91"/>
      <c r="T466" s="88"/>
      <c r="U466" s="88"/>
      <c r="V466" s="88"/>
      <c r="Y466" s="91"/>
      <c r="Z466" s="88"/>
    </row>
    <row r="467" spans="6:26" ht="12.5" x14ac:dyDescent="0.25">
      <c r="F467" s="101"/>
      <c r="G467" s="91"/>
      <c r="H467" s="91"/>
      <c r="I467" s="88"/>
      <c r="J467" s="91"/>
      <c r="K467" s="88"/>
      <c r="L467" s="88"/>
      <c r="M467" s="91"/>
      <c r="N467" s="88"/>
      <c r="O467" s="91"/>
      <c r="P467" s="91"/>
      <c r="Q467" s="88"/>
      <c r="R467" s="91"/>
      <c r="S467" s="91"/>
      <c r="T467" s="88"/>
      <c r="U467" s="88"/>
      <c r="V467" s="88"/>
      <c r="Y467" s="91"/>
      <c r="Z467" s="88"/>
    </row>
    <row r="468" spans="6:26" ht="12.5" x14ac:dyDescent="0.25">
      <c r="F468" s="101"/>
      <c r="G468" s="91"/>
      <c r="H468" s="91"/>
      <c r="I468" s="88"/>
      <c r="J468" s="91"/>
      <c r="K468" s="88"/>
      <c r="L468" s="88"/>
      <c r="M468" s="91"/>
      <c r="N468" s="88"/>
      <c r="O468" s="91"/>
      <c r="P468" s="91"/>
      <c r="Q468" s="88"/>
      <c r="R468" s="91"/>
      <c r="S468" s="91"/>
      <c r="T468" s="88"/>
      <c r="U468" s="88"/>
      <c r="V468" s="88"/>
      <c r="Y468" s="91"/>
      <c r="Z468" s="88"/>
    </row>
    <row r="469" spans="6:26" ht="12.5" x14ac:dyDescent="0.25">
      <c r="F469" s="101"/>
      <c r="G469" s="91"/>
      <c r="H469" s="91"/>
      <c r="I469" s="88"/>
      <c r="J469" s="91"/>
      <c r="K469" s="88"/>
      <c r="L469" s="88"/>
      <c r="M469" s="91"/>
      <c r="N469" s="88"/>
      <c r="O469" s="91"/>
      <c r="P469" s="91"/>
      <c r="Q469" s="88"/>
      <c r="R469" s="91"/>
      <c r="S469" s="91"/>
      <c r="T469" s="88"/>
      <c r="U469" s="88"/>
      <c r="V469" s="88"/>
      <c r="Y469" s="91"/>
      <c r="Z469" s="88"/>
    </row>
    <row r="470" spans="6:26" ht="12.5" x14ac:dyDescent="0.25">
      <c r="F470" s="101"/>
      <c r="G470" s="91"/>
      <c r="H470" s="91"/>
      <c r="I470" s="88"/>
      <c r="J470" s="91"/>
      <c r="K470" s="88"/>
      <c r="L470" s="88"/>
      <c r="M470" s="91"/>
      <c r="N470" s="88"/>
      <c r="O470" s="91"/>
      <c r="P470" s="91"/>
      <c r="Q470" s="88"/>
      <c r="R470" s="91"/>
      <c r="S470" s="91"/>
      <c r="T470" s="88"/>
      <c r="U470" s="88"/>
      <c r="V470" s="88"/>
      <c r="Y470" s="91"/>
      <c r="Z470" s="88"/>
    </row>
    <row r="471" spans="6:26" ht="12.5" x14ac:dyDescent="0.25">
      <c r="F471" s="101"/>
      <c r="G471" s="91"/>
      <c r="H471" s="91"/>
      <c r="I471" s="88"/>
      <c r="J471" s="91"/>
      <c r="K471" s="88"/>
      <c r="L471" s="88"/>
      <c r="M471" s="91"/>
      <c r="N471" s="88"/>
      <c r="O471" s="91"/>
      <c r="P471" s="91"/>
      <c r="Q471" s="88"/>
      <c r="R471" s="91"/>
      <c r="S471" s="91"/>
      <c r="T471" s="88"/>
      <c r="U471" s="88"/>
      <c r="V471" s="88"/>
      <c r="Y471" s="91"/>
      <c r="Z471" s="88"/>
    </row>
    <row r="472" spans="6:26" ht="12.5" x14ac:dyDescent="0.25">
      <c r="F472" s="101"/>
      <c r="G472" s="91"/>
      <c r="H472" s="91"/>
      <c r="I472" s="88"/>
      <c r="J472" s="91"/>
      <c r="K472" s="88"/>
      <c r="L472" s="88"/>
      <c r="M472" s="91"/>
      <c r="N472" s="88"/>
      <c r="O472" s="91"/>
      <c r="P472" s="91"/>
      <c r="Q472" s="88"/>
      <c r="R472" s="91"/>
      <c r="S472" s="91"/>
      <c r="T472" s="88"/>
      <c r="U472" s="88"/>
      <c r="V472" s="88"/>
      <c r="Y472" s="91"/>
      <c r="Z472" s="88"/>
    </row>
    <row r="473" spans="6:26" ht="12.5" x14ac:dyDescent="0.25">
      <c r="F473" s="101"/>
      <c r="G473" s="91"/>
      <c r="H473" s="91"/>
      <c r="I473" s="88"/>
      <c r="J473" s="91"/>
      <c r="K473" s="88"/>
      <c r="L473" s="88"/>
      <c r="M473" s="91"/>
      <c r="N473" s="88"/>
      <c r="O473" s="91"/>
      <c r="P473" s="91"/>
      <c r="Q473" s="88"/>
      <c r="R473" s="91"/>
      <c r="S473" s="91"/>
      <c r="T473" s="88"/>
      <c r="U473" s="88"/>
      <c r="V473" s="88"/>
      <c r="Y473" s="91"/>
      <c r="Z473" s="88"/>
    </row>
    <row r="474" spans="6:26" ht="12.5" x14ac:dyDescent="0.25">
      <c r="F474" s="101"/>
      <c r="G474" s="91"/>
      <c r="H474" s="91"/>
      <c r="I474" s="88"/>
      <c r="J474" s="91"/>
      <c r="K474" s="88"/>
      <c r="L474" s="88"/>
      <c r="M474" s="91"/>
      <c r="N474" s="88"/>
      <c r="O474" s="91"/>
      <c r="P474" s="91"/>
      <c r="Q474" s="88"/>
      <c r="R474" s="91"/>
      <c r="S474" s="91"/>
      <c r="T474" s="88"/>
      <c r="U474" s="88"/>
      <c r="V474" s="88"/>
      <c r="Y474" s="91"/>
      <c r="Z474" s="88"/>
    </row>
    <row r="475" spans="6:26" ht="12.5" x14ac:dyDescent="0.25">
      <c r="F475" s="101"/>
      <c r="G475" s="91"/>
      <c r="H475" s="91"/>
      <c r="I475" s="88"/>
      <c r="J475" s="91"/>
      <c r="K475" s="88"/>
      <c r="L475" s="88"/>
      <c r="M475" s="91"/>
      <c r="N475" s="88"/>
      <c r="O475" s="91"/>
      <c r="P475" s="91"/>
      <c r="Q475" s="88"/>
      <c r="R475" s="91"/>
      <c r="S475" s="91"/>
      <c r="T475" s="88"/>
      <c r="U475" s="88"/>
      <c r="V475" s="88"/>
      <c r="Y475" s="91"/>
      <c r="Z475" s="88"/>
    </row>
    <row r="476" spans="6:26" ht="12.5" x14ac:dyDescent="0.25">
      <c r="F476" s="101"/>
      <c r="G476" s="91"/>
      <c r="H476" s="91"/>
      <c r="I476" s="88"/>
      <c r="J476" s="91"/>
      <c r="K476" s="88"/>
      <c r="L476" s="88"/>
      <c r="M476" s="91"/>
      <c r="N476" s="88"/>
      <c r="O476" s="91"/>
      <c r="P476" s="91"/>
      <c r="Q476" s="88"/>
      <c r="R476" s="91"/>
      <c r="S476" s="91"/>
      <c r="T476" s="88"/>
      <c r="U476" s="88"/>
      <c r="V476" s="88"/>
      <c r="Y476" s="91"/>
      <c r="Z476" s="88"/>
    </row>
    <row r="477" spans="6:26" ht="12.5" x14ac:dyDescent="0.25">
      <c r="F477" s="101"/>
      <c r="G477" s="91"/>
      <c r="H477" s="91"/>
      <c r="I477" s="88"/>
      <c r="J477" s="91"/>
      <c r="K477" s="88"/>
      <c r="L477" s="88"/>
      <c r="M477" s="91"/>
      <c r="N477" s="88"/>
      <c r="O477" s="91"/>
      <c r="P477" s="91"/>
      <c r="Q477" s="88"/>
      <c r="R477" s="91"/>
      <c r="S477" s="91"/>
      <c r="T477" s="88"/>
      <c r="U477" s="88"/>
      <c r="V477" s="88"/>
      <c r="Y477" s="91"/>
      <c r="Z477" s="88"/>
    </row>
    <row r="478" spans="6:26" ht="12.5" x14ac:dyDescent="0.25">
      <c r="F478" s="101"/>
      <c r="G478" s="91"/>
      <c r="H478" s="91"/>
      <c r="I478" s="88"/>
      <c r="J478" s="91"/>
      <c r="K478" s="88"/>
      <c r="L478" s="88"/>
      <c r="M478" s="91"/>
      <c r="N478" s="88"/>
      <c r="O478" s="91"/>
      <c r="P478" s="91"/>
      <c r="Q478" s="88"/>
      <c r="R478" s="91"/>
      <c r="S478" s="91"/>
      <c r="T478" s="88"/>
      <c r="U478" s="88"/>
      <c r="V478" s="88"/>
      <c r="Y478" s="91"/>
      <c r="Z478" s="88"/>
    </row>
    <row r="479" spans="6:26" ht="12.5" x14ac:dyDescent="0.25">
      <c r="F479" s="101"/>
      <c r="G479" s="91"/>
      <c r="H479" s="91"/>
      <c r="I479" s="88"/>
      <c r="J479" s="91"/>
      <c r="K479" s="88"/>
      <c r="L479" s="88"/>
      <c r="M479" s="91"/>
      <c r="N479" s="88"/>
      <c r="O479" s="91"/>
      <c r="P479" s="91"/>
      <c r="Q479" s="88"/>
      <c r="R479" s="91"/>
      <c r="S479" s="91"/>
      <c r="T479" s="88"/>
      <c r="U479" s="88"/>
      <c r="V479" s="88"/>
      <c r="Y479" s="91"/>
      <c r="Z479" s="88"/>
    </row>
    <row r="480" spans="6:26" ht="12.5" x14ac:dyDescent="0.25">
      <c r="F480" s="101"/>
      <c r="G480" s="91"/>
      <c r="H480" s="91"/>
      <c r="I480" s="88"/>
      <c r="J480" s="91"/>
      <c r="K480" s="88"/>
      <c r="L480" s="88"/>
      <c r="M480" s="91"/>
      <c r="N480" s="88"/>
      <c r="O480" s="91"/>
      <c r="P480" s="91"/>
      <c r="Q480" s="88"/>
      <c r="R480" s="91"/>
      <c r="S480" s="91"/>
      <c r="T480" s="88"/>
      <c r="U480" s="88"/>
      <c r="V480" s="88"/>
      <c r="Y480" s="91"/>
      <c r="Z480" s="88"/>
    </row>
    <row r="481" spans="6:26" ht="12.5" x14ac:dyDescent="0.25">
      <c r="F481" s="101"/>
      <c r="G481" s="91"/>
      <c r="H481" s="91"/>
      <c r="I481" s="88"/>
      <c r="J481" s="91"/>
      <c r="K481" s="88"/>
      <c r="L481" s="88"/>
      <c r="M481" s="91"/>
      <c r="N481" s="88"/>
      <c r="O481" s="91"/>
      <c r="P481" s="91"/>
      <c r="Q481" s="88"/>
      <c r="R481" s="91"/>
      <c r="S481" s="91"/>
      <c r="T481" s="88"/>
      <c r="U481" s="88"/>
      <c r="V481" s="88"/>
      <c r="Y481" s="91"/>
      <c r="Z481" s="88"/>
    </row>
    <row r="482" spans="6:26" ht="12.5" x14ac:dyDescent="0.25">
      <c r="F482" s="101"/>
      <c r="G482" s="91"/>
      <c r="H482" s="91"/>
      <c r="I482" s="88"/>
      <c r="J482" s="91"/>
      <c r="K482" s="88"/>
      <c r="L482" s="88"/>
      <c r="M482" s="91"/>
      <c r="N482" s="88"/>
      <c r="O482" s="91"/>
      <c r="P482" s="91"/>
      <c r="Q482" s="88"/>
      <c r="R482" s="91"/>
      <c r="S482" s="91"/>
      <c r="T482" s="88"/>
      <c r="U482" s="88"/>
      <c r="V482" s="88"/>
      <c r="Y482" s="91"/>
      <c r="Z482" s="88"/>
    </row>
    <row r="483" spans="6:26" ht="12.5" x14ac:dyDescent="0.25">
      <c r="F483" s="101"/>
      <c r="G483" s="91"/>
      <c r="H483" s="91"/>
      <c r="I483" s="88"/>
      <c r="J483" s="91"/>
      <c r="K483" s="88"/>
      <c r="L483" s="88"/>
      <c r="M483" s="91"/>
      <c r="N483" s="88"/>
      <c r="O483" s="91"/>
      <c r="P483" s="91"/>
      <c r="Q483" s="88"/>
      <c r="R483" s="91"/>
      <c r="S483" s="91"/>
      <c r="T483" s="88"/>
      <c r="U483" s="88"/>
      <c r="V483" s="88"/>
      <c r="Y483" s="91"/>
      <c r="Z483" s="88"/>
    </row>
    <row r="484" spans="6:26" ht="12.5" x14ac:dyDescent="0.25">
      <c r="F484" s="101"/>
      <c r="G484" s="91"/>
      <c r="H484" s="91"/>
      <c r="I484" s="88"/>
      <c r="J484" s="91"/>
      <c r="K484" s="88"/>
      <c r="L484" s="88"/>
      <c r="M484" s="91"/>
      <c r="N484" s="88"/>
      <c r="O484" s="91"/>
      <c r="P484" s="91"/>
      <c r="Q484" s="88"/>
      <c r="R484" s="91"/>
      <c r="S484" s="91"/>
      <c r="T484" s="88"/>
      <c r="U484" s="88"/>
      <c r="V484" s="88"/>
      <c r="Y484" s="91"/>
      <c r="Z484" s="88"/>
    </row>
    <row r="485" spans="6:26" ht="12.5" x14ac:dyDescent="0.25">
      <c r="F485" s="101"/>
      <c r="G485" s="91"/>
      <c r="H485" s="91"/>
      <c r="I485" s="88"/>
      <c r="J485" s="91"/>
      <c r="K485" s="88"/>
      <c r="L485" s="88"/>
      <c r="M485" s="91"/>
      <c r="N485" s="88"/>
      <c r="O485" s="91"/>
      <c r="P485" s="91"/>
      <c r="Q485" s="88"/>
      <c r="R485" s="91"/>
      <c r="S485" s="91"/>
      <c r="T485" s="88"/>
      <c r="U485" s="88"/>
      <c r="V485" s="88"/>
      <c r="Y485" s="91"/>
      <c r="Z485" s="88"/>
    </row>
    <row r="486" spans="6:26" ht="12.5" x14ac:dyDescent="0.25">
      <c r="F486" s="101"/>
      <c r="G486" s="91"/>
      <c r="H486" s="91"/>
      <c r="I486" s="88"/>
      <c r="J486" s="91"/>
      <c r="K486" s="88"/>
      <c r="L486" s="88"/>
      <c r="M486" s="91"/>
      <c r="N486" s="88"/>
      <c r="O486" s="91"/>
      <c r="P486" s="91"/>
      <c r="Q486" s="88"/>
      <c r="R486" s="91"/>
      <c r="S486" s="91"/>
      <c r="T486" s="88"/>
      <c r="U486" s="88"/>
      <c r="V486" s="88"/>
      <c r="Y486" s="91"/>
      <c r="Z486" s="88"/>
    </row>
    <row r="487" spans="6:26" ht="12.5" x14ac:dyDescent="0.25">
      <c r="F487" s="101"/>
      <c r="G487" s="91"/>
      <c r="H487" s="91"/>
      <c r="I487" s="88"/>
      <c r="J487" s="91"/>
      <c r="K487" s="88"/>
      <c r="L487" s="88"/>
      <c r="M487" s="91"/>
      <c r="N487" s="88"/>
      <c r="O487" s="91"/>
      <c r="P487" s="91"/>
      <c r="Q487" s="88"/>
      <c r="R487" s="91"/>
      <c r="S487" s="91"/>
      <c r="T487" s="88"/>
      <c r="U487" s="88"/>
      <c r="V487" s="88"/>
      <c r="Y487" s="91"/>
      <c r="Z487" s="88"/>
    </row>
    <row r="488" spans="6:26" ht="12.5" x14ac:dyDescent="0.25">
      <c r="F488" s="101"/>
      <c r="G488" s="91"/>
      <c r="H488" s="91"/>
      <c r="I488" s="88"/>
      <c r="J488" s="91"/>
      <c r="K488" s="88"/>
      <c r="L488" s="88"/>
      <c r="M488" s="91"/>
      <c r="N488" s="88"/>
      <c r="O488" s="91"/>
      <c r="P488" s="91"/>
      <c r="Q488" s="88"/>
      <c r="R488" s="91"/>
      <c r="S488" s="91"/>
      <c r="T488" s="88"/>
      <c r="U488" s="88"/>
      <c r="V488" s="88"/>
      <c r="Y488" s="91"/>
      <c r="Z488" s="88"/>
    </row>
    <row r="489" spans="6:26" ht="12.5" x14ac:dyDescent="0.25">
      <c r="F489" s="101"/>
      <c r="G489" s="91"/>
      <c r="H489" s="91"/>
      <c r="I489" s="88"/>
      <c r="J489" s="91"/>
      <c r="K489" s="88"/>
      <c r="L489" s="88"/>
      <c r="M489" s="91"/>
      <c r="N489" s="88"/>
      <c r="O489" s="91"/>
      <c r="P489" s="91"/>
      <c r="Q489" s="88"/>
      <c r="R489" s="91"/>
      <c r="S489" s="91"/>
      <c r="T489" s="88"/>
      <c r="U489" s="88"/>
      <c r="V489" s="88"/>
      <c r="Y489" s="91"/>
      <c r="Z489" s="88"/>
    </row>
    <row r="490" spans="6:26" ht="12.5" x14ac:dyDescent="0.25">
      <c r="F490" s="101"/>
      <c r="G490" s="91"/>
      <c r="H490" s="91"/>
      <c r="I490" s="88"/>
      <c r="J490" s="91"/>
      <c r="K490" s="88"/>
      <c r="L490" s="88"/>
      <c r="M490" s="91"/>
      <c r="N490" s="88"/>
      <c r="O490" s="91"/>
      <c r="P490" s="91"/>
      <c r="Q490" s="88"/>
      <c r="R490" s="91"/>
      <c r="S490" s="91"/>
      <c r="T490" s="88"/>
      <c r="U490" s="88"/>
      <c r="V490" s="88"/>
      <c r="Y490" s="91"/>
      <c r="Z490" s="88"/>
    </row>
    <row r="491" spans="6:26" ht="12.5" x14ac:dyDescent="0.25">
      <c r="F491" s="101"/>
      <c r="G491" s="91"/>
      <c r="H491" s="91"/>
      <c r="I491" s="88"/>
      <c r="J491" s="91"/>
      <c r="K491" s="88"/>
      <c r="L491" s="88"/>
      <c r="M491" s="91"/>
      <c r="N491" s="88"/>
      <c r="O491" s="91"/>
      <c r="P491" s="91"/>
      <c r="Q491" s="88"/>
      <c r="R491" s="91"/>
      <c r="S491" s="91"/>
      <c r="T491" s="88"/>
      <c r="U491" s="88"/>
      <c r="V491" s="88"/>
      <c r="Y491" s="91"/>
      <c r="Z491" s="88"/>
    </row>
    <row r="492" spans="6:26" ht="12.5" x14ac:dyDescent="0.25">
      <c r="F492" s="101"/>
      <c r="G492" s="91"/>
      <c r="H492" s="91"/>
      <c r="I492" s="88"/>
      <c r="J492" s="91"/>
      <c r="K492" s="88"/>
      <c r="L492" s="88"/>
      <c r="M492" s="91"/>
      <c r="N492" s="88"/>
      <c r="O492" s="91"/>
      <c r="P492" s="91"/>
      <c r="Q492" s="88"/>
      <c r="R492" s="91"/>
      <c r="S492" s="91"/>
      <c r="T492" s="88"/>
      <c r="U492" s="88"/>
      <c r="V492" s="88"/>
      <c r="Y492" s="91"/>
      <c r="Z492" s="88"/>
    </row>
    <row r="493" spans="6:26" ht="12.5" x14ac:dyDescent="0.25">
      <c r="F493" s="101"/>
      <c r="G493" s="91"/>
      <c r="H493" s="91"/>
      <c r="I493" s="88"/>
      <c r="J493" s="91"/>
      <c r="K493" s="88"/>
      <c r="L493" s="88"/>
      <c r="M493" s="91"/>
      <c r="N493" s="88"/>
      <c r="O493" s="91"/>
      <c r="P493" s="91"/>
      <c r="Q493" s="88"/>
      <c r="R493" s="91"/>
      <c r="S493" s="91"/>
      <c r="T493" s="88"/>
      <c r="U493" s="88"/>
      <c r="V493" s="88"/>
      <c r="Y493" s="91"/>
      <c r="Z493" s="88"/>
    </row>
    <row r="494" spans="6:26" ht="12.5" x14ac:dyDescent="0.25">
      <c r="F494" s="101"/>
      <c r="G494" s="91"/>
      <c r="H494" s="91"/>
      <c r="I494" s="88"/>
      <c r="J494" s="91"/>
      <c r="K494" s="88"/>
      <c r="L494" s="88"/>
      <c r="M494" s="91"/>
      <c r="N494" s="88"/>
      <c r="O494" s="91"/>
      <c r="P494" s="91"/>
      <c r="Q494" s="88"/>
      <c r="R494" s="91"/>
      <c r="S494" s="91"/>
      <c r="T494" s="88"/>
      <c r="U494" s="88"/>
      <c r="V494" s="88"/>
      <c r="Y494" s="91"/>
      <c r="Z494" s="88"/>
    </row>
    <row r="495" spans="6:26" ht="12.5" x14ac:dyDescent="0.25">
      <c r="F495" s="101"/>
      <c r="G495" s="91"/>
      <c r="H495" s="91"/>
      <c r="I495" s="88"/>
      <c r="J495" s="91"/>
      <c r="K495" s="88"/>
      <c r="L495" s="88"/>
      <c r="M495" s="91"/>
      <c r="N495" s="88"/>
      <c r="O495" s="91"/>
      <c r="P495" s="91"/>
      <c r="Q495" s="88"/>
      <c r="R495" s="91"/>
      <c r="S495" s="91"/>
      <c r="T495" s="88"/>
      <c r="U495" s="88"/>
      <c r="V495" s="88"/>
      <c r="Y495" s="91"/>
      <c r="Z495" s="88"/>
    </row>
    <row r="496" spans="6:26" ht="12.5" x14ac:dyDescent="0.25">
      <c r="F496" s="101"/>
      <c r="G496" s="91"/>
      <c r="H496" s="91"/>
      <c r="I496" s="88"/>
      <c r="J496" s="91"/>
      <c r="K496" s="88"/>
      <c r="L496" s="88"/>
      <c r="M496" s="91"/>
      <c r="N496" s="88"/>
      <c r="O496" s="91"/>
      <c r="P496" s="91"/>
      <c r="Q496" s="88"/>
      <c r="R496" s="91"/>
      <c r="S496" s="91"/>
      <c r="T496" s="88"/>
      <c r="U496" s="88"/>
      <c r="V496" s="88"/>
      <c r="Y496" s="91"/>
      <c r="Z496" s="88"/>
    </row>
    <row r="497" spans="6:26" ht="12.5" x14ac:dyDescent="0.25">
      <c r="F497" s="101"/>
      <c r="G497" s="91"/>
      <c r="H497" s="91"/>
      <c r="I497" s="88"/>
      <c r="J497" s="91"/>
      <c r="K497" s="88"/>
      <c r="L497" s="88"/>
      <c r="M497" s="91"/>
      <c r="N497" s="88"/>
      <c r="O497" s="91"/>
      <c r="P497" s="91"/>
      <c r="Q497" s="88"/>
      <c r="R497" s="91"/>
      <c r="S497" s="91"/>
      <c r="T497" s="88"/>
      <c r="U497" s="88"/>
      <c r="V497" s="88"/>
      <c r="Y497" s="91"/>
      <c r="Z497" s="88"/>
    </row>
    <row r="498" spans="6:26" ht="12.5" x14ac:dyDescent="0.25">
      <c r="F498" s="101"/>
      <c r="G498" s="91"/>
      <c r="H498" s="91"/>
      <c r="I498" s="88"/>
      <c r="J498" s="91"/>
      <c r="K498" s="88"/>
      <c r="L498" s="88"/>
      <c r="M498" s="91"/>
      <c r="N498" s="88"/>
      <c r="O498" s="91"/>
      <c r="P498" s="91"/>
      <c r="Q498" s="88"/>
      <c r="R498" s="91"/>
      <c r="S498" s="91"/>
      <c r="T498" s="88"/>
      <c r="U498" s="88"/>
      <c r="V498" s="88"/>
      <c r="Y498" s="91"/>
      <c r="Z498" s="88"/>
    </row>
    <row r="499" spans="6:26" ht="12.5" x14ac:dyDescent="0.25">
      <c r="F499" s="101"/>
      <c r="G499" s="91"/>
      <c r="H499" s="91"/>
      <c r="I499" s="88"/>
      <c r="J499" s="91"/>
      <c r="K499" s="88"/>
      <c r="L499" s="88"/>
      <c r="M499" s="91"/>
      <c r="N499" s="88"/>
      <c r="O499" s="91"/>
      <c r="P499" s="91"/>
      <c r="Q499" s="88"/>
      <c r="R499" s="91"/>
      <c r="S499" s="91"/>
      <c r="T499" s="88"/>
      <c r="U499" s="88"/>
      <c r="V499" s="88"/>
      <c r="Y499" s="91"/>
      <c r="Z499" s="88"/>
    </row>
    <row r="500" spans="6:26" ht="12.5" x14ac:dyDescent="0.25">
      <c r="F500" s="101"/>
      <c r="G500" s="91"/>
      <c r="H500" s="91"/>
      <c r="I500" s="88"/>
      <c r="J500" s="91"/>
      <c r="K500" s="88"/>
      <c r="L500" s="88"/>
      <c r="M500" s="91"/>
      <c r="N500" s="88"/>
      <c r="O500" s="91"/>
      <c r="P500" s="91"/>
      <c r="Q500" s="88"/>
      <c r="R500" s="91"/>
      <c r="S500" s="91"/>
      <c r="T500" s="88"/>
      <c r="U500" s="88"/>
      <c r="V500" s="88"/>
      <c r="Y500" s="91"/>
      <c r="Z500" s="88"/>
    </row>
    <row r="501" spans="6:26" ht="12.5" x14ac:dyDescent="0.25">
      <c r="F501" s="101"/>
      <c r="G501" s="91"/>
      <c r="H501" s="91"/>
      <c r="I501" s="88"/>
      <c r="J501" s="91"/>
      <c r="K501" s="88"/>
      <c r="L501" s="88"/>
      <c r="M501" s="91"/>
      <c r="N501" s="88"/>
      <c r="O501" s="91"/>
      <c r="P501" s="91"/>
      <c r="Q501" s="88"/>
      <c r="R501" s="91"/>
      <c r="S501" s="91"/>
      <c r="T501" s="88"/>
      <c r="U501" s="88"/>
      <c r="V501" s="88"/>
      <c r="Y501" s="91"/>
      <c r="Z501" s="88"/>
    </row>
    <row r="502" spans="6:26" ht="12.5" x14ac:dyDescent="0.25">
      <c r="F502" s="101"/>
      <c r="G502" s="91"/>
      <c r="H502" s="91"/>
      <c r="I502" s="88"/>
      <c r="J502" s="91"/>
      <c r="K502" s="88"/>
      <c r="L502" s="88"/>
      <c r="M502" s="91"/>
      <c r="N502" s="88"/>
      <c r="O502" s="91"/>
      <c r="P502" s="91"/>
      <c r="Q502" s="88"/>
      <c r="R502" s="91"/>
      <c r="S502" s="91"/>
      <c r="T502" s="88"/>
      <c r="U502" s="88"/>
      <c r="V502" s="88"/>
      <c r="Y502" s="91"/>
      <c r="Z502" s="88"/>
    </row>
    <row r="503" spans="6:26" ht="12.5" x14ac:dyDescent="0.25">
      <c r="F503" s="101"/>
      <c r="G503" s="91"/>
      <c r="H503" s="91"/>
      <c r="I503" s="88"/>
      <c r="J503" s="91"/>
      <c r="K503" s="88"/>
      <c r="L503" s="88"/>
      <c r="M503" s="91"/>
      <c r="N503" s="88"/>
      <c r="O503" s="91"/>
      <c r="P503" s="91"/>
      <c r="Q503" s="88"/>
      <c r="R503" s="91"/>
      <c r="S503" s="91"/>
      <c r="T503" s="88"/>
      <c r="U503" s="88"/>
      <c r="V503" s="88"/>
      <c r="Y503" s="91"/>
      <c r="Z503" s="88"/>
    </row>
    <row r="504" spans="6:26" ht="12.5" x14ac:dyDescent="0.25">
      <c r="F504" s="101"/>
      <c r="G504" s="91"/>
      <c r="H504" s="91"/>
      <c r="I504" s="88"/>
      <c r="J504" s="91"/>
      <c r="K504" s="88"/>
      <c r="L504" s="88"/>
      <c r="M504" s="91"/>
      <c r="N504" s="88"/>
      <c r="O504" s="91"/>
      <c r="P504" s="91"/>
      <c r="Q504" s="88"/>
      <c r="R504" s="91"/>
      <c r="S504" s="91"/>
      <c r="T504" s="88"/>
      <c r="U504" s="88"/>
      <c r="V504" s="88"/>
      <c r="Y504" s="91"/>
      <c r="Z504" s="88"/>
    </row>
    <row r="505" spans="6:26" ht="12.5" x14ac:dyDescent="0.25">
      <c r="F505" s="88"/>
      <c r="G505" s="91"/>
      <c r="H505" s="91"/>
      <c r="I505" s="88"/>
      <c r="J505" s="91"/>
      <c r="K505" s="88"/>
      <c r="L505" s="88"/>
      <c r="M505" s="91"/>
      <c r="N505" s="88"/>
      <c r="O505" s="91"/>
      <c r="P505" s="91"/>
      <c r="Q505" s="88"/>
      <c r="R505" s="91"/>
      <c r="S505" s="91"/>
      <c r="T505" s="88"/>
      <c r="U505" s="88"/>
      <c r="V505" s="88"/>
      <c r="Y505" s="91"/>
      <c r="Z505" s="88"/>
    </row>
    <row r="506" spans="6:26" ht="12.5" x14ac:dyDescent="0.25">
      <c r="F506" s="88"/>
      <c r="G506" s="91"/>
      <c r="H506" s="91"/>
      <c r="I506" s="88"/>
      <c r="J506" s="91"/>
      <c r="K506" s="88"/>
      <c r="L506" s="88"/>
      <c r="M506" s="91"/>
      <c r="N506" s="88"/>
      <c r="O506" s="91"/>
      <c r="P506" s="91"/>
      <c r="Q506" s="88"/>
      <c r="R506" s="91"/>
      <c r="S506" s="91"/>
      <c r="T506" s="88"/>
      <c r="U506" s="88"/>
      <c r="V506" s="88"/>
      <c r="Y506" s="91"/>
      <c r="Z506" s="88"/>
    </row>
    <row r="507" spans="6:26" ht="12.5" x14ac:dyDescent="0.25">
      <c r="F507" s="88"/>
      <c r="G507" s="91"/>
      <c r="H507" s="91"/>
      <c r="I507" s="88"/>
      <c r="J507" s="91"/>
      <c r="K507" s="88"/>
      <c r="L507" s="88"/>
      <c r="M507" s="91"/>
      <c r="N507" s="88"/>
      <c r="O507" s="91"/>
      <c r="P507" s="91"/>
      <c r="Q507" s="88"/>
      <c r="R507" s="91"/>
      <c r="S507" s="91"/>
      <c r="T507" s="88"/>
      <c r="U507" s="88"/>
      <c r="V507" s="88"/>
      <c r="Y507" s="91"/>
      <c r="Z507" s="88"/>
    </row>
    <row r="508" spans="6:26" ht="12.5" x14ac:dyDescent="0.25">
      <c r="F508" s="88"/>
      <c r="G508" s="91"/>
      <c r="H508" s="91"/>
      <c r="I508" s="88"/>
      <c r="J508" s="91"/>
      <c r="K508" s="88"/>
      <c r="L508" s="88"/>
      <c r="M508" s="91"/>
      <c r="N508" s="88"/>
      <c r="O508" s="91"/>
      <c r="P508" s="91"/>
      <c r="Q508" s="88"/>
      <c r="R508" s="91"/>
      <c r="S508" s="91"/>
      <c r="T508" s="88"/>
      <c r="U508" s="88"/>
      <c r="V508" s="88"/>
      <c r="Y508" s="91"/>
      <c r="Z508" s="88"/>
    </row>
    <row r="509" spans="6:26" ht="12.5" x14ac:dyDescent="0.25">
      <c r="F509" s="88"/>
      <c r="G509" s="91"/>
      <c r="H509" s="91"/>
      <c r="I509" s="88"/>
      <c r="J509" s="91"/>
      <c r="K509" s="88"/>
      <c r="L509" s="88"/>
      <c r="M509" s="91"/>
      <c r="N509" s="88"/>
      <c r="O509" s="91"/>
      <c r="P509" s="91"/>
      <c r="Q509" s="88"/>
      <c r="R509" s="91"/>
      <c r="S509" s="91"/>
      <c r="T509" s="88"/>
      <c r="U509" s="88"/>
      <c r="V509" s="88"/>
      <c r="Y509" s="91"/>
      <c r="Z509" s="88"/>
    </row>
    <row r="510" spans="6:26" ht="12.5" x14ac:dyDescent="0.25">
      <c r="F510" s="88"/>
      <c r="G510" s="91"/>
      <c r="H510" s="91"/>
      <c r="I510" s="88"/>
      <c r="J510" s="91"/>
      <c r="K510" s="88"/>
      <c r="L510" s="88"/>
      <c r="M510" s="91"/>
      <c r="N510" s="88"/>
      <c r="O510" s="91"/>
      <c r="P510" s="91"/>
      <c r="Q510" s="88"/>
      <c r="R510" s="91"/>
      <c r="S510" s="91"/>
      <c r="T510" s="88"/>
      <c r="U510" s="88"/>
      <c r="V510" s="88"/>
      <c r="Y510" s="91"/>
      <c r="Z510" s="88"/>
    </row>
    <row r="511" spans="6:26" ht="12.5" x14ac:dyDescent="0.25">
      <c r="F511" s="88"/>
      <c r="G511" s="91"/>
      <c r="H511" s="91"/>
      <c r="I511" s="88"/>
      <c r="J511" s="91"/>
      <c r="K511" s="88"/>
      <c r="L511" s="88"/>
      <c r="M511" s="91"/>
      <c r="N511" s="88"/>
      <c r="O511" s="91"/>
      <c r="P511" s="91"/>
      <c r="Q511" s="88"/>
      <c r="R511" s="91"/>
      <c r="S511" s="91"/>
      <c r="T511" s="88"/>
      <c r="U511" s="88"/>
      <c r="V511" s="88"/>
      <c r="Y511" s="91"/>
      <c r="Z511" s="88"/>
    </row>
    <row r="512" spans="6:26" ht="12.5" x14ac:dyDescent="0.25">
      <c r="F512" s="88"/>
      <c r="G512" s="91"/>
      <c r="H512" s="91"/>
      <c r="I512" s="88"/>
      <c r="J512" s="91"/>
      <c r="K512" s="88"/>
      <c r="L512" s="88"/>
      <c r="M512" s="91"/>
      <c r="N512" s="88"/>
      <c r="O512" s="91"/>
      <c r="P512" s="91"/>
      <c r="Q512" s="88"/>
      <c r="R512" s="91"/>
      <c r="S512" s="91"/>
      <c r="T512" s="88"/>
      <c r="U512" s="88"/>
      <c r="V512" s="88"/>
      <c r="Y512" s="91"/>
      <c r="Z512" s="88"/>
    </row>
    <row r="513" spans="6:26" ht="12.5" x14ac:dyDescent="0.25">
      <c r="F513" s="88"/>
      <c r="G513" s="91"/>
      <c r="H513" s="91"/>
      <c r="I513" s="88"/>
      <c r="J513" s="91"/>
      <c r="K513" s="88"/>
      <c r="L513" s="88"/>
      <c r="M513" s="91"/>
      <c r="N513" s="88"/>
      <c r="O513" s="91"/>
      <c r="P513" s="91"/>
      <c r="Q513" s="88"/>
      <c r="R513" s="91"/>
      <c r="S513" s="91"/>
      <c r="T513" s="88"/>
      <c r="U513" s="88"/>
      <c r="V513" s="88"/>
      <c r="Y513" s="91"/>
      <c r="Z513" s="88"/>
    </row>
    <row r="514" spans="6:26" ht="12.5" x14ac:dyDescent="0.25">
      <c r="F514" s="88"/>
      <c r="G514" s="91"/>
      <c r="H514" s="91"/>
      <c r="I514" s="88"/>
      <c r="J514" s="91"/>
      <c r="K514" s="88"/>
      <c r="L514" s="88"/>
      <c r="M514" s="91"/>
      <c r="N514" s="88"/>
      <c r="O514" s="91"/>
      <c r="P514" s="91"/>
      <c r="Q514" s="88"/>
      <c r="R514" s="91"/>
      <c r="S514" s="91"/>
      <c r="T514" s="88"/>
      <c r="U514" s="88"/>
      <c r="V514" s="88"/>
      <c r="Y514" s="91"/>
      <c r="Z514" s="88"/>
    </row>
    <row r="515" spans="6:26" ht="12.5" x14ac:dyDescent="0.25">
      <c r="F515" s="88"/>
      <c r="G515" s="91"/>
      <c r="H515" s="91"/>
      <c r="I515" s="88"/>
      <c r="J515" s="91"/>
      <c r="K515" s="88"/>
      <c r="L515" s="88"/>
      <c r="M515" s="91"/>
      <c r="N515" s="88"/>
      <c r="O515" s="91"/>
      <c r="P515" s="91"/>
      <c r="Q515" s="88"/>
      <c r="R515" s="91"/>
      <c r="S515" s="91"/>
      <c r="T515" s="88"/>
      <c r="U515" s="88"/>
      <c r="V515" s="88"/>
      <c r="Y515" s="91"/>
      <c r="Z515" s="88"/>
    </row>
    <row r="516" spans="6:26" ht="12.5" x14ac:dyDescent="0.25">
      <c r="F516" s="88"/>
      <c r="G516" s="91"/>
      <c r="H516" s="91"/>
      <c r="I516" s="88"/>
      <c r="J516" s="91"/>
      <c r="K516" s="88"/>
      <c r="L516" s="88"/>
      <c r="M516" s="91"/>
      <c r="N516" s="88"/>
      <c r="O516" s="91"/>
      <c r="P516" s="91"/>
      <c r="Q516" s="88"/>
      <c r="R516" s="91"/>
      <c r="S516" s="91"/>
      <c r="T516" s="88"/>
      <c r="U516" s="88"/>
      <c r="V516" s="88"/>
      <c r="Y516" s="91"/>
      <c r="Z516" s="88"/>
    </row>
    <row r="517" spans="6:26" ht="12.5" x14ac:dyDescent="0.25">
      <c r="F517" s="88"/>
      <c r="G517" s="91"/>
      <c r="H517" s="91"/>
      <c r="I517" s="88"/>
      <c r="J517" s="91"/>
      <c r="K517" s="88"/>
      <c r="L517" s="88"/>
      <c r="M517" s="91"/>
      <c r="N517" s="88"/>
      <c r="O517" s="91"/>
      <c r="P517" s="91"/>
      <c r="Q517" s="88"/>
      <c r="R517" s="91"/>
      <c r="S517" s="91"/>
      <c r="T517" s="88"/>
      <c r="U517" s="88"/>
      <c r="V517" s="88"/>
      <c r="Y517" s="91"/>
      <c r="Z517" s="88"/>
    </row>
    <row r="518" spans="6:26" ht="12.5" x14ac:dyDescent="0.25">
      <c r="F518" s="88"/>
      <c r="G518" s="91"/>
      <c r="H518" s="91"/>
      <c r="I518" s="88"/>
      <c r="J518" s="91"/>
      <c r="K518" s="88"/>
      <c r="L518" s="88"/>
      <c r="M518" s="91"/>
      <c r="N518" s="88"/>
      <c r="O518" s="91"/>
      <c r="P518" s="91"/>
      <c r="Q518" s="88"/>
      <c r="R518" s="91"/>
      <c r="S518" s="91"/>
      <c r="T518" s="88"/>
      <c r="U518" s="88"/>
      <c r="V518" s="88"/>
      <c r="Y518" s="91"/>
      <c r="Z518" s="88"/>
    </row>
    <row r="519" spans="6:26" ht="12.5" x14ac:dyDescent="0.25">
      <c r="F519" s="88"/>
      <c r="G519" s="91"/>
      <c r="H519" s="91"/>
      <c r="I519" s="88"/>
      <c r="J519" s="91"/>
      <c r="K519" s="88"/>
      <c r="L519" s="88"/>
      <c r="M519" s="91"/>
      <c r="N519" s="88"/>
      <c r="O519" s="91"/>
      <c r="P519" s="91"/>
      <c r="Q519" s="88"/>
      <c r="R519" s="91"/>
      <c r="S519" s="91"/>
      <c r="T519" s="88"/>
      <c r="U519" s="88"/>
      <c r="V519" s="88"/>
      <c r="Y519" s="91"/>
      <c r="Z519" s="88"/>
    </row>
    <row r="520" spans="6:26" ht="12.5" x14ac:dyDescent="0.25">
      <c r="F520" s="88"/>
      <c r="G520" s="91"/>
      <c r="H520" s="91"/>
      <c r="I520" s="88"/>
      <c r="J520" s="91"/>
      <c r="K520" s="88"/>
      <c r="L520" s="88"/>
      <c r="M520" s="91"/>
      <c r="N520" s="88"/>
      <c r="O520" s="91"/>
      <c r="P520" s="91"/>
      <c r="Q520" s="88"/>
      <c r="R520" s="91"/>
      <c r="S520" s="91"/>
      <c r="T520" s="88"/>
      <c r="U520" s="88"/>
      <c r="V520" s="88"/>
      <c r="Y520" s="91"/>
      <c r="Z520" s="88"/>
    </row>
    <row r="521" spans="6:26" ht="12.5" x14ac:dyDescent="0.25">
      <c r="F521" s="88"/>
      <c r="G521" s="91"/>
      <c r="H521" s="91"/>
      <c r="I521" s="88"/>
      <c r="J521" s="91"/>
      <c r="K521" s="88"/>
      <c r="L521" s="88"/>
      <c r="M521" s="91"/>
      <c r="N521" s="88"/>
      <c r="O521" s="91"/>
      <c r="P521" s="91"/>
      <c r="Q521" s="88"/>
      <c r="R521" s="91"/>
      <c r="S521" s="91"/>
      <c r="T521" s="88"/>
      <c r="U521" s="88"/>
      <c r="V521" s="88"/>
      <c r="Y521" s="91"/>
      <c r="Z521" s="88"/>
    </row>
    <row r="522" spans="6:26" ht="12.5" x14ac:dyDescent="0.25">
      <c r="F522" s="88"/>
      <c r="G522" s="91"/>
      <c r="H522" s="91"/>
      <c r="I522" s="88"/>
      <c r="J522" s="91"/>
      <c r="K522" s="88"/>
      <c r="L522" s="88"/>
      <c r="M522" s="91"/>
      <c r="N522" s="88"/>
      <c r="O522" s="91"/>
      <c r="P522" s="91"/>
      <c r="Q522" s="88"/>
      <c r="R522" s="91"/>
      <c r="S522" s="91"/>
      <c r="T522" s="88"/>
      <c r="U522" s="88"/>
      <c r="V522" s="88"/>
      <c r="Y522" s="91"/>
      <c r="Z522" s="88"/>
    </row>
    <row r="523" spans="6:26" ht="12.5" x14ac:dyDescent="0.25">
      <c r="F523" s="88"/>
      <c r="G523" s="91"/>
      <c r="H523" s="91"/>
      <c r="I523" s="88"/>
      <c r="J523" s="91"/>
      <c r="K523" s="88"/>
      <c r="L523" s="88"/>
      <c r="M523" s="91"/>
      <c r="N523" s="88"/>
      <c r="O523" s="91"/>
      <c r="P523" s="91"/>
      <c r="Q523" s="88"/>
      <c r="R523" s="91"/>
      <c r="S523" s="91"/>
      <c r="T523" s="88"/>
      <c r="U523" s="88"/>
      <c r="V523" s="88"/>
      <c r="Y523" s="91"/>
      <c r="Z523" s="88"/>
    </row>
    <row r="524" spans="6:26" ht="12.5" x14ac:dyDescent="0.25">
      <c r="F524" s="88"/>
      <c r="G524" s="91"/>
      <c r="H524" s="91"/>
      <c r="I524" s="88"/>
      <c r="J524" s="91"/>
      <c r="K524" s="88"/>
      <c r="L524" s="88"/>
      <c r="M524" s="91"/>
      <c r="N524" s="88"/>
      <c r="O524" s="91"/>
      <c r="P524" s="91"/>
      <c r="Q524" s="88"/>
      <c r="R524" s="91"/>
      <c r="S524" s="91"/>
      <c r="T524" s="88"/>
      <c r="U524" s="88"/>
      <c r="V524" s="88"/>
      <c r="Y524" s="91"/>
      <c r="Z524" s="88"/>
    </row>
    <row r="525" spans="6:26" ht="12.5" x14ac:dyDescent="0.25">
      <c r="F525" s="88"/>
      <c r="G525" s="91"/>
      <c r="H525" s="91"/>
      <c r="I525" s="88"/>
      <c r="J525" s="91"/>
      <c r="K525" s="88"/>
      <c r="L525" s="88"/>
      <c r="M525" s="91"/>
      <c r="N525" s="88"/>
      <c r="O525" s="91"/>
      <c r="P525" s="91"/>
      <c r="Q525" s="88"/>
      <c r="R525" s="91"/>
      <c r="S525" s="91"/>
      <c r="T525" s="88"/>
      <c r="U525" s="88"/>
      <c r="V525" s="88"/>
      <c r="Y525" s="91"/>
      <c r="Z525" s="88"/>
    </row>
    <row r="526" spans="6:26" ht="12.5" x14ac:dyDescent="0.25">
      <c r="F526" s="88"/>
      <c r="G526" s="91"/>
      <c r="H526" s="91"/>
      <c r="I526" s="88"/>
      <c r="J526" s="91"/>
      <c r="K526" s="88"/>
      <c r="L526" s="88"/>
      <c r="M526" s="91"/>
      <c r="N526" s="88"/>
      <c r="O526" s="91"/>
      <c r="P526" s="91"/>
      <c r="Q526" s="88"/>
      <c r="R526" s="91"/>
      <c r="S526" s="91"/>
      <c r="T526" s="88"/>
      <c r="U526" s="88"/>
      <c r="V526" s="88"/>
      <c r="Y526" s="91"/>
      <c r="Z526" s="88"/>
    </row>
    <row r="527" spans="6:26" ht="12.5" x14ac:dyDescent="0.25">
      <c r="F527" s="88"/>
      <c r="G527" s="91"/>
      <c r="H527" s="91"/>
      <c r="I527" s="88"/>
      <c r="J527" s="91"/>
      <c r="K527" s="88"/>
      <c r="L527" s="88"/>
      <c r="M527" s="91"/>
      <c r="N527" s="88"/>
      <c r="O527" s="91"/>
      <c r="P527" s="91"/>
      <c r="Q527" s="88"/>
      <c r="R527" s="91"/>
      <c r="S527" s="91"/>
      <c r="T527" s="88"/>
      <c r="U527" s="88"/>
      <c r="V527" s="88"/>
      <c r="Y527" s="91"/>
      <c r="Z527" s="88"/>
    </row>
    <row r="528" spans="6:26" ht="12.5" x14ac:dyDescent="0.25">
      <c r="F528" s="88"/>
      <c r="G528" s="91"/>
      <c r="H528" s="91"/>
      <c r="I528" s="88"/>
      <c r="J528" s="91"/>
      <c r="K528" s="88"/>
      <c r="L528" s="88"/>
      <c r="M528" s="91"/>
      <c r="N528" s="88"/>
      <c r="O528" s="91"/>
      <c r="P528" s="91"/>
      <c r="Q528" s="88"/>
      <c r="R528" s="91"/>
      <c r="S528" s="91"/>
      <c r="T528" s="88"/>
      <c r="U528" s="88"/>
      <c r="V528" s="88"/>
      <c r="Y528" s="91"/>
      <c r="Z528" s="88"/>
    </row>
    <row r="529" spans="6:26" ht="12.5" x14ac:dyDescent="0.25">
      <c r="F529" s="88"/>
      <c r="G529" s="91"/>
      <c r="H529" s="91"/>
      <c r="I529" s="88"/>
      <c r="J529" s="91"/>
      <c r="K529" s="88"/>
      <c r="L529" s="88"/>
      <c r="M529" s="91"/>
      <c r="N529" s="88"/>
      <c r="O529" s="91"/>
      <c r="P529" s="91"/>
      <c r="Q529" s="88"/>
      <c r="R529" s="91"/>
      <c r="S529" s="91"/>
      <c r="T529" s="88"/>
      <c r="U529" s="88"/>
      <c r="V529" s="88"/>
      <c r="Y529" s="91"/>
      <c r="Z529" s="88"/>
    </row>
    <row r="530" spans="6:26" ht="12.5" x14ac:dyDescent="0.25">
      <c r="F530" s="88"/>
      <c r="G530" s="91"/>
      <c r="H530" s="91"/>
      <c r="I530" s="88"/>
      <c r="J530" s="91"/>
      <c r="K530" s="88"/>
      <c r="L530" s="88"/>
      <c r="M530" s="91"/>
      <c r="N530" s="88"/>
      <c r="O530" s="91"/>
      <c r="P530" s="91"/>
      <c r="Q530" s="88"/>
      <c r="R530" s="91"/>
      <c r="S530" s="91"/>
      <c r="T530" s="88"/>
      <c r="U530" s="88"/>
      <c r="V530" s="88"/>
      <c r="Y530" s="91"/>
      <c r="Z530" s="88"/>
    </row>
    <row r="531" spans="6:26" ht="12.5" x14ac:dyDescent="0.25">
      <c r="F531" s="88"/>
      <c r="G531" s="91"/>
      <c r="H531" s="91"/>
      <c r="I531" s="88"/>
      <c r="J531" s="91"/>
      <c r="K531" s="88"/>
      <c r="L531" s="88"/>
      <c r="M531" s="91"/>
      <c r="N531" s="88"/>
      <c r="O531" s="91"/>
      <c r="P531" s="91"/>
      <c r="Q531" s="88"/>
      <c r="R531" s="91"/>
      <c r="S531" s="91"/>
      <c r="T531" s="88"/>
      <c r="U531" s="88"/>
      <c r="V531" s="88"/>
      <c r="Y531" s="91"/>
      <c r="Z531" s="88"/>
    </row>
    <row r="532" spans="6:26" ht="12.5" x14ac:dyDescent="0.25">
      <c r="F532" s="88"/>
      <c r="G532" s="91"/>
      <c r="H532" s="91"/>
      <c r="I532" s="88"/>
      <c r="J532" s="91"/>
      <c r="K532" s="88"/>
      <c r="L532" s="88"/>
      <c r="M532" s="91"/>
      <c r="N532" s="88"/>
      <c r="O532" s="91"/>
      <c r="P532" s="91"/>
      <c r="Q532" s="88"/>
      <c r="R532" s="91"/>
      <c r="S532" s="91"/>
      <c r="T532" s="88"/>
      <c r="U532" s="88"/>
      <c r="V532" s="88"/>
      <c r="Y532" s="91"/>
      <c r="Z532" s="88"/>
    </row>
    <row r="533" spans="6:26" ht="12.5" x14ac:dyDescent="0.25">
      <c r="F533" s="88"/>
      <c r="G533" s="91"/>
      <c r="H533" s="91"/>
      <c r="I533" s="88"/>
      <c r="J533" s="91"/>
      <c r="K533" s="88"/>
      <c r="L533" s="88"/>
      <c r="M533" s="91"/>
      <c r="N533" s="88"/>
      <c r="O533" s="91"/>
      <c r="P533" s="91"/>
      <c r="Q533" s="88"/>
      <c r="R533" s="91"/>
      <c r="S533" s="91"/>
      <c r="T533" s="88"/>
      <c r="U533" s="88"/>
      <c r="V533" s="88"/>
      <c r="Y533" s="91"/>
      <c r="Z533" s="88"/>
    </row>
    <row r="534" spans="6:26" ht="12.5" x14ac:dyDescent="0.25">
      <c r="F534" s="88"/>
      <c r="G534" s="91"/>
      <c r="H534" s="91"/>
      <c r="I534" s="88"/>
      <c r="J534" s="91"/>
      <c r="K534" s="88"/>
      <c r="L534" s="88"/>
      <c r="M534" s="91"/>
      <c r="N534" s="88"/>
      <c r="O534" s="91"/>
      <c r="P534" s="91"/>
      <c r="Q534" s="88"/>
      <c r="R534" s="91"/>
      <c r="S534" s="91"/>
      <c r="T534" s="88"/>
      <c r="U534" s="88"/>
      <c r="V534" s="88"/>
      <c r="Y534" s="91"/>
      <c r="Z534" s="88"/>
    </row>
    <row r="535" spans="6:26" ht="12.5" x14ac:dyDescent="0.25">
      <c r="F535" s="88"/>
      <c r="G535" s="91"/>
      <c r="H535" s="91"/>
      <c r="I535" s="88"/>
      <c r="J535" s="91"/>
      <c r="K535" s="88"/>
      <c r="L535" s="88"/>
      <c r="M535" s="91"/>
      <c r="N535" s="88"/>
      <c r="O535" s="91"/>
      <c r="P535" s="91"/>
      <c r="Q535" s="88"/>
      <c r="R535" s="91"/>
      <c r="S535" s="91"/>
      <c r="T535" s="88"/>
      <c r="U535" s="88"/>
      <c r="V535" s="88"/>
      <c r="Y535" s="91"/>
      <c r="Z535" s="88"/>
    </row>
    <row r="536" spans="6:26" ht="12.5" x14ac:dyDescent="0.25">
      <c r="F536" s="88"/>
      <c r="G536" s="91"/>
      <c r="H536" s="91"/>
      <c r="I536" s="88"/>
      <c r="J536" s="91"/>
      <c r="K536" s="88"/>
      <c r="L536" s="88"/>
      <c r="M536" s="91"/>
      <c r="N536" s="88"/>
      <c r="O536" s="91"/>
      <c r="P536" s="91"/>
      <c r="Q536" s="88"/>
      <c r="R536" s="91"/>
      <c r="S536" s="91"/>
      <c r="T536" s="88"/>
      <c r="U536" s="88"/>
      <c r="V536" s="88"/>
      <c r="Y536" s="91"/>
      <c r="Z536" s="88"/>
    </row>
    <row r="537" spans="6:26" ht="12.5" x14ac:dyDescent="0.25">
      <c r="F537" s="88"/>
      <c r="G537" s="91"/>
      <c r="H537" s="91"/>
      <c r="I537" s="88"/>
      <c r="J537" s="91"/>
      <c r="K537" s="88"/>
      <c r="L537" s="88"/>
      <c r="M537" s="91"/>
      <c r="N537" s="88"/>
      <c r="O537" s="91"/>
      <c r="P537" s="91"/>
      <c r="Q537" s="88"/>
      <c r="R537" s="91"/>
      <c r="S537" s="91"/>
      <c r="T537" s="88"/>
      <c r="U537" s="88"/>
      <c r="V537" s="88"/>
      <c r="Y537" s="91"/>
      <c r="Z537" s="88"/>
    </row>
    <row r="538" spans="6:26" ht="12.5" x14ac:dyDescent="0.25">
      <c r="F538" s="88"/>
      <c r="G538" s="91"/>
      <c r="H538" s="91"/>
      <c r="I538" s="88"/>
      <c r="J538" s="91"/>
      <c r="K538" s="88"/>
      <c r="L538" s="88"/>
      <c r="M538" s="91"/>
      <c r="N538" s="88"/>
      <c r="O538" s="91"/>
      <c r="P538" s="91"/>
      <c r="Q538" s="88"/>
      <c r="R538" s="91"/>
      <c r="S538" s="91"/>
      <c r="T538" s="88"/>
      <c r="U538" s="88"/>
      <c r="V538" s="88"/>
      <c r="Y538" s="91"/>
      <c r="Z538" s="88"/>
    </row>
    <row r="539" spans="6:26" ht="12.5" x14ac:dyDescent="0.25">
      <c r="F539" s="88"/>
      <c r="G539" s="91"/>
      <c r="H539" s="91"/>
      <c r="I539" s="88"/>
      <c r="J539" s="91"/>
      <c r="K539" s="88"/>
      <c r="L539" s="88"/>
      <c r="M539" s="91"/>
      <c r="N539" s="88"/>
      <c r="O539" s="91"/>
      <c r="P539" s="91"/>
      <c r="Q539" s="88"/>
      <c r="R539" s="91"/>
      <c r="S539" s="91"/>
      <c r="T539" s="88"/>
      <c r="U539" s="88"/>
      <c r="V539" s="88"/>
      <c r="Y539" s="91"/>
      <c r="Z539" s="88"/>
    </row>
    <row r="540" spans="6:26" ht="12.5" x14ac:dyDescent="0.25">
      <c r="F540" s="88"/>
      <c r="G540" s="91"/>
      <c r="H540" s="91"/>
      <c r="I540" s="88"/>
      <c r="J540" s="91"/>
      <c r="K540" s="88"/>
      <c r="L540" s="88"/>
      <c r="M540" s="91"/>
      <c r="N540" s="88"/>
      <c r="O540" s="91"/>
      <c r="P540" s="91"/>
      <c r="Q540" s="88"/>
      <c r="R540" s="91"/>
      <c r="S540" s="91"/>
      <c r="T540" s="88"/>
      <c r="U540" s="88"/>
      <c r="V540" s="88"/>
      <c r="Y540" s="91"/>
      <c r="Z540" s="88"/>
    </row>
    <row r="541" spans="6:26" ht="12.5" x14ac:dyDescent="0.25">
      <c r="F541" s="88"/>
      <c r="G541" s="91"/>
      <c r="H541" s="91"/>
      <c r="I541" s="88"/>
      <c r="J541" s="91"/>
      <c r="K541" s="88"/>
      <c r="L541" s="88"/>
      <c r="M541" s="91"/>
      <c r="N541" s="88"/>
      <c r="O541" s="91"/>
      <c r="P541" s="91"/>
      <c r="Q541" s="88"/>
      <c r="R541" s="91"/>
      <c r="S541" s="91"/>
      <c r="T541" s="88"/>
      <c r="U541" s="88"/>
      <c r="V541" s="88"/>
      <c r="Y541" s="91"/>
      <c r="Z541" s="88"/>
    </row>
    <row r="542" spans="6:26" ht="12.5" x14ac:dyDescent="0.25">
      <c r="F542" s="88"/>
      <c r="G542" s="91"/>
      <c r="H542" s="91"/>
      <c r="I542" s="88"/>
      <c r="J542" s="91"/>
      <c r="K542" s="88"/>
      <c r="L542" s="88"/>
      <c r="M542" s="91"/>
      <c r="N542" s="88"/>
      <c r="O542" s="91"/>
      <c r="P542" s="91"/>
      <c r="Q542" s="88"/>
      <c r="R542" s="91"/>
      <c r="S542" s="91"/>
      <c r="T542" s="88"/>
      <c r="U542" s="88"/>
      <c r="V542" s="88"/>
      <c r="Y542" s="91"/>
      <c r="Z542" s="88"/>
    </row>
    <row r="543" spans="6:26" ht="12.5" x14ac:dyDescent="0.25">
      <c r="F543" s="88"/>
      <c r="G543" s="91"/>
      <c r="H543" s="91"/>
      <c r="I543" s="88"/>
      <c r="J543" s="91"/>
      <c r="K543" s="88"/>
      <c r="L543" s="88"/>
      <c r="M543" s="91"/>
      <c r="N543" s="88"/>
      <c r="O543" s="91"/>
      <c r="P543" s="91"/>
      <c r="Q543" s="88"/>
      <c r="R543" s="91"/>
      <c r="S543" s="91"/>
      <c r="T543" s="88"/>
      <c r="U543" s="88"/>
      <c r="V543" s="88"/>
      <c r="Y543" s="91"/>
      <c r="Z543" s="88"/>
    </row>
    <row r="544" spans="6:26" ht="12.5" x14ac:dyDescent="0.25">
      <c r="F544" s="88"/>
      <c r="G544" s="91"/>
      <c r="H544" s="91"/>
      <c r="I544" s="88"/>
      <c r="J544" s="91"/>
      <c r="K544" s="88"/>
      <c r="L544" s="88"/>
      <c r="M544" s="91"/>
      <c r="N544" s="88"/>
      <c r="O544" s="91"/>
      <c r="P544" s="91"/>
      <c r="Q544" s="88"/>
      <c r="R544" s="91"/>
      <c r="S544" s="91"/>
      <c r="T544" s="88"/>
      <c r="U544" s="88"/>
      <c r="V544" s="88"/>
      <c r="Y544" s="91"/>
      <c r="Z544" s="88"/>
    </row>
    <row r="545" spans="6:26" ht="12.5" x14ac:dyDescent="0.25">
      <c r="F545" s="88"/>
      <c r="G545" s="91"/>
      <c r="H545" s="91"/>
      <c r="I545" s="88"/>
      <c r="J545" s="91"/>
      <c r="K545" s="88"/>
      <c r="L545" s="88"/>
      <c r="M545" s="91"/>
      <c r="N545" s="88"/>
      <c r="O545" s="91"/>
      <c r="P545" s="91"/>
      <c r="Q545" s="88"/>
      <c r="R545" s="91"/>
      <c r="S545" s="91"/>
      <c r="T545" s="88"/>
      <c r="U545" s="88"/>
      <c r="V545" s="88"/>
      <c r="Y545" s="91"/>
      <c r="Z545" s="88"/>
    </row>
    <row r="546" spans="6:26" ht="12.5" x14ac:dyDescent="0.25">
      <c r="F546" s="88"/>
      <c r="G546" s="91"/>
      <c r="H546" s="91"/>
      <c r="I546" s="88"/>
      <c r="J546" s="91"/>
      <c r="K546" s="88"/>
      <c r="L546" s="88"/>
      <c r="M546" s="91"/>
      <c r="N546" s="88"/>
      <c r="O546" s="91"/>
      <c r="P546" s="91"/>
      <c r="Q546" s="88"/>
      <c r="R546" s="91"/>
      <c r="S546" s="91"/>
      <c r="T546" s="88"/>
      <c r="U546" s="88"/>
      <c r="V546" s="88"/>
      <c r="Y546" s="91"/>
      <c r="Z546" s="88"/>
    </row>
    <row r="547" spans="6:26" ht="12.5" x14ac:dyDescent="0.25">
      <c r="F547" s="88"/>
      <c r="G547" s="91"/>
      <c r="H547" s="91"/>
      <c r="I547" s="88"/>
      <c r="J547" s="91"/>
      <c r="K547" s="88"/>
      <c r="L547" s="88"/>
      <c r="M547" s="91"/>
      <c r="N547" s="88"/>
      <c r="O547" s="91"/>
      <c r="P547" s="91"/>
      <c r="Q547" s="88"/>
      <c r="R547" s="91"/>
      <c r="S547" s="91"/>
      <c r="T547" s="88"/>
      <c r="U547" s="88"/>
      <c r="V547" s="88"/>
      <c r="Y547" s="91"/>
      <c r="Z547" s="88"/>
    </row>
    <row r="548" spans="6:26" ht="12.5" x14ac:dyDescent="0.25">
      <c r="F548" s="88"/>
      <c r="G548" s="91"/>
      <c r="H548" s="91"/>
      <c r="I548" s="88"/>
      <c r="J548" s="91"/>
      <c r="K548" s="88"/>
      <c r="L548" s="88"/>
      <c r="M548" s="91"/>
      <c r="N548" s="88"/>
      <c r="O548" s="91"/>
      <c r="P548" s="91"/>
      <c r="Q548" s="88"/>
      <c r="R548" s="91"/>
      <c r="S548" s="91"/>
      <c r="T548" s="88"/>
      <c r="U548" s="88"/>
      <c r="V548" s="88"/>
      <c r="Y548" s="91"/>
      <c r="Z548" s="88"/>
    </row>
    <row r="549" spans="6:26" ht="12.5" x14ac:dyDescent="0.25">
      <c r="F549" s="88"/>
      <c r="G549" s="91"/>
      <c r="H549" s="91"/>
      <c r="I549" s="88"/>
      <c r="J549" s="91"/>
      <c r="K549" s="88"/>
      <c r="L549" s="88"/>
      <c r="M549" s="91"/>
      <c r="N549" s="88"/>
      <c r="O549" s="91"/>
      <c r="P549" s="91"/>
      <c r="Q549" s="88"/>
      <c r="R549" s="91"/>
      <c r="S549" s="91"/>
      <c r="T549" s="88"/>
      <c r="U549" s="88"/>
      <c r="V549" s="88"/>
      <c r="Y549" s="91"/>
      <c r="Z549" s="88"/>
    </row>
    <row r="550" spans="6:26" ht="12.5" x14ac:dyDescent="0.25">
      <c r="F550" s="88"/>
      <c r="G550" s="91"/>
      <c r="H550" s="91"/>
      <c r="I550" s="88"/>
      <c r="J550" s="91"/>
      <c r="K550" s="88"/>
      <c r="L550" s="88"/>
      <c r="M550" s="91"/>
      <c r="N550" s="88"/>
      <c r="O550" s="91"/>
      <c r="P550" s="91"/>
      <c r="Q550" s="88"/>
      <c r="R550" s="91"/>
      <c r="S550" s="91"/>
      <c r="T550" s="88"/>
      <c r="U550" s="88"/>
      <c r="V550" s="88"/>
      <c r="Y550" s="91"/>
      <c r="Z550" s="88"/>
    </row>
    <row r="551" spans="6:26" ht="12.5" x14ac:dyDescent="0.25">
      <c r="F551" s="88"/>
      <c r="G551" s="91"/>
      <c r="H551" s="91"/>
      <c r="I551" s="88"/>
      <c r="J551" s="91"/>
      <c r="K551" s="88"/>
      <c r="L551" s="88"/>
      <c r="M551" s="91"/>
      <c r="N551" s="88"/>
      <c r="O551" s="91"/>
      <c r="P551" s="91"/>
      <c r="Q551" s="88"/>
      <c r="R551" s="91"/>
      <c r="S551" s="91"/>
      <c r="T551" s="88"/>
      <c r="U551" s="88"/>
      <c r="V551" s="88"/>
      <c r="Y551" s="91"/>
      <c r="Z551" s="88"/>
    </row>
    <row r="552" spans="6:26" ht="12.5" x14ac:dyDescent="0.25">
      <c r="F552" s="88"/>
      <c r="G552" s="91"/>
      <c r="H552" s="91"/>
      <c r="I552" s="88"/>
      <c r="J552" s="91"/>
      <c r="K552" s="88"/>
      <c r="L552" s="88"/>
      <c r="M552" s="91"/>
      <c r="N552" s="88"/>
      <c r="O552" s="91"/>
      <c r="P552" s="91"/>
      <c r="Q552" s="88"/>
      <c r="R552" s="91"/>
      <c r="S552" s="91"/>
      <c r="T552" s="88"/>
      <c r="U552" s="88"/>
      <c r="V552" s="88"/>
      <c r="Y552" s="91"/>
      <c r="Z552" s="88"/>
    </row>
    <row r="553" spans="6:26" ht="12.5" x14ac:dyDescent="0.25">
      <c r="F553" s="88"/>
      <c r="G553" s="91"/>
      <c r="H553" s="91"/>
      <c r="I553" s="88"/>
      <c r="J553" s="91"/>
      <c r="K553" s="88"/>
      <c r="L553" s="88"/>
      <c r="M553" s="91"/>
      <c r="N553" s="88"/>
      <c r="O553" s="91"/>
      <c r="P553" s="91"/>
      <c r="Q553" s="88"/>
      <c r="R553" s="91"/>
      <c r="S553" s="91"/>
      <c r="T553" s="88"/>
      <c r="U553" s="88"/>
      <c r="V553" s="88"/>
      <c r="Y553" s="91"/>
      <c r="Z553" s="88"/>
    </row>
    <row r="554" spans="6:26" ht="12.5" x14ac:dyDescent="0.25">
      <c r="F554" s="88"/>
      <c r="G554" s="91"/>
      <c r="H554" s="91"/>
      <c r="I554" s="88"/>
      <c r="J554" s="91"/>
      <c r="K554" s="88"/>
      <c r="L554" s="88"/>
      <c r="M554" s="91"/>
      <c r="N554" s="88"/>
      <c r="O554" s="91"/>
      <c r="P554" s="91"/>
      <c r="Q554" s="88"/>
      <c r="R554" s="91"/>
      <c r="S554" s="91"/>
      <c r="T554" s="88"/>
      <c r="U554" s="88"/>
      <c r="V554" s="88"/>
      <c r="Y554" s="91"/>
      <c r="Z554" s="88"/>
    </row>
    <row r="555" spans="6:26" ht="12.5" x14ac:dyDescent="0.25">
      <c r="F555" s="88"/>
      <c r="G555" s="91"/>
      <c r="H555" s="91"/>
      <c r="I555" s="88"/>
      <c r="J555" s="91"/>
      <c r="K555" s="88"/>
      <c r="L555" s="88"/>
      <c r="M555" s="91"/>
      <c r="N555" s="88"/>
      <c r="O555" s="91"/>
      <c r="P555" s="91"/>
      <c r="Q555" s="88"/>
      <c r="R555" s="91"/>
      <c r="S555" s="91"/>
      <c r="T555" s="88"/>
      <c r="U555" s="88"/>
      <c r="V555" s="88"/>
      <c r="Y555" s="91"/>
      <c r="Z555" s="88"/>
    </row>
    <row r="556" spans="6:26" ht="12.5" x14ac:dyDescent="0.25">
      <c r="F556" s="88"/>
      <c r="G556" s="91"/>
      <c r="H556" s="91"/>
      <c r="I556" s="88"/>
      <c r="J556" s="91"/>
      <c r="K556" s="88"/>
      <c r="L556" s="88"/>
      <c r="M556" s="91"/>
      <c r="N556" s="88"/>
      <c r="O556" s="91"/>
      <c r="P556" s="91"/>
      <c r="Q556" s="88"/>
      <c r="R556" s="91"/>
      <c r="S556" s="91"/>
      <c r="T556" s="88"/>
      <c r="U556" s="88"/>
      <c r="V556" s="88"/>
      <c r="Y556" s="91"/>
      <c r="Z556" s="88"/>
    </row>
    <row r="557" spans="6:26" ht="12.5" x14ac:dyDescent="0.25">
      <c r="F557" s="88"/>
      <c r="G557" s="91"/>
      <c r="H557" s="91"/>
      <c r="I557" s="88"/>
      <c r="J557" s="91"/>
      <c r="K557" s="88"/>
      <c r="L557" s="88"/>
      <c r="M557" s="91"/>
      <c r="N557" s="88"/>
      <c r="O557" s="91"/>
      <c r="P557" s="91"/>
      <c r="Q557" s="88"/>
      <c r="R557" s="91"/>
      <c r="S557" s="91"/>
      <c r="T557" s="88"/>
      <c r="U557" s="88"/>
      <c r="V557" s="88"/>
      <c r="Y557" s="91"/>
      <c r="Z557" s="88"/>
    </row>
    <row r="558" spans="6:26" ht="12.5" x14ac:dyDescent="0.25">
      <c r="F558" s="88"/>
      <c r="G558" s="91"/>
      <c r="H558" s="91"/>
      <c r="I558" s="88"/>
      <c r="J558" s="91"/>
      <c r="K558" s="88"/>
      <c r="L558" s="88"/>
      <c r="M558" s="91"/>
      <c r="N558" s="88"/>
      <c r="O558" s="91"/>
      <c r="P558" s="91"/>
      <c r="Q558" s="88"/>
      <c r="R558" s="91"/>
      <c r="S558" s="91"/>
      <c r="T558" s="88"/>
      <c r="U558" s="88"/>
      <c r="V558" s="88"/>
      <c r="Y558" s="91"/>
      <c r="Z558" s="88"/>
    </row>
    <row r="559" spans="6:26" ht="12.5" x14ac:dyDescent="0.25">
      <c r="F559" s="88"/>
      <c r="G559" s="91"/>
      <c r="H559" s="91"/>
      <c r="I559" s="88"/>
      <c r="J559" s="91"/>
      <c r="K559" s="88"/>
      <c r="L559" s="88"/>
      <c r="M559" s="91"/>
      <c r="N559" s="88"/>
      <c r="O559" s="91"/>
      <c r="P559" s="91"/>
      <c r="Q559" s="88"/>
      <c r="R559" s="91"/>
      <c r="S559" s="91"/>
      <c r="T559" s="88"/>
      <c r="U559" s="88"/>
      <c r="V559" s="88"/>
      <c r="Y559" s="91"/>
      <c r="Z559" s="88"/>
    </row>
    <row r="560" spans="6:26" ht="12.5" x14ac:dyDescent="0.25">
      <c r="F560" s="88"/>
      <c r="G560" s="91"/>
      <c r="H560" s="91"/>
      <c r="I560" s="88"/>
      <c r="J560" s="91"/>
      <c r="K560" s="88"/>
      <c r="L560" s="88"/>
      <c r="M560" s="91"/>
      <c r="N560" s="88"/>
      <c r="O560" s="91"/>
      <c r="P560" s="91"/>
      <c r="Q560" s="88"/>
      <c r="R560" s="91"/>
      <c r="S560" s="91"/>
      <c r="T560" s="88"/>
      <c r="U560" s="88"/>
      <c r="V560" s="88"/>
      <c r="Y560" s="91"/>
      <c r="Z560" s="88"/>
    </row>
    <row r="561" spans="6:26" ht="12.5" x14ac:dyDescent="0.25">
      <c r="F561" s="88"/>
      <c r="G561" s="91"/>
      <c r="H561" s="91"/>
      <c r="I561" s="88"/>
      <c r="J561" s="91"/>
      <c r="K561" s="88"/>
      <c r="L561" s="88"/>
      <c r="M561" s="91"/>
      <c r="N561" s="88"/>
      <c r="O561" s="91"/>
      <c r="P561" s="91"/>
      <c r="Q561" s="88"/>
      <c r="R561" s="91"/>
      <c r="S561" s="91"/>
      <c r="T561" s="88"/>
      <c r="U561" s="88"/>
      <c r="V561" s="88"/>
      <c r="Y561" s="91"/>
      <c r="Z561" s="88"/>
    </row>
    <row r="562" spans="6:26" ht="12.5" x14ac:dyDescent="0.25">
      <c r="F562" s="88"/>
      <c r="G562" s="91"/>
      <c r="H562" s="91"/>
      <c r="I562" s="88"/>
      <c r="J562" s="91"/>
      <c r="K562" s="88"/>
      <c r="L562" s="88"/>
      <c r="M562" s="91"/>
      <c r="N562" s="88"/>
      <c r="O562" s="91"/>
      <c r="P562" s="91"/>
      <c r="Q562" s="88"/>
      <c r="R562" s="91"/>
      <c r="S562" s="91"/>
      <c r="T562" s="88"/>
      <c r="U562" s="88"/>
      <c r="V562" s="88"/>
      <c r="Y562" s="91"/>
      <c r="Z562" s="88"/>
    </row>
    <row r="563" spans="6:26" ht="12.5" x14ac:dyDescent="0.25">
      <c r="F563" s="88"/>
      <c r="G563" s="91"/>
      <c r="H563" s="91"/>
      <c r="I563" s="88"/>
      <c r="J563" s="91"/>
      <c r="K563" s="88"/>
      <c r="L563" s="88"/>
      <c r="M563" s="91"/>
      <c r="N563" s="88"/>
      <c r="O563" s="91"/>
      <c r="P563" s="91"/>
      <c r="Q563" s="88"/>
      <c r="R563" s="91"/>
      <c r="S563" s="91"/>
      <c r="T563" s="88"/>
      <c r="U563" s="88"/>
      <c r="V563" s="88"/>
      <c r="Y563" s="91"/>
      <c r="Z563" s="88"/>
    </row>
    <row r="564" spans="6:26" ht="12.5" x14ac:dyDescent="0.25">
      <c r="F564" s="88"/>
      <c r="G564" s="91"/>
      <c r="H564" s="91"/>
      <c r="I564" s="88"/>
      <c r="J564" s="91"/>
      <c r="K564" s="88"/>
      <c r="L564" s="88"/>
      <c r="M564" s="91"/>
      <c r="N564" s="88"/>
      <c r="O564" s="91"/>
      <c r="P564" s="91"/>
      <c r="Q564" s="88"/>
      <c r="R564" s="91"/>
      <c r="S564" s="91"/>
      <c r="T564" s="88"/>
      <c r="U564" s="88"/>
      <c r="V564" s="88"/>
      <c r="Y564" s="91"/>
      <c r="Z564" s="88"/>
    </row>
    <row r="565" spans="6:26" ht="12.5" x14ac:dyDescent="0.25">
      <c r="F565" s="88"/>
      <c r="G565" s="91"/>
      <c r="H565" s="91"/>
      <c r="I565" s="88"/>
      <c r="J565" s="91"/>
      <c r="K565" s="88"/>
      <c r="L565" s="88"/>
      <c r="M565" s="91"/>
      <c r="N565" s="88"/>
      <c r="O565" s="91"/>
      <c r="P565" s="91"/>
      <c r="Q565" s="88"/>
      <c r="R565" s="91"/>
      <c r="S565" s="91"/>
      <c r="T565" s="88"/>
      <c r="U565" s="88"/>
      <c r="V565" s="88"/>
      <c r="Y565" s="91"/>
      <c r="Z565" s="88"/>
    </row>
    <row r="566" spans="6:26" ht="12.5" x14ac:dyDescent="0.25">
      <c r="F566" s="88"/>
      <c r="G566" s="91"/>
      <c r="H566" s="91"/>
      <c r="I566" s="88"/>
      <c r="J566" s="91"/>
      <c r="K566" s="88"/>
      <c r="L566" s="88"/>
      <c r="M566" s="91"/>
      <c r="N566" s="88"/>
      <c r="O566" s="91"/>
      <c r="P566" s="91"/>
      <c r="Q566" s="88"/>
      <c r="R566" s="91"/>
      <c r="S566" s="91"/>
      <c r="T566" s="88"/>
      <c r="U566" s="88"/>
      <c r="V566" s="88"/>
      <c r="Y566" s="91"/>
      <c r="Z566" s="88"/>
    </row>
    <row r="567" spans="6:26" ht="12.5" x14ac:dyDescent="0.25">
      <c r="F567" s="88"/>
      <c r="G567" s="91"/>
      <c r="H567" s="91"/>
      <c r="I567" s="88"/>
      <c r="J567" s="91"/>
      <c r="K567" s="88"/>
      <c r="L567" s="88"/>
      <c r="M567" s="91"/>
      <c r="N567" s="88"/>
      <c r="O567" s="91"/>
      <c r="P567" s="91"/>
      <c r="Q567" s="88"/>
      <c r="R567" s="91"/>
      <c r="S567" s="91"/>
      <c r="T567" s="88"/>
      <c r="U567" s="88"/>
      <c r="V567" s="88"/>
      <c r="Y567" s="91"/>
      <c r="Z567" s="88"/>
    </row>
    <row r="568" spans="6:26" ht="12.5" x14ac:dyDescent="0.25">
      <c r="F568" s="88"/>
      <c r="G568" s="91"/>
      <c r="H568" s="91"/>
      <c r="I568" s="88"/>
      <c r="J568" s="91"/>
      <c r="K568" s="88"/>
      <c r="L568" s="88"/>
      <c r="M568" s="91"/>
      <c r="N568" s="88"/>
      <c r="O568" s="91"/>
      <c r="P568" s="91"/>
      <c r="Q568" s="88"/>
      <c r="R568" s="91"/>
      <c r="S568" s="91"/>
      <c r="T568" s="88"/>
      <c r="U568" s="88"/>
      <c r="V568" s="88"/>
      <c r="Y568" s="91"/>
      <c r="Z568" s="88"/>
    </row>
    <row r="569" spans="6:26" ht="12.5" x14ac:dyDescent="0.25">
      <c r="F569" s="88"/>
      <c r="G569" s="91"/>
      <c r="H569" s="91"/>
      <c r="I569" s="88"/>
      <c r="J569" s="91"/>
      <c r="K569" s="88"/>
      <c r="L569" s="88"/>
      <c r="M569" s="91"/>
      <c r="N569" s="88"/>
      <c r="O569" s="91"/>
      <c r="P569" s="91"/>
      <c r="Q569" s="88"/>
      <c r="R569" s="91"/>
      <c r="S569" s="91"/>
      <c r="T569" s="88"/>
      <c r="U569" s="88"/>
      <c r="V569" s="88"/>
      <c r="Y569" s="91"/>
      <c r="Z569" s="88"/>
    </row>
    <row r="570" spans="6:26" ht="12.5" x14ac:dyDescent="0.25">
      <c r="F570" s="88"/>
      <c r="G570" s="91"/>
      <c r="H570" s="91"/>
      <c r="I570" s="88"/>
      <c r="J570" s="91"/>
      <c r="K570" s="88"/>
      <c r="L570" s="88"/>
      <c r="M570" s="91"/>
      <c r="N570" s="88"/>
      <c r="O570" s="91"/>
      <c r="P570" s="91"/>
      <c r="Q570" s="88"/>
      <c r="R570" s="91"/>
      <c r="S570" s="91"/>
      <c r="T570" s="88"/>
      <c r="U570" s="88"/>
      <c r="V570" s="88"/>
      <c r="Y570" s="91"/>
      <c r="Z570" s="88"/>
    </row>
    <row r="571" spans="6:26" ht="12.5" x14ac:dyDescent="0.25">
      <c r="F571" s="88"/>
      <c r="G571" s="91"/>
      <c r="H571" s="91"/>
      <c r="I571" s="88"/>
      <c r="J571" s="91"/>
      <c r="K571" s="88"/>
      <c r="L571" s="88"/>
      <c r="M571" s="91"/>
      <c r="N571" s="88"/>
      <c r="O571" s="91"/>
      <c r="P571" s="91"/>
      <c r="Q571" s="88"/>
      <c r="R571" s="91"/>
      <c r="S571" s="91"/>
      <c r="T571" s="88"/>
      <c r="U571" s="88"/>
      <c r="V571" s="88"/>
      <c r="Y571" s="91"/>
      <c r="Z571" s="88"/>
    </row>
    <row r="572" spans="6:26" ht="12.5" x14ac:dyDescent="0.25">
      <c r="F572" s="88"/>
      <c r="G572" s="91"/>
      <c r="H572" s="91"/>
      <c r="I572" s="88"/>
      <c r="J572" s="91"/>
      <c r="K572" s="88"/>
      <c r="L572" s="88"/>
      <c r="M572" s="91"/>
      <c r="N572" s="88"/>
      <c r="O572" s="91"/>
      <c r="P572" s="91"/>
      <c r="Q572" s="88"/>
      <c r="R572" s="91"/>
      <c r="S572" s="91"/>
      <c r="T572" s="88"/>
      <c r="U572" s="88"/>
      <c r="V572" s="88"/>
      <c r="Y572" s="91"/>
      <c r="Z572" s="88"/>
    </row>
    <row r="573" spans="6:26" ht="12.5" x14ac:dyDescent="0.25">
      <c r="F573" s="88"/>
      <c r="G573" s="91"/>
      <c r="H573" s="91"/>
      <c r="I573" s="88"/>
      <c r="J573" s="91"/>
      <c r="K573" s="88"/>
      <c r="L573" s="88"/>
      <c r="M573" s="91"/>
      <c r="N573" s="88"/>
      <c r="O573" s="91"/>
      <c r="P573" s="91"/>
      <c r="Q573" s="88"/>
      <c r="R573" s="91"/>
      <c r="S573" s="91"/>
      <c r="T573" s="88"/>
      <c r="U573" s="88"/>
      <c r="V573" s="88"/>
      <c r="Y573" s="91"/>
      <c r="Z573" s="88"/>
    </row>
    <row r="574" spans="6:26" ht="12.5" x14ac:dyDescent="0.25">
      <c r="F574" s="88"/>
      <c r="G574" s="91"/>
      <c r="H574" s="91"/>
      <c r="I574" s="88"/>
      <c r="J574" s="91"/>
      <c r="K574" s="88"/>
      <c r="L574" s="88"/>
      <c r="M574" s="91"/>
      <c r="N574" s="88"/>
      <c r="O574" s="91"/>
      <c r="P574" s="91"/>
      <c r="Q574" s="88"/>
      <c r="R574" s="91"/>
      <c r="S574" s="91"/>
      <c r="T574" s="88"/>
      <c r="U574" s="88"/>
      <c r="V574" s="88"/>
      <c r="Y574" s="91"/>
      <c r="Z574" s="88"/>
    </row>
    <row r="575" spans="6:26" ht="12.5" x14ac:dyDescent="0.25">
      <c r="F575" s="88"/>
      <c r="G575" s="91"/>
      <c r="H575" s="91"/>
      <c r="I575" s="88"/>
      <c r="J575" s="91"/>
      <c r="K575" s="88"/>
      <c r="L575" s="88"/>
      <c r="M575" s="91"/>
      <c r="N575" s="88"/>
      <c r="O575" s="91"/>
      <c r="P575" s="91"/>
      <c r="Q575" s="88"/>
      <c r="R575" s="91"/>
      <c r="S575" s="91"/>
      <c r="T575" s="88"/>
      <c r="U575" s="88"/>
      <c r="V575" s="88"/>
      <c r="Y575" s="91"/>
      <c r="Z575" s="88"/>
    </row>
    <row r="576" spans="6:26" ht="12.5" x14ac:dyDescent="0.25">
      <c r="F576" s="88"/>
      <c r="G576" s="91"/>
      <c r="H576" s="91"/>
      <c r="I576" s="88"/>
      <c r="J576" s="91"/>
      <c r="K576" s="88"/>
      <c r="L576" s="88"/>
      <c r="M576" s="91"/>
      <c r="N576" s="88"/>
      <c r="O576" s="91"/>
      <c r="P576" s="91"/>
      <c r="Q576" s="88"/>
      <c r="R576" s="91"/>
      <c r="S576" s="91"/>
      <c r="T576" s="88"/>
      <c r="U576" s="88"/>
      <c r="V576" s="88"/>
      <c r="Y576" s="91"/>
      <c r="Z576" s="88"/>
    </row>
    <row r="577" spans="6:26" ht="12.5" x14ac:dyDescent="0.25">
      <c r="F577" s="88"/>
      <c r="G577" s="91"/>
      <c r="H577" s="91"/>
      <c r="I577" s="88"/>
      <c r="J577" s="91"/>
      <c r="K577" s="88"/>
      <c r="L577" s="88"/>
      <c r="M577" s="91"/>
      <c r="N577" s="88"/>
      <c r="O577" s="91"/>
      <c r="P577" s="91"/>
      <c r="Q577" s="88"/>
      <c r="R577" s="91"/>
      <c r="S577" s="91"/>
      <c r="T577" s="88"/>
      <c r="U577" s="88"/>
      <c r="V577" s="88"/>
      <c r="Y577" s="91"/>
      <c r="Z577" s="88"/>
    </row>
    <row r="578" spans="6:26" ht="12.5" x14ac:dyDescent="0.25">
      <c r="F578" s="88"/>
      <c r="G578" s="91"/>
      <c r="H578" s="91"/>
      <c r="I578" s="88"/>
      <c r="J578" s="91"/>
      <c r="K578" s="88"/>
      <c r="L578" s="88"/>
      <c r="M578" s="91"/>
      <c r="N578" s="88"/>
      <c r="O578" s="91"/>
      <c r="P578" s="91"/>
      <c r="Q578" s="88"/>
      <c r="R578" s="91"/>
      <c r="S578" s="91"/>
      <c r="T578" s="88"/>
      <c r="U578" s="88"/>
      <c r="V578" s="88"/>
      <c r="Y578" s="91"/>
      <c r="Z578" s="88"/>
    </row>
    <row r="579" spans="6:26" ht="12.5" x14ac:dyDescent="0.25">
      <c r="F579" s="88"/>
      <c r="G579" s="91"/>
      <c r="H579" s="91"/>
      <c r="I579" s="88"/>
      <c r="J579" s="91"/>
      <c r="K579" s="88"/>
      <c r="L579" s="88"/>
      <c r="M579" s="91"/>
      <c r="N579" s="88"/>
      <c r="O579" s="91"/>
      <c r="P579" s="91"/>
      <c r="Q579" s="88"/>
      <c r="R579" s="91"/>
      <c r="S579" s="91"/>
      <c r="T579" s="88"/>
      <c r="U579" s="88"/>
      <c r="V579" s="88"/>
      <c r="Y579" s="91"/>
      <c r="Z579" s="88"/>
    </row>
    <row r="580" spans="6:26" ht="12.5" x14ac:dyDescent="0.25">
      <c r="F580" s="88"/>
      <c r="G580" s="91"/>
      <c r="H580" s="91"/>
      <c r="I580" s="88"/>
      <c r="J580" s="91"/>
      <c r="K580" s="88"/>
      <c r="L580" s="88"/>
      <c r="M580" s="91"/>
      <c r="N580" s="88"/>
      <c r="O580" s="91"/>
      <c r="P580" s="91"/>
      <c r="Q580" s="88"/>
      <c r="R580" s="91"/>
      <c r="S580" s="91"/>
      <c r="T580" s="88"/>
      <c r="U580" s="88"/>
      <c r="V580" s="88"/>
      <c r="Y580" s="91"/>
      <c r="Z580" s="88"/>
    </row>
    <row r="581" spans="6:26" ht="12.5" x14ac:dyDescent="0.25">
      <c r="F581" s="88"/>
      <c r="G581" s="91"/>
      <c r="H581" s="91"/>
      <c r="I581" s="88"/>
      <c r="J581" s="91"/>
      <c r="K581" s="88"/>
      <c r="L581" s="88"/>
      <c r="M581" s="91"/>
      <c r="N581" s="88"/>
      <c r="O581" s="91"/>
      <c r="P581" s="91"/>
      <c r="Q581" s="88"/>
      <c r="R581" s="91"/>
      <c r="S581" s="91"/>
      <c r="T581" s="88"/>
      <c r="U581" s="88"/>
      <c r="V581" s="88"/>
      <c r="Y581" s="91"/>
      <c r="Z581" s="88"/>
    </row>
    <row r="582" spans="6:26" ht="12.5" x14ac:dyDescent="0.25">
      <c r="F582" s="88"/>
      <c r="G582" s="91"/>
      <c r="H582" s="91"/>
      <c r="I582" s="88"/>
      <c r="J582" s="91"/>
      <c r="K582" s="88"/>
      <c r="L582" s="88"/>
      <c r="M582" s="91"/>
      <c r="N582" s="88"/>
      <c r="O582" s="91"/>
      <c r="P582" s="91"/>
      <c r="Q582" s="88"/>
      <c r="R582" s="91"/>
      <c r="S582" s="91"/>
      <c r="T582" s="88"/>
      <c r="U582" s="88"/>
      <c r="V582" s="88"/>
      <c r="Y582" s="91"/>
      <c r="Z582" s="88"/>
    </row>
    <row r="583" spans="6:26" ht="12.5" x14ac:dyDescent="0.25">
      <c r="F583" s="88"/>
      <c r="G583" s="91"/>
      <c r="H583" s="91"/>
      <c r="I583" s="88"/>
      <c r="J583" s="91"/>
      <c r="K583" s="88"/>
      <c r="L583" s="88"/>
      <c r="M583" s="91"/>
      <c r="N583" s="88"/>
      <c r="O583" s="91"/>
      <c r="P583" s="91"/>
      <c r="Q583" s="88"/>
      <c r="R583" s="91"/>
      <c r="S583" s="91"/>
      <c r="T583" s="88"/>
      <c r="U583" s="88"/>
      <c r="V583" s="88"/>
      <c r="Y583" s="91"/>
      <c r="Z583" s="88"/>
    </row>
    <row r="584" spans="6:26" ht="12.5" x14ac:dyDescent="0.25">
      <c r="F584" s="88"/>
      <c r="G584" s="91"/>
      <c r="H584" s="91"/>
      <c r="I584" s="88"/>
      <c r="J584" s="91"/>
      <c r="K584" s="88"/>
      <c r="L584" s="88"/>
      <c r="M584" s="91"/>
      <c r="N584" s="88"/>
      <c r="O584" s="91"/>
      <c r="P584" s="91"/>
      <c r="Q584" s="88"/>
      <c r="R584" s="91"/>
      <c r="S584" s="91"/>
      <c r="T584" s="88"/>
      <c r="U584" s="88"/>
      <c r="V584" s="88"/>
      <c r="Y584" s="91"/>
      <c r="Z584" s="88"/>
    </row>
    <row r="585" spans="6:26" ht="12.5" x14ac:dyDescent="0.25">
      <c r="F585" s="88"/>
      <c r="G585" s="91"/>
      <c r="H585" s="91"/>
      <c r="I585" s="88"/>
      <c r="J585" s="91"/>
      <c r="K585" s="88"/>
      <c r="L585" s="88"/>
      <c r="M585" s="91"/>
      <c r="N585" s="88"/>
      <c r="O585" s="91"/>
      <c r="P585" s="91"/>
      <c r="Q585" s="88"/>
      <c r="R585" s="91"/>
      <c r="S585" s="91"/>
      <c r="T585" s="88"/>
      <c r="U585" s="88"/>
      <c r="V585" s="88"/>
      <c r="Y585" s="91"/>
      <c r="Z585" s="88"/>
    </row>
    <row r="586" spans="6:26" ht="12.5" x14ac:dyDescent="0.25">
      <c r="F586" s="88"/>
      <c r="G586" s="91"/>
      <c r="H586" s="91"/>
      <c r="I586" s="88"/>
      <c r="J586" s="91"/>
      <c r="K586" s="88"/>
      <c r="L586" s="88"/>
      <c r="M586" s="91"/>
      <c r="N586" s="88"/>
      <c r="O586" s="91"/>
      <c r="P586" s="91"/>
      <c r="Q586" s="88"/>
      <c r="R586" s="91"/>
      <c r="S586" s="91"/>
      <c r="T586" s="88"/>
      <c r="U586" s="88"/>
      <c r="V586" s="88"/>
      <c r="Y586" s="91"/>
      <c r="Z586" s="88"/>
    </row>
    <row r="587" spans="6:26" ht="12.5" x14ac:dyDescent="0.25">
      <c r="F587" s="88"/>
      <c r="G587" s="91"/>
      <c r="H587" s="91"/>
      <c r="I587" s="88"/>
      <c r="J587" s="91"/>
      <c r="K587" s="88"/>
      <c r="L587" s="88"/>
      <c r="M587" s="91"/>
      <c r="N587" s="88"/>
      <c r="O587" s="91"/>
      <c r="P587" s="91"/>
      <c r="Q587" s="88"/>
      <c r="R587" s="91"/>
      <c r="S587" s="91"/>
      <c r="T587" s="88"/>
      <c r="U587" s="88"/>
      <c r="V587" s="88"/>
      <c r="Y587" s="91"/>
      <c r="Z587" s="88"/>
    </row>
    <row r="588" spans="6:26" ht="12.5" x14ac:dyDescent="0.25">
      <c r="F588" s="88"/>
      <c r="G588" s="91"/>
      <c r="H588" s="91"/>
      <c r="I588" s="88"/>
      <c r="J588" s="91"/>
      <c r="K588" s="88"/>
      <c r="L588" s="88"/>
      <c r="M588" s="91"/>
      <c r="N588" s="88"/>
      <c r="O588" s="91"/>
      <c r="P588" s="91"/>
      <c r="Q588" s="88"/>
      <c r="R588" s="91"/>
      <c r="S588" s="91"/>
      <c r="T588" s="88"/>
      <c r="U588" s="88"/>
      <c r="V588" s="88"/>
      <c r="Y588" s="91"/>
      <c r="Z588" s="88"/>
    </row>
    <row r="589" spans="6:26" ht="12.5" x14ac:dyDescent="0.25">
      <c r="F589" s="88"/>
      <c r="G589" s="91"/>
      <c r="H589" s="91"/>
      <c r="I589" s="88"/>
      <c r="J589" s="91"/>
      <c r="K589" s="88"/>
      <c r="L589" s="88"/>
      <c r="M589" s="91"/>
      <c r="N589" s="88"/>
      <c r="O589" s="91"/>
      <c r="P589" s="91"/>
      <c r="Q589" s="88"/>
      <c r="R589" s="91"/>
      <c r="S589" s="91"/>
      <c r="T589" s="88"/>
      <c r="U589" s="88"/>
      <c r="V589" s="88"/>
      <c r="Y589" s="91"/>
      <c r="Z589" s="88"/>
    </row>
    <row r="590" spans="6:26" ht="12.5" x14ac:dyDescent="0.25">
      <c r="F590" s="88"/>
      <c r="G590" s="91"/>
      <c r="H590" s="91"/>
      <c r="I590" s="88"/>
      <c r="J590" s="91"/>
      <c r="K590" s="88"/>
      <c r="L590" s="88"/>
      <c r="M590" s="91"/>
      <c r="N590" s="88"/>
      <c r="O590" s="91"/>
      <c r="P590" s="91"/>
      <c r="Q590" s="88"/>
      <c r="R590" s="91"/>
      <c r="S590" s="91"/>
      <c r="T590" s="88"/>
      <c r="U590" s="88"/>
      <c r="V590" s="88"/>
      <c r="Y590" s="91"/>
      <c r="Z590" s="88"/>
    </row>
    <row r="591" spans="6:26" ht="12.5" x14ac:dyDescent="0.25">
      <c r="F591" s="88"/>
      <c r="G591" s="91"/>
      <c r="H591" s="91"/>
      <c r="I591" s="88"/>
      <c r="J591" s="91"/>
      <c r="K591" s="88"/>
      <c r="L591" s="88"/>
      <c r="M591" s="91"/>
      <c r="N591" s="88"/>
      <c r="O591" s="91"/>
      <c r="P591" s="91"/>
      <c r="Q591" s="88"/>
      <c r="R591" s="91"/>
      <c r="S591" s="91"/>
      <c r="T591" s="88"/>
      <c r="U591" s="88"/>
      <c r="V591" s="88"/>
      <c r="Y591" s="91"/>
      <c r="Z591" s="88"/>
    </row>
    <row r="592" spans="6:26" ht="12.5" x14ac:dyDescent="0.25">
      <c r="F592" s="88"/>
      <c r="G592" s="91"/>
      <c r="H592" s="91"/>
      <c r="I592" s="88"/>
      <c r="J592" s="91"/>
      <c r="K592" s="88"/>
      <c r="L592" s="88"/>
      <c r="M592" s="91"/>
      <c r="N592" s="88"/>
      <c r="O592" s="91"/>
      <c r="P592" s="91"/>
      <c r="Q592" s="88"/>
      <c r="R592" s="91"/>
      <c r="S592" s="91"/>
      <c r="T592" s="88"/>
      <c r="U592" s="88"/>
      <c r="V592" s="88"/>
      <c r="Y592" s="91"/>
      <c r="Z592" s="88"/>
    </row>
    <row r="593" spans="6:26" ht="12.5" x14ac:dyDescent="0.25">
      <c r="F593" s="88"/>
      <c r="G593" s="91"/>
      <c r="H593" s="91"/>
      <c r="I593" s="88"/>
      <c r="J593" s="91"/>
      <c r="K593" s="88"/>
      <c r="L593" s="88"/>
      <c r="M593" s="91"/>
      <c r="N593" s="88"/>
      <c r="O593" s="91"/>
      <c r="P593" s="91"/>
      <c r="Q593" s="88"/>
      <c r="R593" s="91"/>
      <c r="S593" s="91"/>
      <c r="T593" s="88"/>
      <c r="U593" s="88"/>
      <c r="V593" s="88"/>
      <c r="Y593" s="91"/>
      <c r="Z593" s="88"/>
    </row>
    <row r="594" spans="6:26" ht="12.5" x14ac:dyDescent="0.25">
      <c r="F594" s="88"/>
      <c r="G594" s="91"/>
      <c r="H594" s="91"/>
      <c r="I594" s="88"/>
      <c r="J594" s="91"/>
      <c r="K594" s="88"/>
      <c r="L594" s="88"/>
      <c r="M594" s="91"/>
      <c r="N594" s="88"/>
      <c r="O594" s="91"/>
      <c r="P594" s="91"/>
      <c r="Q594" s="88"/>
      <c r="R594" s="91"/>
      <c r="S594" s="91"/>
      <c r="T594" s="88"/>
      <c r="U594" s="88"/>
      <c r="V594" s="88"/>
      <c r="Y594" s="91"/>
      <c r="Z594" s="88"/>
    </row>
    <row r="595" spans="6:26" ht="12.5" x14ac:dyDescent="0.25">
      <c r="F595" s="88"/>
      <c r="G595" s="91"/>
      <c r="H595" s="91"/>
      <c r="I595" s="88"/>
      <c r="J595" s="91"/>
      <c r="K595" s="88"/>
      <c r="L595" s="88"/>
      <c r="M595" s="91"/>
      <c r="N595" s="88"/>
      <c r="O595" s="91"/>
      <c r="P595" s="91"/>
      <c r="Q595" s="88"/>
      <c r="R595" s="91"/>
      <c r="S595" s="91"/>
      <c r="T595" s="88"/>
      <c r="U595" s="88"/>
      <c r="V595" s="88"/>
      <c r="Y595" s="91"/>
      <c r="Z595" s="88"/>
    </row>
    <row r="596" spans="6:26" ht="12.5" x14ac:dyDescent="0.25">
      <c r="F596" s="88"/>
      <c r="G596" s="91"/>
      <c r="H596" s="91"/>
      <c r="I596" s="88"/>
      <c r="J596" s="91"/>
      <c r="K596" s="88"/>
      <c r="L596" s="88"/>
      <c r="M596" s="91"/>
      <c r="N596" s="88"/>
      <c r="O596" s="91"/>
      <c r="P596" s="91"/>
      <c r="Q596" s="88"/>
      <c r="R596" s="91"/>
      <c r="S596" s="91"/>
      <c r="T596" s="88"/>
      <c r="U596" s="88"/>
      <c r="V596" s="88"/>
      <c r="Y596" s="91"/>
      <c r="Z596" s="88"/>
    </row>
    <row r="597" spans="6:26" ht="12.5" x14ac:dyDescent="0.25">
      <c r="F597" s="88"/>
      <c r="G597" s="91"/>
      <c r="H597" s="91"/>
      <c r="I597" s="88"/>
      <c r="J597" s="91"/>
      <c r="K597" s="88"/>
      <c r="L597" s="88"/>
      <c r="M597" s="91"/>
      <c r="N597" s="88"/>
      <c r="O597" s="91"/>
      <c r="P597" s="91"/>
      <c r="Q597" s="88"/>
      <c r="R597" s="91"/>
      <c r="S597" s="91"/>
      <c r="T597" s="88"/>
      <c r="U597" s="88"/>
      <c r="V597" s="88"/>
      <c r="Y597" s="91"/>
      <c r="Z597" s="88"/>
    </row>
    <row r="598" spans="6:26" ht="12.5" x14ac:dyDescent="0.25">
      <c r="F598" s="88"/>
      <c r="G598" s="91"/>
      <c r="H598" s="91"/>
      <c r="I598" s="88"/>
      <c r="J598" s="91"/>
      <c r="K598" s="88"/>
      <c r="L598" s="88"/>
      <c r="M598" s="91"/>
      <c r="N598" s="88"/>
      <c r="O598" s="91"/>
      <c r="P598" s="91"/>
      <c r="Q598" s="88"/>
      <c r="R598" s="91"/>
      <c r="S598" s="91"/>
      <c r="T598" s="88"/>
      <c r="U598" s="88"/>
      <c r="V598" s="88"/>
      <c r="Y598" s="91"/>
      <c r="Z598" s="88"/>
    </row>
    <row r="599" spans="6:26" ht="12.5" x14ac:dyDescent="0.25">
      <c r="F599" s="88"/>
      <c r="G599" s="91"/>
      <c r="H599" s="91"/>
      <c r="I599" s="88"/>
      <c r="J599" s="91"/>
      <c r="K599" s="88"/>
      <c r="L599" s="88"/>
      <c r="M599" s="91"/>
      <c r="N599" s="88"/>
      <c r="O599" s="91"/>
      <c r="P599" s="91"/>
      <c r="Q599" s="88"/>
      <c r="R599" s="91"/>
      <c r="S599" s="91"/>
      <c r="T599" s="88"/>
      <c r="U599" s="88"/>
      <c r="V599" s="88"/>
      <c r="Y599" s="91"/>
      <c r="Z599" s="88"/>
    </row>
    <row r="600" spans="6:26" ht="12.5" x14ac:dyDescent="0.25">
      <c r="F600" s="88"/>
      <c r="G600" s="91"/>
      <c r="H600" s="91"/>
      <c r="I600" s="88"/>
      <c r="J600" s="91"/>
      <c r="K600" s="88"/>
      <c r="L600" s="88"/>
      <c r="M600" s="91"/>
      <c r="N600" s="88"/>
      <c r="O600" s="91"/>
      <c r="P600" s="91"/>
      <c r="Q600" s="88"/>
      <c r="R600" s="91"/>
      <c r="S600" s="91"/>
      <c r="T600" s="88"/>
      <c r="U600" s="88"/>
      <c r="V600" s="88"/>
      <c r="Y600" s="91"/>
      <c r="Z600" s="88"/>
    </row>
    <row r="601" spans="6:26" ht="12.5" x14ac:dyDescent="0.25">
      <c r="F601" s="88"/>
      <c r="G601" s="91"/>
      <c r="H601" s="91"/>
      <c r="I601" s="88"/>
      <c r="J601" s="91"/>
      <c r="K601" s="88"/>
      <c r="L601" s="88"/>
      <c r="M601" s="91"/>
      <c r="N601" s="88"/>
      <c r="O601" s="91"/>
      <c r="P601" s="91"/>
      <c r="Q601" s="88"/>
      <c r="R601" s="91"/>
      <c r="S601" s="91"/>
      <c r="T601" s="88"/>
      <c r="U601" s="88"/>
      <c r="V601" s="88"/>
      <c r="Y601" s="91"/>
      <c r="Z601" s="88"/>
    </row>
    <row r="602" spans="6:26" ht="12.5" x14ac:dyDescent="0.25">
      <c r="F602" s="88"/>
      <c r="G602" s="91"/>
      <c r="H602" s="91"/>
      <c r="I602" s="88"/>
      <c r="J602" s="91"/>
      <c r="K602" s="88"/>
      <c r="L602" s="88"/>
      <c r="M602" s="91"/>
      <c r="N602" s="88"/>
      <c r="O602" s="91"/>
      <c r="P602" s="91"/>
      <c r="Q602" s="88"/>
      <c r="R602" s="91"/>
      <c r="S602" s="91"/>
      <c r="T602" s="88"/>
      <c r="U602" s="88"/>
      <c r="V602" s="88"/>
      <c r="Y602" s="91"/>
      <c r="Z602" s="88"/>
    </row>
    <row r="603" spans="6:26" ht="12.5" x14ac:dyDescent="0.25">
      <c r="F603" s="88"/>
      <c r="G603" s="91"/>
      <c r="H603" s="91"/>
      <c r="I603" s="88"/>
      <c r="J603" s="91"/>
      <c r="K603" s="88"/>
      <c r="L603" s="88"/>
      <c r="M603" s="91"/>
      <c r="N603" s="88"/>
      <c r="O603" s="91"/>
      <c r="P603" s="91"/>
      <c r="Q603" s="88"/>
      <c r="R603" s="91"/>
      <c r="S603" s="91"/>
      <c r="T603" s="88"/>
      <c r="U603" s="88"/>
      <c r="V603" s="88"/>
      <c r="Y603" s="91"/>
      <c r="Z603" s="88"/>
    </row>
    <row r="604" spans="6:26" ht="12.5" x14ac:dyDescent="0.25">
      <c r="F604" s="88"/>
      <c r="G604" s="91"/>
      <c r="H604" s="91"/>
      <c r="I604" s="88"/>
      <c r="J604" s="91"/>
      <c r="K604" s="88"/>
      <c r="L604" s="88"/>
      <c r="M604" s="91"/>
      <c r="N604" s="88"/>
      <c r="O604" s="91"/>
      <c r="P604" s="91"/>
      <c r="Q604" s="88"/>
      <c r="R604" s="91"/>
      <c r="S604" s="91"/>
      <c r="T604" s="88"/>
      <c r="U604" s="88"/>
      <c r="V604" s="88"/>
      <c r="Y604" s="91"/>
      <c r="Z604" s="88"/>
    </row>
    <row r="605" spans="6:26" ht="12.5" x14ac:dyDescent="0.25">
      <c r="F605" s="88"/>
      <c r="G605" s="91"/>
      <c r="H605" s="91"/>
      <c r="I605" s="88"/>
      <c r="J605" s="91"/>
      <c r="K605" s="88"/>
      <c r="L605" s="88"/>
      <c r="M605" s="91"/>
      <c r="N605" s="88"/>
      <c r="O605" s="91"/>
      <c r="P605" s="91"/>
      <c r="Q605" s="88"/>
      <c r="R605" s="91"/>
      <c r="S605" s="91"/>
      <c r="T605" s="88"/>
      <c r="U605" s="88"/>
      <c r="V605" s="88"/>
      <c r="Y605" s="91"/>
      <c r="Z605" s="88"/>
    </row>
    <row r="606" spans="6:26" ht="12.5" x14ac:dyDescent="0.25">
      <c r="F606" s="88"/>
      <c r="G606" s="91"/>
      <c r="H606" s="91"/>
      <c r="I606" s="88"/>
      <c r="J606" s="91"/>
      <c r="K606" s="88"/>
      <c r="L606" s="88"/>
      <c r="M606" s="91"/>
      <c r="N606" s="88"/>
      <c r="O606" s="91"/>
      <c r="P606" s="91"/>
      <c r="Q606" s="88"/>
      <c r="R606" s="91"/>
      <c r="S606" s="91"/>
      <c r="T606" s="88"/>
      <c r="U606" s="88"/>
      <c r="V606" s="88"/>
      <c r="Y606" s="91"/>
      <c r="Z606" s="88"/>
    </row>
    <row r="607" spans="6:26" ht="12.5" x14ac:dyDescent="0.25">
      <c r="F607" s="88"/>
      <c r="G607" s="91"/>
      <c r="H607" s="91"/>
      <c r="I607" s="88"/>
      <c r="J607" s="91"/>
      <c r="K607" s="88"/>
      <c r="L607" s="88"/>
      <c r="M607" s="91"/>
      <c r="N607" s="88"/>
      <c r="O607" s="91"/>
      <c r="P607" s="91"/>
      <c r="Q607" s="88"/>
      <c r="R607" s="91"/>
      <c r="S607" s="91"/>
      <c r="T607" s="88"/>
      <c r="U607" s="88"/>
      <c r="V607" s="88"/>
      <c r="Y607" s="91"/>
      <c r="Z607" s="88"/>
    </row>
    <row r="608" spans="6:26" ht="12.5" x14ac:dyDescent="0.25">
      <c r="F608" s="88"/>
      <c r="G608" s="91"/>
      <c r="H608" s="91"/>
      <c r="I608" s="88"/>
      <c r="J608" s="91"/>
      <c r="K608" s="88"/>
      <c r="L608" s="88"/>
      <c r="M608" s="91"/>
      <c r="N608" s="88"/>
      <c r="O608" s="91"/>
      <c r="P608" s="91"/>
      <c r="Q608" s="88"/>
      <c r="R608" s="91"/>
      <c r="S608" s="91"/>
      <c r="T608" s="88"/>
      <c r="U608" s="88"/>
      <c r="V608" s="88"/>
      <c r="Y608" s="91"/>
      <c r="Z608" s="88"/>
    </row>
    <row r="609" spans="6:26" ht="12.5" x14ac:dyDescent="0.25">
      <c r="F609" s="88"/>
      <c r="G609" s="91"/>
      <c r="H609" s="91"/>
      <c r="I609" s="88"/>
      <c r="J609" s="91"/>
      <c r="K609" s="88"/>
      <c r="L609" s="88"/>
      <c r="M609" s="91"/>
      <c r="N609" s="88"/>
      <c r="O609" s="91"/>
      <c r="P609" s="91"/>
      <c r="Q609" s="88"/>
      <c r="R609" s="91"/>
      <c r="S609" s="91"/>
      <c r="T609" s="88"/>
      <c r="U609" s="88"/>
      <c r="V609" s="88"/>
      <c r="Y609" s="91"/>
      <c r="Z609" s="88"/>
    </row>
    <row r="610" spans="6:26" ht="12.5" x14ac:dyDescent="0.25">
      <c r="F610" s="88"/>
      <c r="G610" s="91"/>
      <c r="H610" s="91"/>
      <c r="I610" s="88"/>
      <c r="J610" s="91"/>
      <c r="K610" s="88"/>
      <c r="L610" s="88"/>
      <c r="M610" s="91"/>
      <c r="N610" s="88"/>
      <c r="O610" s="91"/>
      <c r="P610" s="91"/>
      <c r="Q610" s="88"/>
      <c r="R610" s="91"/>
      <c r="S610" s="91"/>
      <c r="T610" s="88"/>
      <c r="U610" s="88"/>
      <c r="V610" s="88"/>
      <c r="Y610" s="91"/>
      <c r="Z610" s="88"/>
    </row>
    <row r="611" spans="6:26" ht="12.5" x14ac:dyDescent="0.25">
      <c r="F611" s="88"/>
      <c r="G611" s="91"/>
      <c r="H611" s="91"/>
      <c r="I611" s="88"/>
      <c r="J611" s="91"/>
      <c r="K611" s="88"/>
      <c r="L611" s="88"/>
      <c r="M611" s="91"/>
      <c r="N611" s="88"/>
      <c r="O611" s="91"/>
      <c r="P611" s="91"/>
      <c r="Q611" s="88"/>
      <c r="R611" s="91"/>
      <c r="S611" s="91"/>
      <c r="T611" s="88"/>
      <c r="U611" s="88"/>
      <c r="V611" s="88"/>
      <c r="Y611" s="91"/>
      <c r="Z611" s="88"/>
    </row>
    <row r="612" spans="6:26" ht="12.5" x14ac:dyDescent="0.25">
      <c r="F612" s="88"/>
      <c r="G612" s="91"/>
      <c r="H612" s="91"/>
      <c r="I612" s="88"/>
      <c r="J612" s="91"/>
      <c r="K612" s="88"/>
      <c r="L612" s="88"/>
      <c r="M612" s="91"/>
      <c r="N612" s="88"/>
      <c r="O612" s="91"/>
      <c r="P612" s="91"/>
      <c r="Q612" s="88"/>
      <c r="R612" s="91"/>
      <c r="S612" s="91"/>
      <c r="T612" s="88"/>
      <c r="U612" s="88"/>
      <c r="V612" s="88"/>
      <c r="Y612" s="91"/>
      <c r="Z612" s="88"/>
    </row>
    <row r="613" spans="6:26" ht="12.5" x14ac:dyDescent="0.25">
      <c r="F613" s="88"/>
      <c r="G613" s="91"/>
      <c r="H613" s="91"/>
      <c r="I613" s="88"/>
      <c r="J613" s="91"/>
      <c r="K613" s="88"/>
      <c r="L613" s="88"/>
      <c r="M613" s="91"/>
      <c r="N613" s="88"/>
      <c r="O613" s="91"/>
      <c r="P613" s="91"/>
      <c r="Q613" s="88"/>
      <c r="R613" s="91"/>
      <c r="S613" s="91"/>
      <c r="T613" s="88"/>
      <c r="U613" s="88"/>
      <c r="V613" s="88"/>
      <c r="Y613" s="91"/>
      <c r="Z613" s="88"/>
    </row>
    <row r="614" spans="6:26" ht="12.5" x14ac:dyDescent="0.25">
      <c r="F614" s="88"/>
      <c r="G614" s="91"/>
      <c r="H614" s="91"/>
      <c r="I614" s="88"/>
      <c r="J614" s="91"/>
      <c r="K614" s="88"/>
      <c r="L614" s="88"/>
      <c r="M614" s="91"/>
      <c r="N614" s="88"/>
      <c r="O614" s="91"/>
      <c r="P614" s="91"/>
      <c r="Q614" s="88"/>
      <c r="R614" s="91"/>
      <c r="S614" s="91"/>
      <c r="T614" s="88"/>
      <c r="U614" s="88"/>
      <c r="V614" s="88"/>
      <c r="Y614" s="91"/>
      <c r="Z614" s="88"/>
    </row>
    <row r="615" spans="6:26" ht="12.5" x14ac:dyDescent="0.25">
      <c r="F615" s="88"/>
      <c r="G615" s="91"/>
      <c r="H615" s="91"/>
      <c r="I615" s="88"/>
      <c r="J615" s="91"/>
      <c r="K615" s="88"/>
      <c r="L615" s="88"/>
      <c r="M615" s="91"/>
      <c r="N615" s="88"/>
      <c r="O615" s="91"/>
      <c r="P615" s="91"/>
      <c r="Q615" s="88"/>
      <c r="R615" s="91"/>
      <c r="S615" s="91"/>
      <c r="T615" s="88"/>
      <c r="U615" s="88"/>
      <c r="V615" s="88"/>
      <c r="Y615" s="91"/>
      <c r="Z615" s="88"/>
    </row>
    <row r="616" spans="6:26" ht="12.5" x14ac:dyDescent="0.25">
      <c r="F616" s="88"/>
      <c r="G616" s="91"/>
      <c r="H616" s="91"/>
      <c r="I616" s="88"/>
      <c r="J616" s="91"/>
      <c r="K616" s="88"/>
      <c r="L616" s="88"/>
      <c r="M616" s="91"/>
      <c r="N616" s="88"/>
      <c r="O616" s="91"/>
      <c r="P616" s="91"/>
      <c r="Q616" s="88"/>
      <c r="R616" s="91"/>
      <c r="S616" s="91"/>
      <c r="T616" s="88"/>
      <c r="U616" s="88"/>
      <c r="V616" s="88"/>
      <c r="Y616" s="91"/>
      <c r="Z616" s="88"/>
    </row>
    <row r="617" spans="6:26" ht="12.5" x14ac:dyDescent="0.25">
      <c r="F617" s="88"/>
      <c r="G617" s="91"/>
      <c r="H617" s="91"/>
      <c r="I617" s="88"/>
      <c r="J617" s="91"/>
      <c r="K617" s="88"/>
      <c r="L617" s="88"/>
      <c r="M617" s="91"/>
      <c r="N617" s="88"/>
      <c r="O617" s="91"/>
      <c r="P617" s="91"/>
      <c r="Q617" s="88"/>
      <c r="R617" s="91"/>
      <c r="S617" s="91"/>
      <c r="T617" s="88"/>
      <c r="U617" s="88"/>
      <c r="V617" s="88"/>
      <c r="Y617" s="91"/>
      <c r="Z617" s="88"/>
    </row>
    <row r="618" spans="6:26" ht="12.5" x14ac:dyDescent="0.25">
      <c r="F618" s="88"/>
      <c r="G618" s="91"/>
      <c r="H618" s="91"/>
      <c r="I618" s="88"/>
      <c r="J618" s="91"/>
      <c r="K618" s="88"/>
      <c r="L618" s="88"/>
      <c r="M618" s="91"/>
      <c r="N618" s="88"/>
      <c r="O618" s="91"/>
      <c r="P618" s="91"/>
      <c r="Q618" s="88"/>
      <c r="R618" s="91"/>
      <c r="S618" s="91"/>
      <c r="T618" s="88"/>
      <c r="U618" s="88"/>
      <c r="V618" s="88"/>
      <c r="Y618" s="91"/>
      <c r="Z618" s="88"/>
    </row>
    <row r="619" spans="6:26" ht="12.5" x14ac:dyDescent="0.25">
      <c r="F619" s="88"/>
      <c r="G619" s="91"/>
      <c r="H619" s="91"/>
      <c r="I619" s="88"/>
      <c r="J619" s="91"/>
      <c r="K619" s="88"/>
      <c r="L619" s="88"/>
      <c r="M619" s="91"/>
      <c r="N619" s="88"/>
      <c r="O619" s="91"/>
      <c r="P619" s="91"/>
      <c r="Q619" s="88"/>
      <c r="R619" s="91"/>
      <c r="S619" s="91"/>
      <c r="T619" s="88"/>
      <c r="U619" s="88"/>
      <c r="V619" s="88"/>
      <c r="Y619" s="91"/>
      <c r="Z619" s="88"/>
    </row>
    <row r="620" spans="6:26" ht="12.5" x14ac:dyDescent="0.25">
      <c r="F620" s="88"/>
      <c r="G620" s="91"/>
      <c r="H620" s="91"/>
      <c r="I620" s="88"/>
      <c r="J620" s="91"/>
      <c r="K620" s="88"/>
      <c r="L620" s="88"/>
      <c r="M620" s="91"/>
      <c r="N620" s="88"/>
      <c r="O620" s="91"/>
      <c r="P620" s="91"/>
      <c r="Q620" s="88"/>
      <c r="R620" s="91"/>
      <c r="S620" s="91"/>
      <c r="T620" s="88"/>
      <c r="U620" s="88"/>
      <c r="V620" s="88"/>
      <c r="Y620" s="91"/>
      <c r="Z620" s="88"/>
    </row>
    <row r="621" spans="6:26" ht="12.5" x14ac:dyDescent="0.25">
      <c r="F621" s="88"/>
      <c r="G621" s="91"/>
      <c r="H621" s="91"/>
      <c r="I621" s="88"/>
      <c r="J621" s="91"/>
      <c r="K621" s="88"/>
      <c r="L621" s="88"/>
      <c r="M621" s="91"/>
      <c r="N621" s="88"/>
      <c r="O621" s="91"/>
      <c r="P621" s="91"/>
      <c r="Q621" s="88"/>
      <c r="R621" s="91"/>
      <c r="S621" s="91"/>
      <c r="T621" s="88"/>
      <c r="U621" s="88"/>
      <c r="V621" s="88"/>
      <c r="Y621" s="91"/>
      <c r="Z621" s="88"/>
    </row>
    <row r="622" spans="6:26" ht="12.5" x14ac:dyDescent="0.25">
      <c r="F622" s="88"/>
      <c r="G622" s="91"/>
      <c r="H622" s="91"/>
      <c r="I622" s="88"/>
      <c r="J622" s="91"/>
      <c r="K622" s="88"/>
      <c r="L622" s="88"/>
      <c r="M622" s="91"/>
      <c r="N622" s="88"/>
      <c r="O622" s="91"/>
      <c r="P622" s="91"/>
      <c r="Q622" s="88"/>
      <c r="R622" s="91"/>
      <c r="S622" s="91"/>
      <c r="T622" s="88"/>
      <c r="U622" s="88"/>
      <c r="V622" s="88"/>
      <c r="Y622" s="91"/>
      <c r="Z622" s="88"/>
    </row>
    <row r="623" spans="6:26" ht="12.5" x14ac:dyDescent="0.25">
      <c r="F623" s="88"/>
      <c r="G623" s="91"/>
      <c r="H623" s="91"/>
      <c r="I623" s="88"/>
      <c r="J623" s="91"/>
      <c r="K623" s="88"/>
      <c r="L623" s="88"/>
      <c r="M623" s="91"/>
      <c r="N623" s="88"/>
      <c r="O623" s="91"/>
      <c r="P623" s="91"/>
      <c r="Q623" s="88"/>
      <c r="R623" s="91"/>
      <c r="S623" s="91"/>
      <c r="T623" s="88"/>
      <c r="U623" s="88"/>
      <c r="V623" s="88"/>
      <c r="Y623" s="91"/>
      <c r="Z623" s="88"/>
    </row>
    <row r="624" spans="6:26" ht="12.5" x14ac:dyDescent="0.25">
      <c r="F624" s="88"/>
      <c r="G624" s="91"/>
      <c r="H624" s="91"/>
      <c r="I624" s="88"/>
      <c r="J624" s="91"/>
      <c r="K624" s="88"/>
      <c r="L624" s="88"/>
      <c r="M624" s="91"/>
      <c r="N624" s="88"/>
      <c r="O624" s="91"/>
      <c r="P624" s="91"/>
      <c r="Q624" s="88"/>
      <c r="R624" s="91"/>
      <c r="S624" s="91"/>
      <c r="T624" s="88"/>
      <c r="U624" s="88"/>
      <c r="V624" s="88"/>
      <c r="Y624" s="91"/>
      <c r="Z624" s="88"/>
    </row>
    <row r="625" spans="6:26" ht="12.5" x14ac:dyDescent="0.25">
      <c r="F625" s="88"/>
      <c r="G625" s="91"/>
      <c r="H625" s="91"/>
      <c r="I625" s="88"/>
      <c r="J625" s="91"/>
      <c r="K625" s="88"/>
      <c r="L625" s="88"/>
      <c r="M625" s="91"/>
      <c r="N625" s="88"/>
      <c r="O625" s="91"/>
      <c r="P625" s="91"/>
      <c r="Q625" s="88"/>
      <c r="R625" s="91"/>
      <c r="S625" s="91"/>
      <c r="T625" s="88"/>
      <c r="U625" s="88"/>
      <c r="V625" s="88"/>
      <c r="Y625" s="91"/>
      <c r="Z625" s="88"/>
    </row>
    <row r="626" spans="6:26" ht="12.5" x14ac:dyDescent="0.25">
      <c r="F626" s="88"/>
      <c r="G626" s="91"/>
      <c r="H626" s="91"/>
      <c r="I626" s="88"/>
      <c r="J626" s="91"/>
      <c r="K626" s="88"/>
      <c r="L626" s="88"/>
      <c r="M626" s="91"/>
      <c r="N626" s="88"/>
      <c r="O626" s="91"/>
      <c r="P626" s="91"/>
      <c r="Q626" s="88"/>
      <c r="R626" s="91"/>
      <c r="S626" s="91"/>
      <c r="T626" s="88"/>
      <c r="U626" s="88"/>
      <c r="V626" s="88"/>
      <c r="Y626" s="91"/>
      <c r="Z626" s="88"/>
    </row>
    <row r="627" spans="6:26" ht="12.5" x14ac:dyDescent="0.25">
      <c r="F627" s="88"/>
      <c r="G627" s="91"/>
      <c r="H627" s="91"/>
      <c r="I627" s="88"/>
      <c r="J627" s="91"/>
      <c r="K627" s="88"/>
      <c r="L627" s="88"/>
      <c r="M627" s="91"/>
      <c r="N627" s="88"/>
      <c r="O627" s="91"/>
      <c r="P627" s="91"/>
      <c r="Q627" s="88"/>
      <c r="R627" s="91"/>
      <c r="S627" s="91"/>
      <c r="T627" s="88"/>
      <c r="U627" s="88"/>
      <c r="V627" s="88"/>
      <c r="Y627" s="91"/>
      <c r="Z627" s="88"/>
    </row>
    <row r="628" spans="6:26" ht="12.5" x14ac:dyDescent="0.25">
      <c r="F628" s="88"/>
      <c r="G628" s="91"/>
      <c r="H628" s="91"/>
      <c r="I628" s="88"/>
      <c r="J628" s="91"/>
      <c r="K628" s="88"/>
      <c r="L628" s="88"/>
      <c r="M628" s="91"/>
      <c r="N628" s="88"/>
      <c r="O628" s="91"/>
      <c r="P628" s="91"/>
      <c r="Q628" s="88"/>
      <c r="R628" s="91"/>
      <c r="S628" s="91"/>
      <c r="T628" s="88"/>
      <c r="U628" s="88"/>
      <c r="V628" s="88"/>
      <c r="Y628" s="91"/>
      <c r="Z628" s="88"/>
    </row>
    <row r="629" spans="6:26" ht="12.5" x14ac:dyDescent="0.25">
      <c r="F629" s="88"/>
      <c r="G629" s="91"/>
      <c r="H629" s="91"/>
      <c r="I629" s="88"/>
      <c r="J629" s="91"/>
      <c r="K629" s="88"/>
      <c r="L629" s="88"/>
      <c r="M629" s="91"/>
      <c r="N629" s="88"/>
      <c r="O629" s="91"/>
      <c r="P629" s="91"/>
      <c r="Q629" s="88"/>
      <c r="R629" s="91"/>
      <c r="S629" s="91"/>
      <c r="T629" s="88"/>
      <c r="U629" s="88"/>
      <c r="V629" s="88"/>
      <c r="Y629" s="91"/>
      <c r="Z629" s="88"/>
    </row>
    <row r="630" spans="6:26" ht="12.5" x14ac:dyDescent="0.25">
      <c r="F630" s="88"/>
      <c r="G630" s="91"/>
      <c r="H630" s="91"/>
      <c r="I630" s="88"/>
      <c r="J630" s="91"/>
      <c r="K630" s="88"/>
      <c r="L630" s="88"/>
      <c r="M630" s="91"/>
      <c r="N630" s="88"/>
      <c r="O630" s="91"/>
      <c r="P630" s="91"/>
      <c r="Q630" s="88"/>
      <c r="R630" s="91"/>
      <c r="S630" s="91"/>
      <c r="T630" s="88"/>
      <c r="U630" s="88"/>
      <c r="V630" s="88"/>
      <c r="Y630" s="91"/>
      <c r="Z630" s="88"/>
    </row>
    <row r="631" spans="6:26" ht="12.5" x14ac:dyDescent="0.25">
      <c r="F631" s="88"/>
      <c r="G631" s="91"/>
      <c r="H631" s="91"/>
      <c r="I631" s="88"/>
      <c r="J631" s="91"/>
      <c r="K631" s="88"/>
      <c r="L631" s="88"/>
      <c r="M631" s="91"/>
      <c r="N631" s="88"/>
      <c r="O631" s="91"/>
      <c r="P631" s="91"/>
      <c r="Q631" s="88"/>
      <c r="R631" s="91"/>
      <c r="S631" s="91"/>
      <c r="T631" s="88"/>
      <c r="U631" s="88"/>
      <c r="V631" s="88"/>
      <c r="Y631" s="91"/>
      <c r="Z631" s="88"/>
    </row>
    <row r="632" spans="6:26" ht="12.5" x14ac:dyDescent="0.25">
      <c r="F632" s="88"/>
      <c r="G632" s="91"/>
      <c r="H632" s="91"/>
      <c r="I632" s="88"/>
      <c r="J632" s="91"/>
      <c r="K632" s="88"/>
      <c r="L632" s="88"/>
      <c r="M632" s="91"/>
      <c r="N632" s="88"/>
      <c r="O632" s="91"/>
      <c r="P632" s="91"/>
      <c r="Q632" s="88"/>
      <c r="R632" s="91"/>
      <c r="S632" s="91"/>
      <c r="T632" s="88"/>
      <c r="U632" s="88"/>
      <c r="V632" s="88"/>
      <c r="Y632" s="91"/>
      <c r="Z632" s="88"/>
    </row>
    <row r="633" spans="6:26" ht="12.5" x14ac:dyDescent="0.25">
      <c r="F633" s="88"/>
      <c r="G633" s="91"/>
      <c r="H633" s="91"/>
      <c r="I633" s="88"/>
      <c r="J633" s="91"/>
      <c r="K633" s="88"/>
      <c r="L633" s="88"/>
      <c r="M633" s="91"/>
      <c r="N633" s="88"/>
      <c r="O633" s="91"/>
      <c r="P633" s="91"/>
      <c r="Q633" s="88"/>
      <c r="R633" s="91"/>
      <c r="S633" s="91"/>
      <c r="T633" s="88"/>
      <c r="U633" s="88"/>
      <c r="V633" s="88"/>
      <c r="Y633" s="91"/>
      <c r="Z633" s="88"/>
    </row>
    <row r="634" spans="6:26" ht="12.5" x14ac:dyDescent="0.25">
      <c r="F634" s="88"/>
      <c r="G634" s="91"/>
      <c r="H634" s="91"/>
      <c r="I634" s="88"/>
      <c r="J634" s="91"/>
      <c r="K634" s="88"/>
      <c r="L634" s="88"/>
      <c r="M634" s="91"/>
      <c r="N634" s="88"/>
      <c r="O634" s="91"/>
      <c r="P634" s="91"/>
      <c r="Q634" s="88"/>
      <c r="R634" s="91"/>
      <c r="S634" s="91"/>
      <c r="T634" s="88"/>
      <c r="U634" s="88"/>
      <c r="V634" s="88"/>
      <c r="Y634" s="91"/>
      <c r="Z634" s="88"/>
    </row>
    <row r="635" spans="6:26" ht="12.5" x14ac:dyDescent="0.25">
      <c r="F635" s="88"/>
      <c r="G635" s="91"/>
      <c r="H635" s="91"/>
      <c r="I635" s="88"/>
      <c r="J635" s="91"/>
      <c r="K635" s="88"/>
      <c r="L635" s="88"/>
      <c r="M635" s="91"/>
      <c r="N635" s="88"/>
      <c r="O635" s="91"/>
      <c r="P635" s="91"/>
      <c r="Q635" s="88"/>
      <c r="R635" s="91"/>
      <c r="S635" s="91"/>
      <c r="T635" s="88"/>
      <c r="U635" s="88"/>
      <c r="V635" s="88"/>
      <c r="Y635" s="91"/>
      <c r="Z635" s="88"/>
    </row>
    <row r="636" spans="6:26" ht="12.5" x14ac:dyDescent="0.25">
      <c r="F636" s="88"/>
      <c r="G636" s="91"/>
      <c r="H636" s="91"/>
      <c r="I636" s="88"/>
      <c r="J636" s="91"/>
      <c r="K636" s="88"/>
      <c r="L636" s="88"/>
      <c r="M636" s="91"/>
      <c r="N636" s="88"/>
      <c r="O636" s="91"/>
      <c r="P636" s="91"/>
      <c r="Q636" s="88"/>
      <c r="R636" s="91"/>
      <c r="S636" s="91"/>
      <c r="T636" s="88"/>
      <c r="U636" s="88"/>
      <c r="V636" s="88"/>
      <c r="Y636" s="91"/>
      <c r="Z636" s="88"/>
    </row>
    <row r="637" spans="6:26" ht="12.5" x14ac:dyDescent="0.25">
      <c r="F637" s="88"/>
      <c r="G637" s="91"/>
      <c r="H637" s="91"/>
      <c r="I637" s="88"/>
      <c r="J637" s="91"/>
      <c r="K637" s="88"/>
      <c r="L637" s="88"/>
      <c r="M637" s="91"/>
      <c r="N637" s="88"/>
      <c r="O637" s="91"/>
      <c r="P637" s="91"/>
      <c r="Q637" s="88"/>
      <c r="R637" s="91"/>
      <c r="S637" s="91"/>
      <c r="T637" s="88"/>
      <c r="U637" s="88"/>
      <c r="V637" s="88"/>
      <c r="Y637" s="91"/>
      <c r="Z637" s="88"/>
    </row>
    <row r="638" spans="6:26" ht="12.5" x14ac:dyDescent="0.25">
      <c r="F638" s="88"/>
      <c r="G638" s="91"/>
      <c r="H638" s="91"/>
      <c r="I638" s="88"/>
      <c r="J638" s="91"/>
      <c r="K638" s="88"/>
      <c r="L638" s="88"/>
      <c r="M638" s="91"/>
      <c r="N638" s="88"/>
      <c r="O638" s="91"/>
      <c r="P638" s="91"/>
      <c r="Q638" s="88"/>
      <c r="R638" s="91"/>
      <c r="S638" s="91"/>
      <c r="T638" s="88"/>
      <c r="U638" s="88"/>
      <c r="V638" s="88"/>
      <c r="Y638" s="91"/>
      <c r="Z638" s="88"/>
    </row>
    <row r="639" spans="6:26" ht="12.5" x14ac:dyDescent="0.25">
      <c r="F639" s="88"/>
      <c r="G639" s="91"/>
      <c r="H639" s="91"/>
      <c r="I639" s="88"/>
      <c r="J639" s="91"/>
      <c r="K639" s="88"/>
      <c r="L639" s="88"/>
      <c r="M639" s="91"/>
      <c r="N639" s="88"/>
      <c r="O639" s="91"/>
      <c r="P639" s="91"/>
      <c r="Q639" s="88"/>
      <c r="R639" s="91"/>
      <c r="S639" s="91"/>
      <c r="T639" s="88"/>
      <c r="U639" s="88"/>
      <c r="V639" s="88"/>
      <c r="Y639" s="91"/>
      <c r="Z639" s="88"/>
    </row>
    <row r="640" spans="6:26" ht="12.5" x14ac:dyDescent="0.25">
      <c r="F640" s="88"/>
      <c r="G640" s="91"/>
      <c r="H640" s="91"/>
      <c r="I640" s="88"/>
      <c r="J640" s="91"/>
      <c r="K640" s="88"/>
      <c r="L640" s="88"/>
      <c r="M640" s="91"/>
      <c r="N640" s="88"/>
      <c r="O640" s="91"/>
      <c r="P640" s="91"/>
      <c r="Q640" s="88"/>
      <c r="R640" s="91"/>
      <c r="S640" s="91"/>
      <c r="T640" s="88"/>
      <c r="U640" s="88"/>
      <c r="V640" s="88"/>
      <c r="Y640" s="91"/>
      <c r="Z640" s="88"/>
    </row>
    <row r="641" spans="6:26" ht="12.5" x14ac:dyDescent="0.25">
      <c r="F641" s="88"/>
      <c r="G641" s="91"/>
      <c r="H641" s="91"/>
      <c r="I641" s="88"/>
      <c r="J641" s="91"/>
      <c r="K641" s="88"/>
      <c r="L641" s="88"/>
      <c r="M641" s="91"/>
      <c r="N641" s="88"/>
      <c r="O641" s="91"/>
      <c r="P641" s="91"/>
      <c r="Q641" s="88"/>
      <c r="R641" s="91"/>
      <c r="S641" s="91"/>
      <c r="T641" s="88"/>
      <c r="U641" s="88"/>
      <c r="V641" s="88"/>
      <c r="Y641" s="91"/>
      <c r="Z641" s="88"/>
    </row>
    <row r="642" spans="6:26" ht="12.5" x14ac:dyDescent="0.25">
      <c r="F642" s="88"/>
      <c r="G642" s="91"/>
      <c r="H642" s="91"/>
      <c r="I642" s="88"/>
      <c r="J642" s="91"/>
      <c r="K642" s="88"/>
      <c r="L642" s="88"/>
      <c r="M642" s="91"/>
      <c r="N642" s="88"/>
      <c r="O642" s="91"/>
      <c r="P642" s="91"/>
      <c r="Q642" s="88"/>
      <c r="R642" s="91"/>
      <c r="S642" s="91"/>
      <c r="T642" s="88"/>
      <c r="U642" s="88"/>
      <c r="V642" s="88"/>
      <c r="Y642" s="91"/>
      <c r="Z642" s="88"/>
    </row>
    <row r="643" spans="6:26" ht="12.5" x14ac:dyDescent="0.25">
      <c r="F643" s="88"/>
      <c r="G643" s="91"/>
      <c r="H643" s="91"/>
      <c r="I643" s="88"/>
      <c r="J643" s="91"/>
      <c r="K643" s="88"/>
      <c r="L643" s="88"/>
      <c r="M643" s="91"/>
      <c r="N643" s="88"/>
      <c r="O643" s="91"/>
      <c r="P643" s="91"/>
      <c r="Q643" s="88"/>
      <c r="R643" s="91"/>
      <c r="S643" s="91"/>
      <c r="T643" s="88"/>
      <c r="U643" s="88"/>
      <c r="V643" s="88"/>
      <c r="Y643" s="91"/>
      <c r="Z643" s="88"/>
    </row>
    <row r="644" spans="6:26" ht="12.5" x14ac:dyDescent="0.25">
      <c r="F644" s="88"/>
      <c r="G644" s="91"/>
      <c r="H644" s="91"/>
      <c r="I644" s="88"/>
      <c r="J644" s="91"/>
      <c r="K644" s="88"/>
      <c r="L644" s="88"/>
      <c r="M644" s="91"/>
      <c r="N644" s="88"/>
      <c r="O644" s="91"/>
      <c r="P644" s="91"/>
      <c r="Q644" s="88"/>
      <c r="R644" s="91"/>
      <c r="S644" s="91"/>
      <c r="T644" s="88"/>
      <c r="U644" s="88"/>
      <c r="V644" s="88"/>
      <c r="Y644" s="91"/>
      <c r="Z644" s="88"/>
    </row>
    <row r="645" spans="6:26" ht="12.5" x14ac:dyDescent="0.25">
      <c r="F645" s="88"/>
      <c r="G645" s="91"/>
      <c r="H645" s="91"/>
      <c r="I645" s="88"/>
      <c r="J645" s="91"/>
      <c r="K645" s="88"/>
      <c r="L645" s="88"/>
      <c r="M645" s="91"/>
      <c r="N645" s="88"/>
      <c r="O645" s="91"/>
      <c r="P645" s="91"/>
      <c r="Q645" s="88"/>
      <c r="R645" s="91"/>
      <c r="S645" s="91"/>
      <c r="T645" s="88"/>
      <c r="U645" s="88"/>
      <c r="V645" s="88"/>
      <c r="Y645" s="91"/>
      <c r="Z645" s="88"/>
    </row>
    <row r="646" spans="6:26" ht="12.5" x14ac:dyDescent="0.25">
      <c r="F646" s="88"/>
      <c r="G646" s="91"/>
      <c r="H646" s="91"/>
      <c r="I646" s="88"/>
      <c r="J646" s="91"/>
      <c r="K646" s="88"/>
      <c r="L646" s="88"/>
      <c r="M646" s="91"/>
      <c r="N646" s="88"/>
      <c r="O646" s="91"/>
      <c r="P646" s="91"/>
      <c r="Q646" s="88"/>
      <c r="R646" s="91"/>
      <c r="S646" s="91"/>
      <c r="T646" s="88"/>
      <c r="U646" s="88"/>
      <c r="V646" s="88"/>
      <c r="Y646" s="91"/>
      <c r="Z646" s="88"/>
    </row>
    <row r="647" spans="6:26" ht="12.5" x14ac:dyDescent="0.25">
      <c r="F647" s="88"/>
      <c r="G647" s="91"/>
      <c r="H647" s="91"/>
      <c r="I647" s="88"/>
      <c r="J647" s="91"/>
      <c r="K647" s="88"/>
      <c r="L647" s="88"/>
      <c r="M647" s="91"/>
      <c r="N647" s="88"/>
      <c r="O647" s="91"/>
      <c r="P647" s="91"/>
      <c r="Q647" s="88"/>
      <c r="R647" s="91"/>
      <c r="S647" s="91"/>
      <c r="T647" s="88"/>
      <c r="U647" s="88"/>
      <c r="V647" s="88"/>
      <c r="Y647" s="91"/>
      <c r="Z647" s="88"/>
    </row>
    <row r="648" spans="6:26" ht="12.5" x14ac:dyDescent="0.25">
      <c r="F648" s="88"/>
      <c r="G648" s="91"/>
      <c r="H648" s="91"/>
      <c r="I648" s="88"/>
      <c r="J648" s="91"/>
      <c r="K648" s="88"/>
      <c r="L648" s="88"/>
      <c r="M648" s="91"/>
      <c r="N648" s="88"/>
      <c r="O648" s="91"/>
      <c r="P648" s="91"/>
      <c r="Q648" s="88"/>
      <c r="R648" s="91"/>
      <c r="S648" s="91"/>
      <c r="T648" s="88"/>
      <c r="U648" s="88"/>
      <c r="V648" s="88"/>
      <c r="Y648" s="91"/>
      <c r="Z648" s="88"/>
    </row>
    <row r="649" spans="6:26" ht="12.5" x14ac:dyDescent="0.25">
      <c r="F649" s="88"/>
      <c r="G649" s="91"/>
      <c r="H649" s="91"/>
      <c r="I649" s="88"/>
      <c r="J649" s="91"/>
      <c r="K649" s="88"/>
      <c r="L649" s="88"/>
      <c r="M649" s="91"/>
      <c r="N649" s="88"/>
      <c r="O649" s="91"/>
      <c r="P649" s="91"/>
      <c r="Q649" s="88"/>
      <c r="R649" s="91"/>
      <c r="S649" s="91"/>
      <c r="T649" s="88"/>
      <c r="U649" s="88"/>
      <c r="V649" s="88"/>
      <c r="Y649" s="91"/>
      <c r="Z649" s="88"/>
    </row>
    <row r="650" spans="6:26" ht="12.5" x14ac:dyDescent="0.25">
      <c r="F650" s="88"/>
      <c r="G650" s="91"/>
      <c r="H650" s="91"/>
      <c r="I650" s="88"/>
      <c r="J650" s="91"/>
      <c r="K650" s="88"/>
      <c r="L650" s="88"/>
      <c r="M650" s="91"/>
      <c r="N650" s="88"/>
      <c r="O650" s="91"/>
      <c r="P650" s="91"/>
      <c r="Q650" s="88"/>
      <c r="R650" s="91"/>
      <c r="S650" s="91"/>
      <c r="T650" s="88"/>
      <c r="U650" s="88"/>
      <c r="V650" s="88"/>
      <c r="Y650" s="91"/>
      <c r="Z650" s="88"/>
    </row>
    <row r="651" spans="6:26" ht="12.5" x14ac:dyDescent="0.25">
      <c r="F651" s="88"/>
      <c r="G651" s="91"/>
      <c r="H651" s="91"/>
      <c r="I651" s="88"/>
      <c r="J651" s="91"/>
      <c r="K651" s="88"/>
      <c r="L651" s="88"/>
      <c r="M651" s="91"/>
      <c r="N651" s="88"/>
      <c r="O651" s="91"/>
      <c r="P651" s="91"/>
      <c r="Q651" s="88"/>
      <c r="R651" s="91"/>
      <c r="S651" s="91"/>
      <c r="T651" s="88"/>
      <c r="U651" s="88"/>
      <c r="V651" s="88"/>
      <c r="Y651" s="91"/>
      <c r="Z651" s="88"/>
    </row>
    <row r="652" spans="6:26" ht="12.5" x14ac:dyDescent="0.25">
      <c r="F652" s="88"/>
      <c r="G652" s="91"/>
      <c r="H652" s="91"/>
      <c r="I652" s="88"/>
      <c r="J652" s="91"/>
      <c r="K652" s="88"/>
      <c r="L652" s="88"/>
      <c r="M652" s="91"/>
      <c r="N652" s="88"/>
      <c r="O652" s="91"/>
      <c r="P652" s="91"/>
      <c r="Q652" s="88"/>
      <c r="R652" s="91"/>
      <c r="S652" s="91"/>
      <c r="T652" s="88"/>
      <c r="U652" s="88"/>
      <c r="V652" s="88"/>
      <c r="Y652" s="91"/>
      <c r="Z652" s="88"/>
    </row>
    <row r="653" spans="6:26" ht="12.5" x14ac:dyDescent="0.25">
      <c r="F653" s="88"/>
      <c r="G653" s="91"/>
      <c r="H653" s="91"/>
      <c r="I653" s="88"/>
      <c r="J653" s="91"/>
      <c r="K653" s="88"/>
      <c r="L653" s="88"/>
      <c r="M653" s="91"/>
      <c r="N653" s="88"/>
      <c r="O653" s="91"/>
      <c r="P653" s="91"/>
      <c r="Q653" s="88"/>
      <c r="R653" s="91"/>
      <c r="S653" s="91"/>
      <c r="T653" s="88"/>
      <c r="U653" s="88"/>
      <c r="V653" s="88"/>
      <c r="Y653" s="91"/>
      <c r="Z653" s="88"/>
    </row>
    <row r="654" spans="6:26" ht="12.5" x14ac:dyDescent="0.25">
      <c r="F654" s="88"/>
      <c r="G654" s="91"/>
      <c r="H654" s="91"/>
      <c r="I654" s="88"/>
      <c r="J654" s="91"/>
      <c r="K654" s="88"/>
      <c r="L654" s="88"/>
      <c r="M654" s="91"/>
      <c r="N654" s="88"/>
      <c r="O654" s="91"/>
      <c r="P654" s="91"/>
      <c r="Q654" s="88"/>
      <c r="R654" s="91"/>
      <c r="S654" s="91"/>
      <c r="T654" s="88"/>
      <c r="U654" s="88"/>
      <c r="V654" s="88"/>
      <c r="Y654" s="91"/>
      <c r="Z654" s="88"/>
    </row>
    <row r="655" spans="6:26" ht="12.5" x14ac:dyDescent="0.25">
      <c r="F655" s="88"/>
      <c r="G655" s="91"/>
      <c r="H655" s="91"/>
      <c r="I655" s="88"/>
      <c r="J655" s="91"/>
      <c r="K655" s="88"/>
      <c r="L655" s="88"/>
      <c r="M655" s="91"/>
      <c r="N655" s="88"/>
      <c r="O655" s="91"/>
      <c r="P655" s="91"/>
      <c r="Q655" s="88"/>
      <c r="R655" s="91"/>
      <c r="S655" s="91"/>
      <c r="T655" s="88"/>
      <c r="U655" s="88"/>
      <c r="V655" s="88"/>
      <c r="Y655" s="91"/>
      <c r="Z655" s="88"/>
    </row>
    <row r="656" spans="6:26" ht="12.5" x14ac:dyDescent="0.25">
      <c r="F656" s="88"/>
      <c r="G656" s="91"/>
      <c r="H656" s="91"/>
      <c r="I656" s="88"/>
      <c r="J656" s="91"/>
      <c r="K656" s="88"/>
      <c r="L656" s="88"/>
      <c r="M656" s="91"/>
      <c r="N656" s="88"/>
      <c r="O656" s="91"/>
      <c r="P656" s="91"/>
      <c r="Q656" s="88"/>
      <c r="R656" s="91"/>
      <c r="S656" s="91"/>
      <c r="T656" s="88"/>
      <c r="U656" s="88"/>
      <c r="V656" s="88"/>
      <c r="Y656" s="91"/>
      <c r="Z656" s="88"/>
    </row>
    <row r="657" spans="6:26" ht="12.5" x14ac:dyDescent="0.25">
      <c r="F657" s="88"/>
      <c r="G657" s="91"/>
      <c r="H657" s="91"/>
      <c r="I657" s="88"/>
      <c r="J657" s="91"/>
      <c r="K657" s="88"/>
      <c r="L657" s="88"/>
      <c r="M657" s="91"/>
      <c r="N657" s="88"/>
      <c r="O657" s="91"/>
      <c r="P657" s="91"/>
      <c r="Q657" s="88"/>
      <c r="R657" s="91"/>
      <c r="S657" s="91"/>
      <c r="T657" s="88"/>
      <c r="U657" s="88"/>
      <c r="V657" s="88"/>
      <c r="Y657" s="91"/>
      <c r="Z657" s="88"/>
    </row>
    <row r="658" spans="6:26" ht="12.5" x14ac:dyDescent="0.25">
      <c r="F658" s="88"/>
      <c r="G658" s="91"/>
      <c r="H658" s="91"/>
      <c r="I658" s="88"/>
      <c r="J658" s="91"/>
      <c r="K658" s="88"/>
      <c r="L658" s="88"/>
      <c r="M658" s="91"/>
      <c r="N658" s="88"/>
      <c r="O658" s="91"/>
      <c r="P658" s="91"/>
      <c r="Q658" s="88"/>
      <c r="R658" s="91"/>
      <c r="S658" s="91"/>
      <c r="T658" s="88"/>
      <c r="U658" s="88"/>
      <c r="V658" s="88"/>
      <c r="Y658" s="91"/>
      <c r="Z658" s="88"/>
    </row>
    <row r="659" spans="6:26" ht="12.5" x14ac:dyDescent="0.25">
      <c r="F659" s="88"/>
      <c r="G659" s="91"/>
      <c r="H659" s="91"/>
      <c r="I659" s="88"/>
      <c r="J659" s="91"/>
      <c r="K659" s="88"/>
      <c r="L659" s="88"/>
      <c r="M659" s="91"/>
      <c r="N659" s="88"/>
      <c r="O659" s="91"/>
      <c r="P659" s="91"/>
      <c r="Q659" s="88"/>
      <c r="R659" s="91"/>
      <c r="S659" s="91"/>
      <c r="T659" s="88"/>
      <c r="U659" s="88"/>
      <c r="V659" s="88"/>
      <c r="Y659" s="91"/>
      <c r="Z659" s="88"/>
    </row>
    <row r="660" spans="6:26" ht="12.5" x14ac:dyDescent="0.25">
      <c r="F660" s="88"/>
      <c r="G660" s="91"/>
      <c r="H660" s="91"/>
      <c r="I660" s="88"/>
      <c r="J660" s="91"/>
      <c r="K660" s="88"/>
      <c r="L660" s="88"/>
      <c r="M660" s="91"/>
      <c r="N660" s="88"/>
      <c r="O660" s="91"/>
      <c r="P660" s="91"/>
      <c r="Q660" s="88"/>
      <c r="R660" s="91"/>
      <c r="S660" s="91"/>
      <c r="T660" s="88"/>
      <c r="U660" s="88"/>
      <c r="V660" s="88"/>
      <c r="Y660" s="91"/>
      <c r="Z660" s="88"/>
    </row>
    <row r="661" spans="6:26" ht="12.5" x14ac:dyDescent="0.25">
      <c r="F661" s="88"/>
      <c r="G661" s="91"/>
      <c r="H661" s="91"/>
      <c r="I661" s="88"/>
      <c r="J661" s="91"/>
      <c r="K661" s="88"/>
      <c r="L661" s="88"/>
      <c r="M661" s="91"/>
      <c r="N661" s="88"/>
      <c r="O661" s="91"/>
      <c r="P661" s="91"/>
      <c r="Q661" s="88"/>
      <c r="R661" s="91"/>
      <c r="S661" s="91"/>
      <c r="T661" s="88"/>
      <c r="U661" s="88"/>
      <c r="V661" s="88"/>
      <c r="Y661" s="91"/>
      <c r="Z661" s="88"/>
    </row>
    <row r="662" spans="6:26" ht="12.5" x14ac:dyDescent="0.25">
      <c r="F662" s="88"/>
      <c r="G662" s="91"/>
      <c r="H662" s="91"/>
      <c r="I662" s="88"/>
      <c r="J662" s="91"/>
      <c r="K662" s="88"/>
      <c r="L662" s="88"/>
      <c r="M662" s="91"/>
      <c r="N662" s="88"/>
      <c r="O662" s="91"/>
      <c r="P662" s="91"/>
      <c r="Q662" s="88"/>
      <c r="R662" s="91"/>
      <c r="S662" s="91"/>
      <c r="T662" s="88"/>
      <c r="U662" s="88"/>
      <c r="V662" s="88"/>
      <c r="Y662" s="91"/>
      <c r="Z662" s="88"/>
    </row>
    <row r="663" spans="6:26" ht="12.5" x14ac:dyDescent="0.25">
      <c r="F663" s="88"/>
      <c r="G663" s="91"/>
      <c r="H663" s="91"/>
      <c r="I663" s="88"/>
      <c r="J663" s="91"/>
      <c r="K663" s="88"/>
      <c r="L663" s="88"/>
      <c r="M663" s="91"/>
      <c r="N663" s="88"/>
      <c r="O663" s="91"/>
      <c r="P663" s="91"/>
      <c r="Q663" s="88"/>
      <c r="R663" s="91"/>
      <c r="S663" s="91"/>
      <c r="T663" s="88"/>
      <c r="U663" s="88"/>
      <c r="V663" s="88"/>
      <c r="Y663" s="91"/>
      <c r="Z663" s="88"/>
    </row>
    <row r="664" spans="6:26" ht="12.5" x14ac:dyDescent="0.25">
      <c r="F664" s="88"/>
      <c r="G664" s="91"/>
      <c r="H664" s="91"/>
      <c r="I664" s="88"/>
      <c r="J664" s="91"/>
      <c r="K664" s="88"/>
      <c r="L664" s="88"/>
      <c r="M664" s="91"/>
      <c r="N664" s="88"/>
      <c r="O664" s="91"/>
      <c r="P664" s="91"/>
      <c r="Q664" s="88"/>
      <c r="R664" s="91"/>
      <c r="S664" s="91"/>
      <c r="T664" s="88"/>
      <c r="U664" s="88"/>
      <c r="V664" s="88"/>
      <c r="Y664" s="91"/>
      <c r="Z664" s="88"/>
    </row>
    <row r="665" spans="6:26" ht="12.5" x14ac:dyDescent="0.25">
      <c r="F665" s="88"/>
      <c r="G665" s="91"/>
      <c r="H665" s="91"/>
      <c r="I665" s="88"/>
      <c r="J665" s="91"/>
      <c r="K665" s="88"/>
      <c r="L665" s="88"/>
      <c r="M665" s="91"/>
      <c r="N665" s="88"/>
      <c r="O665" s="91"/>
      <c r="P665" s="91"/>
      <c r="Q665" s="88"/>
      <c r="R665" s="91"/>
      <c r="S665" s="91"/>
      <c r="T665" s="88"/>
      <c r="U665" s="88"/>
      <c r="V665" s="88"/>
      <c r="Y665" s="91"/>
      <c r="Z665" s="88"/>
    </row>
    <row r="666" spans="6:26" ht="12.5" x14ac:dyDescent="0.25">
      <c r="F666" s="88"/>
      <c r="G666" s="91"/>
      <c r="H666" s="91"/>
      <c r="I666" s="88"/>
      <c r="J666" s="91"/>
      <c r="K666" s="88"/>
      <c r="L666" s="88"/>
      <c r="M666" s="91"/>
      <c r="N666" s="88"/>
      <c r="O666" s="91"/>
      <c r="P666" s="91"/>
      <c r="Q666" s="88"/>
      <c r="R666" s="91"/>
      <c r="S666" s="91"/>
      <c r="T666" s="88"/>
      <c r="U666" s="88"/>
      <c r="V666" s="88"/>
      <c r="Y666" s="91"/>
      <c r="Z666" s="88"/>
    </row>
    <row r="667" spans="6:26" ht="12.5" x14ac:dyDescent="0.25">
      <c r="F667" s="88"/>
      <c r="G667" s="91"/>
      <c r="H667" s="91"/>
      <c r="I667" s="88"/>
      <c r="J667" s="91"/>
      <c r="K667" s="88"/>
      <c r="L667" s="88"/>
      <c r="M667" s="91"/>
      <c r="N667" s="88"/>
      <c r="O667" s="91"/>
      <c r="P667" s="91"/>
      <c r="Q667" s="88"/>
      <c r="R667" s="91"/>
      <c r="S667" s="91"/>
      <c r="T667" s="88"/>
      <c r="U667" s="88"/>
      <c r="V667" s="88"/>
      <c r="Y667" s="91"/>
      <c r="Z667" s="88"/>
    </row>
    <row r="668" spans="6:26" ht="12.5" x14ac:dyDescent="0.25">
      <c r="F668" s="88"/>
      <c r="G668" s="91"/>
      <c r="H668" s="91"/>
      <c r="I668" s="88"/>
      <c r="J668" s="91"/>
      <c r="K668" s="88"/>
      <c r="L668" s="88"/>
      <c r="M668" s="91"/>
      <c r="N668" s="88"/>
      <c r="O668" s="91"/>
      <c r="P668" s="91"/>
      <c r="Q668" s="88"/>
      <c r="R668" s="91"/>
      <c r="S668" s="91"/>
      <c r="T668" s="88"/>
      <c r="U668" s="88"/>
      <c r="V668" s="88"/>
      <c r="Y668" s="91"/>
      <c r="Z668" s="88"/>
    </row>
    <row r="669" spans="6:26" ht="12.5" x14ac:dyDescent="0.25">
      <c r="F669" s="88"/>
      <c r="G669" s="91"/>
      <c r="H669" s="91"/>
      <c r="I669" s="88"/>
      <c r="J669" s="91"/>
      <c r="K669" s="88"/>
      <c r="L669" s="88"/>
      <c r="M669" s="91"/>
      <c r="N669" s="88"/>
      <c r="O669" s="91"/>
      <c r="P669" s="91"/>
      <c r="Q669" s="88"/>
      <c r="R669" s="91"/>
      <c r="S669" s="91"/>
      <c r="T669" s="88"/>
      <c r="U669" s="88"/>
      <c r="V669" s="88"/>
      <c r="Y669" s="91"/>
      <c r="Z669" s="88"/>
    </row>
    <row r="670" spans="6:26" ht="12.5" x14ac:dyDescent="0.25">
      <c r="F670" s="88"/>
      <c r="G670" s="91"/>
      <c r="H670" s="91"/>
      <c r="I670" s="88"/>
      <c r="J670" s="91"/>
      <c r="K670" s="88"/>
      <c r="L670" s="88"/>
      <c r="M670" s="91"/>
      <c r="N670" s="88"/>
      <c r="O670" s="91"/>
      <c r="P670" s="91"/>
      <c r="Q670" s="88"/>
      <c r="R670" s="91"/>
      <c r="S670" s="91"/>
      <c r="T670" s="88"/>
      <c r="U670" s="88"/>
      <c r="V670" s="88"/>
      <c r="Y670" s="91"/>
      <c r="Z670" s="88"/>
    </row>
    <row r="671" spans="6:26" ht="12.5" x14ac:dyDescent="0.25">
      <c r="F671" s="88"/>
      <c r="G671" s="91"/>
      <c r="H671" s="91"/>
      <c r="I671" s="88"/>
      <c r="J671" s="91"/>
      <c r="K671" s="88"/>
      <c r="L671" s="88"/>
      <c r="M671" s="91"/>
      <c r="N671" s="88"/>
      <c r="O671" s="91"/>
      <c r="P671" s="91"/>
      <c r="Q671" s="88"/>
      <c r="R671" s="91"/>
      <c r="S671" s="91"/>
      <c r="T671" s="88"/>
      <c r="U671" s="88"/>
      <c r="V671" s="88"/>
      <c r="Y671" s="91"/>
      <c r="Z671" s="88"/>
    </row>
    <row r="672" spans="6:26" ht="12.5" x14ac:dyDescent="0.25">
      <c r="F672" s="88"/>
      <c r="G672" s="91"/>
      <c r="H672" s="91"/>
      <c r="I672" s="88"/>
      <c r="J672" s="91"/>
      <c r="K672" s="88"/>
      <c r="L672" s="88"/>
      <c r="M672" s="91"/>
      <c r="N672" s="88"/>
      <c r="O672" s="91"/>
      <c r="P672" s="91"/>
      <c r="Q672" s="88"/>
      <c r="R672" s="91"/>
      <c r="S672" s="91"/>
      <c r="T672" s="88"/>
      <c r="U672" s="88"/>
      <c r="V672" s="88"/>
      <c r="Y672" s="91"/>
      <c r="Z672" s="88"/>
    </row>
    <row r="673" spans="6:26" ht="12.5" x14ac:dyDescent="0.25">
      <c r="F673" s="88"/>
      <c r="G673" s="91"/>
      <c r="H673" s="91"/>
      <c r="I673" s="88"/>
      <c r="J673" s="91"/>
      <c r="K673" s="88"/>
      <c r="L673" s="88"/>
      <c r="M673" s="91"/>
      <c r="N673" s="88"/>
      <c r="O673" s="91"/>
      <c r="P673" s="91"/>
      <c r="Q673" s="88"/>
      <c r="R673" s="91"/>
      <c r="S673" s="91"/>
      <c r="T673" s="88"/>
      <c r="U673" s="88"/>
      <c r="V673" s="88"/>
      <c r="Y673" s="91"/>
      <c r="Z673" s="88"/>
    </row>
    <row r="674" spans="6:26" ht="12.5" x14ac:dyDescent="0.25">
      <c r="F674" s="88"/>
      <c r="G674" s="91"/>
      <c r="H674" s="91"/>
      <c r="I674" s="88"/>
      <c r="J674" s="91"/>
      <c r="K674" s="88"/>
      <c r="L674" s="88"/>
      <c r="M674" s="91"/>
      <c r="N674" s="88"/>
      <c r="O674" s="91"/>
      <c r="P674" s="91"/>
      <c r="Q674" s="88"/>
      <c r="R674" s="91"/>
      <c r="S674" s="91"/>
      <c r="T674" s="88"/>
      <c r="U674" s="88"/>
      <c r="V674" s="88"/>
      <c r="Y674" s="91"/>
      <c r="Z674" s="88"/>
    </row>
    <row r="675" spans="6:26" ht="12.5" x14ac:dyDescent="0.25">
      <c r="F675" s="88"/>
      <c r="G675" s="91"/>
      <c r="H675" s="91"/>
      <c r="I675" s="88"/>
      <c r="J675" s="91"/>
      <c r="K675" s="88"/>
      <c r="L675" s="88"/>
      <c r="M675" s="91"/>
      <c r="N675" s="88"/>
      <c r="O675" s="91"/>
      <c r="P675" s="91"/>
      <c r="Q675" s="88"/>
      <c r="R675" s="91"/>
      <c r="S675" s="91"/>
      <c r="T675" s="88"/>
      <c r="U675" s="88"/>
      <c r="V675" s="88"/>
      <c r="Y675" s="91"/>
      <c r="Z675" s="88"/>
    </row>
    <row r="676" spans="6:26" ht="12.5" x14ac:dyDescent="0.25">
      <c r="F676" s="88"/>
      <c r="G676" s="91"/>
      <c r="H676" s="91"/>
      <c r="I676" s="88"/>
      <c r="J676" s="91"/>
      <c r="K676" s="88"/>
      <c r="L676" s="88"/>
      <c r="M676" s="91"/>
      <c r="N676" s="88"/>
      <c r="O676" s="91"/>
      <c r="P676" s="91"/>
      <c r="Q676" s="88"/>
      <c r="R676" s="91"/>
      <c r="S676" s="91"/>
      <c r="T676" s="88"/>
      <c r="U676" s="88"/>
      <c r="V676" s="88"/>
      <c r="Y676" s="91"/>
      <c r="Z676" s="88"/>
    </row>
    <row r="677" spans="6:26" ht="12.5" x14ac:dyDescent="0.25">
      <c r="F677" s="88"/>
      <c r="G677" s="91"/>
      <c r="H677" s="91"/>
      <c r="I677" s="88"/>
      <c r="J677" s="91"/>
      <c r="K677" s="88"/>
      <c r="L677" s="88"/>
      <c r="M677" s="91"/>
      <c r="N677" s="88"/>
      <c r="O677" s="91"/>
      <c r="P677" s="91"/>
      <c r="Q677" s="88"/>
      <c r="R677" s="91"/>
      <c r="S677" s="91"/>
      <c r="T677" s="88"/>
      <c r="U677" s="88"/>
      <c r="V677" s="88"/>
      <c r="Y677" s="91"/>
      <c r="Z677" s="88"/>
    </row>
    <row r="678" spans="6:26" ht="12.5" x14ac:dyDescent="0.25">
      <c r="F678" s="88"/>
      <c r="G678" s="91"/>
      <c r="H678" s="91"/>
      <c r="I678" s="88"/>
      <c r="J678" s="91"/>
      <c r="K678" s="88"/>
      <c r="L678" s="88"/>
      <c r="M678" s="91"/>
      <c r="N678" s="88"/>
      <c r="O678" s="91"/>
      <c r="P678" s="91"/>
      <c r="Q678" s="88"/>
      <c r="R678" s="91"/>
      <c r="S678" s="91"/>
      <c r="T678" s="88"/>
      <c r="U678" s="88"/>
      <c r="V678" s="88"/>
      <c r="Y678" s="91"/>
      <c r="Z678" s="88"/>
    </row>
    <row r="679" spans="6:26" ht="12.5" x14ac:dyDescent="0.25">
      <c r="F679" s="88"/>
      <c r="G679" s="91"/>
      <c r="H679" s="91"/>
      <c r="I679" s="88"/>
      <c r="J679" s="91"/>
      <c r="K679" s="88"/>
      <c r="L679" s="88"/>
      <c r="M679" s="91"/>
      <c r="N679" s="88"/>
      <c r="O679" s="91"/>
      <c r="P679" s="91"/>
      <c r="Q679" s="88"/>
      <c r="R679" s="91"/>
      <c r="S679" s="91"/>
      <c r="T679" s="88"/>
      <c r="U679" s="88"/>
      <c r="V679" s="88"/>
      <c r="Y679" s="91"/>
      <c r="Z679" s="88"/>
    </row>
    <row r="680" spans="6:26" ht="12.5" x14ac:dyDescent="0.25">
      <c r="F680" s="88"/>
      <c r="G680" s="91"/>
      <c r="H680" s="91"/>
      <c r="I680" s="88"/>
      <c r="J680" s="91"/>
      <c r="K680" s="88"/>
      <c r="L680" s="88"/>
      <c r="M680" s="91"/>
      <c r="N680" s="88"/>
      <c r="O680" s="91"/>
      <c r="P680" s="91"/>
      <c r="Q680" s="88"/>
      <c r="R680" s="91"/>
      <c r="S680" s="91"/>
      <c r="T680" s="88"/>
      <c r="U680" s="88"/>
      <c r="V680" s="88"/>
      <c r="Y680" s="91"/>
      <c r="Z680" s="88"/>
    </row>
    <row r="681" spans="6:26" ht="12.5" x14ac:dyDescent="0.25">
      <c r="F681" s="88"/>
      <c r="G681" s="91"/>
      <c r="H681" s="91"/>
      <c r="I681" s="88"/>
      <c r="J681" s="91"/>
      <c r="K681" s="88"/>
      <c r="L681" s="88"/>
      <c r="M681" s="91"/>
      <c r="N681" s="88"/>
      <c r="O681" s="91"/>
      <c r="P681" s="91"/>
      <c r="Q681" s="88"/>
      <c r="R681" s="91"/>
      <c r="S681" s="91"/>
      <c r="T681" s="88"/>
      <c r="U681" s="88"/>
      <c r="V681" s="88"/>
      <c r="Y681" s="91"/>
      <c r="Z681" s="88"/>
    </row>
    <row r="682" spans="6:26" ht="12.5" x14ac:dyDescent="0.25">
      <c r="F682" s="88"/>
      <c r="G682" s="91"/>
      <c r="H682" s="91"/>
      <c r="I682" s="88"/>
      <c r="J682" s="91"/>
      <c r="K682" s="88"/>
      <c r="L682" s="88"/>
      <c r="M682" s="91"/>
      <c r="N682" s="88"/>
      <c r="O682" s="91"/>
      <c r="P682" s="91"/>
      <c r="Q682" s="88"/>
      <c r="R682" s="91"/>
      <c r="S682" s="91"/>
      <c r="T682" s="88"/>
      <c r="U682" s="88"/>
      <c r="V682" s="88"/>
      <c r="Y682" s="91"/>
      <c r="Z682" s="88"/>
    </row>
    <row r="683" spans="6:26" ht="12.5" x14ac:dyDescent="0.25">
      <c r="F683" s="88"/>
      <c r="G683" s="91"/>
      <c r="H683" s="91"/>
      <c r="I683" s="88"/>
      <c r="J683" s="91"/>
      <c r="K683" s="88"/>
      <c r="L683" s="88"/>
      <c r="M683" s="91"/>
      <c r="N683" s="88"/>
      <c r="O683" s="91"/>
      <c r="P683" s="91"/>
      <c r="Q683" s="88"/>
      <c r="R683" s="91"/>
      <c r="S683" s="91"/>
      <c r="T683" s="88"/>
      <c r="U683" s="88"/>
      <c r="V683" s="88"/>
      <c r="Y683" s="91"/>
      <c r="Z683" s="88"/>
    </row>
    <row r="684" spans="6:26" ht="12.5" x14ac:dyDescent="0.25">
      <c r="F684" s="88"/>
      <c r="G684" s="91"/>
      <c r="H684" s="91"/>
      <c r="I684" s="88"/>
      <c r="J684" s="91"/>
      <c r="K684" s="88"/>
      <c r="L684" s="88"/>
      <c r="M684" s="91"/>
      <c r="N684" s="88"/>
      <c r="O684" s="91"/>
      <c r="P684" s="91"/>
      <c r="Q684" s="88"/>
      <c r="R684" s="91"/>
      <c r="S684" s="91"/>
      <c r="T684" s="88"/>
      <c r="U684" s="88"/>
      <c r="V684" s="88"/>
      <c r="Y684" s="91"/>
      <c r="Z684" s="88"/>
    </row>
    <row r="685" spans="6:26" ht="12.5" x14ac:dyDescent="0.25">
      <c r="F685" s="88"/>
      <c r="G685" s="91"/>
      <c r="H685" s="91"/>
      <c r="I685" s="88"/>
      <c r="J685" s="91"/>
      <c r="K685" s="88"/>
      <c r="L685" s="88"/>
      <c r="M685" s="91"/>
      <c r="N685" s="88"/>
      <c r="O685" s="91"/>
      <c r="P685" s="91"/>
      <c r="Q685" s="88"/>
      <c r="R685" s="91"/>
      <c r="S685" s="91"/>
      <c r="T685" s="88"/>
      <c r="U685" s="88"/>
      <c r="V685" s="88"/>
      <c r="Y685" s="91"/>
      <c r="Z685" s="88"/>
    </row>
    <row r="686" spans="6:26" ht="12.5" x14ac:dyDescent="0.25">
      <c r="F686" s="88"/>
      <c r="G686" s="91"/>
      <c r="H686" s="91"/>
      <c r="I686" s="88"/>
      <c r="J686" s="91"/>
      <c r="K686" s="88"/>
      <c r="L686" s="88"/>
      <c r="M686" s="91"/>
      <c r="N686" s="88"/>
      <c r="O686" s="91"/>
      <c r="P686" s="91"/>
      <c r="Q686" s="88"/>
      <c r="R686" s="91"/>
      <c r="S686" s="91"/>
      <c r="T686" s="88"/>
      <c r="U686" s="88"/>
      <c r="V686" s="88"/>
      <c r="Y686" s="91"/>
      <c r="Z686" s="88"/>
    </row>
    <row r="687" spans="6:26" ht="12.5" x14ac:dyDescent="0.25">
      <c r="F687" s="88"/>
      <c r="G687" s="91"/>
      <c r="H687" s="91"/>
      <c r="I687" s="88"/>
      <c r="J687" s="91"/>
      <c r="K687" s="88"/>
      <c r="L687" s="88"/>
      <c r="M687" s="91"/>
      <c r="N687" s="88"/>
      <c r="O687" s="91"/>
      <c r="P687" s="91"/>
      <c r="Q687" s="88"/>
      <c r="R687" s="91"/>
      <c r="S687" s="91"/>
      <c r="T687" s="88"/>
      <c r="U687" s="88"/>
      <c r="V687" s="88"/>
      <c r="Y687" s="91"/>
      <c r="Z687" s="88"/>
    </row>
    <row r="688" spans="6:26" ht="12.5" x14ac:dyDescent="0.25">
      <c r="F688" s="88"/>
      <c r="G688" s="91"/>
      <c r="H688" s="91"/>
      <c r="I688" s="88"/>
      <c r="J688" s="91"/>
      <c r="K688" s="88"/>
      <c r="L688" s="88"/>
      <c r="M688" s="91"/>
      <c r="N688" s="88"/>
      <c r="O688" s="91"/>
      <c r="P688" s="91"/>
      <c r="Q688" s="88"/>
      <c r="R688" s="91"/>
      <c r="S688" s="91"/>
      <c r="T688" s="88"/>
      <c r="U688" s="88"/>
      <c r="V688" s="88"/>
      <c r="Y688" s="91"/>
      <c r="Z688" s="88"/>
    </row>
    <row r="689" spans="6:26" ht="12.5" x14ac:dyDescent="0.25">
      <c r="F689" s="88"/>
      <c r="G689" s="91"/>
      <c r="H689" s="91"/>
      <c r="I689" s="88"/>
      <c r="J689" s="91"/>
      <c r="K689" s="88"/>
      <c r="L689" s="88"/>
      <c r="M689" s="91"/>
      <c r="N689" s="88"/>
      <c r="O689" s="91"/>
      <c r="P689" s="91"/>
      <c r="Q689" s="88"/>
      <c r="R689" s="91"/>
      <c r="S689" s="91"/>
      <c r="T689" s="88"/>
      <c r="U689" s="88"/>
      <c r="V689" s="88"/>
      <c r="Y689" s="91"/>
      <c r="Z689" s="88"/>
    </row>
    <row r="690" spans="6:26" ht="12.5" x14ac:dyDescent="0.25">
      <c r="F690" s="88"/>
      <c r="G690" s="91"/>
      <c r="H690" s="91"/>
      <c r="I690" s="88"/>
      <c r="J690" s="91"/>
      <c r="K690" s="88"/>
      <c r="L690" s="88"/>
      <c r="M690" s="91"/>
      <c r="N690" s="88"/>
      <c r="O690" s="91"/>
      <c r="P690" s="91"/>
      <c r="Q690" s="88"/>
      <c r="R690" s="91"/>
      <c r="S690" s="91"/>
      <c r="T690" s="88"/>
      <c r="U690" s="88"/>
      <c r="V690" s="88"/>
      <c r="Y690" s="91"/>
      <c r="Z690" s="88"/>
    </row>
    <row r="691" spans="6:26" ht="12.5" x14ac:dyDescent="0.25">
      <c r="F691" s="88"/>
      <c r="G691" s="91"/>
      <c r="H691" s="91"/>
      <c r="I691" s="88"/>
      <c r="J691" s="91"/>
      <c r="K691" s="88"/>
      <c r="L691" s="88"/>
      <c r="M691" s="91"/>
      <c r="N691" s="88"/>
      <c r="O691" s="91"/>
      <c r="P691" s="91"/>
      <c r="Q691" s="88"/>
      <c r="R691" s="91"/>
      <c r="S691" s="91"/>
      <c r="T691" s="88"/>
      <c r="U691" s="88"/>
      <c r="V691" s="88"/>
      <c r="Y691" s="91"/>
      <c r="Z691" s="88"/>
    </row>
    <row r="692" spans="6:26" ht="12.5" x14ac:dyDescent="0.25">
      <c r="F692" s="88"/>
      <c r="G692" s="91"/>
      <c r="H692" s="91"/>
      <c r="I692" s="88"/>
      <c r="J692" s="91"/>
      <c r="K692" s="88"/>
      <c r="L692" s="88"/>
      <c r="M692" s="91"/>
      <c r="N692" s="88"/>
      <c r="O692" s="91"/>
      <c r="P692" s="91"/>
      <c r="Q692" s="88"/>
      <c r="R692" s="91"/>
      <c r="S692" s="91"/>
      <c r="T692" s="88"/>
      <c r="U692" s="88"/>
      <c r="V692" s="88"/>
      <c r="Y692" s="91"/>
      <c r="Z692" s="88"/>
    </row>
    <row r="693" spans="6:26" ht="12.5" x14ac:dyDescent="0.25">
      <c r="F693" s="88"/>
      <c r="G693" s="91"/>
      <c r="H693" s="91"/>
      <c r="I693" s="88"/>
      <c r="J693" s="91"/>
      <c r="K693" s="88"/>
      <c r="L693" s="88"/>
      <c r="M693" s="91"/>
      <c r="N693" s="88"/>
      <c r="O693" s="91"/>
      <c r="P693" s="91"/>
      <c r="Q693" s="88"/>
      <c r="R693" s="91"/>
      <c r="S693" s="91"/>
      <c r="T693" s="88"/>
      <c r="U693" s="88"/>
      <c r="V693" s="88"/>
      <c r="Y693" s="91"/>
      <c r="Z693" s="88"/>
    </row>
    <row r="694" spans="6:26" ht="12.5" x14ac:dyDescent="0.25">
      <c r="F694" s="88"/>
      <c r="G694" s="91"/>
      <c r="H694" s="91"/>
      <c r="I694" s="88"/>
      <c r="J694" s="91"/>
      <c r="K694" s="88"/>
      <c r="L694" s="88"/>
      <c r="M694" s="91"/>
      <c r="N694" s="88"/>
      <c r="O694" s="91"/>
      <c r="P694" s="91"/>
      <c r="Q694" s="88"/>
      <c r="R694" s="91"/>
      <c r="S694" s="91"/>
      <c r="T694" s="88"/>
      <c r="U694" s="88"/>
      <c r="V694" s="88"/>
      <c r="Y694" s="91"/>
      <c r="Z694" s="88"/>
    </row>
    <row r="695" spans="6:26" ht="12.5" x14ac:dyDescent="0.25">
      <c r="F695" s="88"/>
      <c r="G695" s="91"/>
      <c r="H695" s="91"/>
      <c r="I695" s="88"/>
      <c r="J695" s="91"/>
      <c r="K695" s="88"/>
      <c r="L695" s="88"/>
      <c r="M695" s="91"/>
      <c r="N695" s="88"/>
      <c r="O695" s="91"/>
      <c r="P695" s="91"/>
      <c r="Q695" s="88"/>
      <c r="R695" s="91"/>
      <c r="S695" s="91"/>
      <c r="T695" s="88"/>
      <c r="U695" s="88"/>
      <c r="V695" s="88"/>
      <c r="Y695" s="91"/>
      <c r="Z695" s="88"/>
    </row>
    <row r="696" spans="6:26" ht="12.5" x14ac:dyDescent="0.25">
      <c r="F696" s="88"/>
      <c r="G696" s="91"/>
      <c r="H696" s="91"/>
      <c r="I696" s="88"/>
      <c r="J696" s="91"/>
      <c r="K696" s="88"/>
      <c r="L696" s="88"/>
      <c r="M696" s="91"/>
      <c r="N696" s="88"/>
      <c r="O696" s="91"/>
      <c r="P696" s="91"/>
      <c r="Q696" s="88"/>
      <c r="R696" s="91"/>
      <c r="S696" s="91"/>
      <c r="T696" s="88"/>
      <c r="U696" s="88"/>
      <c r="V696" s="88"/>
      <c r="Y696" s="91"/>
      <c r="Z696" s="88"/>
    </row>
    <row r="697" spans="6:26" ht="12.5" x14ac:dyDescent="0.25">
      <c r="F697" s="88"/>
      <c r="G697" s="91"/>
      <c r="H697" s="91"/>
      <c r="I697" s="88"/>
      <c r="J697" s="91"/>
      <c r="K697" s="88"/>
      <c r="L697" s="88"/>
      <c r="M697" s="91"/>
      <c r="N697" s="88"/>
      <c r="O697" s="91"/>
      <c r="P697" s="91"/>
      <c r="Q697" s="88"/>
      <c r="R697" s="91"/>
      <c r="S697" s="91"/>
      <c r="T697" s="88"/>
      <c r="U697" s="88"/>
      <c r="V697" s="88"/>
      <c r="Y697" s="91"/>
      <c r="Z697" s="88"/>
    </row>
    <row r="698" spans="6:26" ht="12.5" x14ac:dyDescent="0.25">
      <c r="F698" s="88"/>
      <c r="G698" s="91"/>
      <c r="H698" s="91"/>
      <c r="I698" s="88"/>
      <c r="J698" s="91"/>
      <c r="K698" s="88"/>
      <c r="L698" s="88"/>
      <c r="M698" s="91"/>
      <c r="N698" s="88"/>
      <c r="O698" s="91"/>
      <c r="P698" s="91"/>
      <c r="Q698" s="88"/>
      <c r="R698" s="91"/>
      <c r="S698" s="91"/>
      <c r="T698" s="88"/>
      <c r="U698" s="88"/>
      <c r="V698" s="88"/>
      <c r="Y698" s="91"/>
      <c r="Z698" s="88"/>
    </row>
    <row r="699" spans="6:26" ht="12.5" x14ac:dyDescent="0.25">
      <c r="F699" s="88"/>
      <c r="G699" s="91"/>
      <c r="H699" s="91"/>
      <c r="I699" s="88"/>
      <c r="J699" s="91"/>
      <c r="K699" s="88"/>
      <c r="L699" s="88"/>
      <c r="M699" s="91"/>
      <c r="N699" s="88"/>
      <c r="O699" s="91"/>
      <c r="P699" s="91"/>
      <c r="Q699" s="88"/>
      <c r="R699" s="91"/>
      <c r="S699" s="91"/>
      <c r="T699" s="88"/>
      <c r="U699" s="88"/>
      <c r="V699" s="88"/>
      <c r="Y699" s="91"/>
      <c r="Z699" s="88"/>
    </row>
    <row r="700" spans="6:26" ht="12.5" x14ac:dyDescent="0.25">
      <c r="F700" s="88"/>
      <c r="G700" s="91"/>
      <c r="H700" s="91"/>
      <c r="I700" s="88"/>
      <c r="J700" s="91"/>
      <c r="K700" s="88"/>
      <c r="L700" s="88"/>
      <c r="M700" s="91"/>
      <c r="N700" s="88"/>
      <c r="O700" s="91"/>
      <c r="P700" s="91"/>
      <c r="Q700" s="88"/>
      <c r="R700" s="91"/>
      <c r="S700" s="91"/>
      <c r="T700" s="88"/>
      <c r="U700" s="88"/>
      <c r="V700" s="88"/>
      <c r="Y700" s="91"/>
      <c r="Z700" s="88"/>
    </row>
    <row r="701" spans="6:26" ht="12.5" x14ac:dyDescent="0.25">
      <c r="F701" s="88"/>
      <c r="G701" s="91"/>
      <c r="H701" s="91"/>
      <c r="I701" s="88"/>
      <c r="J701" s="91"/>
      <c r="K701" s="88"/>
      <c r="L701" s="88"/>
      <c r="M701" s="91"/>
      <c r="N701" s="88"/>
      <c r="O701" s="91"/>
      <c r="P701" s="91"/>
      <c r="Q701" s="88"/>
      <c r="R701" s="91"/>
      <c r="S701" s="91"/>
      <c r="T701" s="88"/>
      <c r="U701" s="88"/>
      <c r="V701" s="88"/>
      <c r="Y701" s="91"/>
      <c r="Z701" s="88"/>
    </row>
    <row r="702" spans="6:26" ht="12.5" x14ac:dyDescent="0.25">
      <c r="F702" s="88"/>
      <c r="G702" s="91"/>
      <c r="H702" s="91"/>
      <c r="I702" s="88"/>
      <c r="J702" s="91"/>
      <c r="K702" s="88"/>
      <c r="L702" s="88"/>
      <c r="M702" s="91"/>
      <c r="N702" s="88"/>
      <c r="O702" s="91"/>
      <c r="P702" s="91"/>
      <c r="Q702" s="88"/>
      <c r="R702" s="91"/>
      <c r="S702" s="91"/>
      <c r="T702" s="88"/>
      <c r="U702" s="88"/>
      <c r="V702" s="88"/>
      <c r="Y702" s="91"/>
      <c r="Z702" s="88"/>
    </row>
    <row r="703" spans="6:26" ht="12.5" x14ac:dyDescent="0.25">
      <c r="F703" s="88"/>
      <c r="G703" s="91"/>
      <c r="H703" s="91"/>
      <c r="I703" s="88"/>
      <c r="J703" s="91"/>
      <c r="K703" s="88"/>
      <c r="L703" s="88"/>
      <c r="M703" s="91"/>
      <c r="N703" s="88"/>
      <c r="O703" s="91"/>
      <c r="P703" s="91"/>
      <c r="Q703" s="88"/>
      <c r="R703" s="91"/>
      <c r="S703" s="91"/>
      <c r="T703" s="88"/>
      <c r="U703" s="88"/>
      <c r="V703" s="88"/>
      <c r="Y703" s="91"/>
      <c r="Z703" s="88"/>
    </row>
    <row r="704" spans="6:26" ht="12.5" x14ac:dyDescent="0.25">
      <c r="F704" s="88"/>
      <c r="G704" s="91"/>
      <c r="H704" s="91"/>
      <c r="I704" s="88"/>
      <c r="J704" s="91"/>
      <c r="K704" s="88"/>
      <c r="L704" s="88"/>
      <c r="M704" s="91"/>
      <c r="N704" s="88"/>
      <c r="O704" s="91"/>
      <c r="P704" s="91"/>
      <c r="Q704" s="88"/>
      <c r="R704" s="91"/>
      <c r="S704" s="91"/>
      <c r="T704" s="88"/>
      <c r="U704" s="88"/>
      <c r="V704" s="88"/>
      <c r="Y704" s="91"/>
      <c r="Z704" s="88"/>
    </row>
    <row r="705" spans="6:26" ht="12.5" x14ac:dyDescent="0.25">
      <c r="F705" s="88"/>
      <c r="G705" s="91"/>
      <c r="H705" s="91"/>
      <c r="I705" s="88"/>
      <c r="J705" s="91"/>
      <c r="K705" s="88"/>
      <c r="L705" s="88"/>
      <c r="M705" s="91"/>
      <c r="N705" s="88"/>
      <c r="O705" s="91"/>
      <c r="P705" s="91"/>
      <c r="Q705" s="88"/>
      <c r="R705" s="91"/>
      <c r="S705" s="91"/>
      <c r="T705" s="88"/>
      <c r="U705" s="88"/>
      <c r="V705" s="88"/>
      <c r="Y705" s="91"/>
      <c r="Z705" s="88"/>
    </row>
    <row r="706" spans="6:26" ht="12.5" x14ac:dyDescent="0.25">
      <c r="F706" s="88"/>
      <c r="G706" s="91"/>
      <c r="H706" s="91"/>
      <c r="I706" s="88"/>
      <c r="J706" s="91"/>
      <c r="K706" s="88"/>
      <c r="L706" s="88"/>
      <c r="M706" s="91"/>
      <c r="N706" s="88"/>
      <c r="O706" s="91"/>
      <c r="P706" s="91"/>
      <c r="Q706" s="88"/>
      <c r="R706" s="91"/>
      <c r="S706" s="91"/>
      <c r="T706" s="88"/>
      <c r="U706" s="88"/>
      <c r="V706" s="88"/>
      <c r="Y706" s="91"/>
      <c r="Z706" s="88"/>
    </row>
    <row r="707" spans="6:26" ht="12.5" x14ac:dyDescent="0.25">
      <c r="F707" s="88"/>
      <c r="G707" s="91"/>
      <c r="H707" s="91"/>
      <c r="I707" s="88"/>
      <c r="J707" s="91"/>
      <c r="K707" s="88"/>
      <c r="L707" s="88"/>
      <c r="M707" s="91"/>
      <c r="N707" s="88"/>
      <c r="O707" s="91"/>
      <c r="P707" s="91"/>
      <c r="Q707" s="88"/>
      <c r="R707" s="91"/>
      <c r="S707" s="91"/>
      <c r="T707" s="88"/>
      <c r="U707" s="88"/>
      <c r="V707" s="88"/>
      <c r="Y707" s="91"/>
      <c r="Z707" s="88"/>
    </row>
    <row r="708" spans="6:26" ht="12.5" x14ac:dyDescent="0.25">
      <c r="F708" s="88"/>
      <c r="G708" s="91"/>
      <c r="H708" s="91"/>
      <c r="I708" s="88"/>
      <c r="J708" s="91"/>
      <c r="K708" s="88"/>
      <c r="L708" s="88"/>
      <c r="M708" s="91"/>
      <c r="N708" s="88"/>
      <c r="O708" s="91"/>
      <c r="P708" s="91"/>
      <c r="Q708" s="88"/>
      <c r="R708" s="91"/>
      <c r="S708" s="91"/>
      <c r="T708" s="88"/>
      <c r="U708" s="88"/>
      <c r="V708" s="88"/>
      <c r="Y708" s="91"/>
      <c r="Z708" s="88"/>
    </row>
    <row r="709" spans="6:26" ht="12.5" x14ac:dyDescent="0.25">
      <c r="F709" s="88"/>
      <c r="G709" s="91"/>
      <c r="H709" s="91"/>
      <c r="I709" s="88"/>
      <c r="J709" s="91"/>
      <c r="K709" s="88"/>
      <c r="L709" s="88"/>
      <c r="M709" s="91"/>
      <c r="N709" s="88"/>
      <c r="O709" s="91"/>
      <c r="P709" s="91"/>
      <c r="Q709" s="88"/>
      <c r="R709" s="91"/>
      <c r="S709" s="91"/>
      <c r="T709" s="88"/>
      <c r="U709" s="88"/>
      <c r="V709" s="88"/>
      <c r="Y709" s="91"/>
      <c r="Z709" s="88"/>
    </row>
    <row r="710" spans="6:26" ht="12.5" x14ac:dyDescent="0.25">
      <c r="F710" s="88"/>
      <c r="G710" s="91"/>
      <c r="H710" s="91"/>
      <c r="I710" s="88"/>
      <c r="J710" s="91"/>
      <c r="K710" s="88"/>
      <c r="L710" s="88"/>
      <c r="M710" s="91"/>
      <c r="N710" s="88"/>
      <c r="O710" s="91"/>
      <c r="P710" s="91"/>
      <c r="Q710" s="88"/>
      <c r="R710" s="91"/>
      <c r="S710" s="91"/>
      <c r="T710" s="88"/>
      <c r="U710" s="88"/>
      <c r="V710" s="88"/>
      <c r="Y710" s="91"/>
      <c r="Z710" s="88"/>
    </row>
    <row r="711" spans="6:26" ht="12.5" x14ac:dyDescent="0.25">
      <c r="F711" s="88"/>
      <c r="G711" s="91"/>
      <c r="H711" s="91"/>
      <c r="I711" s="88"/>
      <c r="J711" s="91"/>
      <c r="K711" s="88"/>
      <c r="L711" s="88"/>
      <c r="M711" s="91"/>
      <c r="N711" s="88"/>
      <c r="O711" s="91"/>
      <c r="P711" s="91"/>
      <c r="Q711" s="88"/>
      <c r="R711" s="91"/>
      <c r="S711" s="91"/>
      <c r="T711" s="88"/>
      <c r="U711" s="88"/>
      <c r="V711" s="88"/>
      <c r="Y711" s="91"/>
      <c r="Z711" s="88"/>
    </row>
    <row r="712" spans="6:26" ht="12.5" x14ac:dyDescent="0.25">
      <c r="F712" s="88"/>
      <c r="G712" s="91"/>
      <c r="H712" s="91"/>
      <c r="I712" s="88"/>
      <c r="J712" s="91"/>
      <c r="K712" s="88"/>
      <c r="L712" s="88"/>
      <c r="M712" s="91"/>
      <c r="N712" s="88"/>
      <c r="O712" s="91"/>
      <c r="P712" s="91"/>
      <c r="Q712" s="88"/>
      <c r="R712" s="91"/>
      <c r="S712" s="91"/>
      <c r="T712" s="88"/>
      <c r="U712" s="88"/>
      <c r="V712" s="88"/>
      <c r="Y712" s="91"/>
      <c r="Z712" s="88"/>
    </row>
    <row r="713" spans="6:26" ht="12.5" x14ac:dyDescent="0.25">
      <c r="F713" s="88"/>
      <c r="G713" s="91"/>
      <c r="H713" s="91"/>
      <c r="I713" s="88"/>
      <c r="J713" s="91"/>
      <c r="K713" s="88"/>
      <c r="L713" s="88"/>
      <c r="M713" s="91"/>
      <c r="N713" s="88"/>
      <c r="O713" s="91"/>
      <c r="P713" s="91"/>
      <c r="Q713" s="88"/>
      <c r="R713" s="91"/>
      <c r="S713" s="91"/>
      <c r="T713" s="88"/>
      <c r="U713" s="88"/>
      <c r="V713" s="88"/>
      <c r="Y713" s="91"/>
      <c r="Z713" s="88"/>
    </row>
    <row r="714" spans="6:26" ht="12.5" x14ac:dyDescent="0.25">
      <c r="F714" s="88"/>
      <c r="G714" s="91"/>
      <c r="H714" s="91"/>
      <c r="I714" s="88"/>
      <c r="J714" s="91"/>
      <c r="K714" s="88"/>
      <c r="L714" s="88"/>
      <c r="M714" s="91"/>
      <c r="N714" s="88"/>
      <c r="O714" s="91"/>
      <c r="P714" s="91"/>
      <c r="Q714" s="88"/>
      <c r="R714" s="91"/>
      <c r="S714" s="91"/>
      <c r="T714" s="88"/>
      <c r="U714" s="88"/>
      <c r="V714" s="88"/>
      <c r="Y714" s="91"/>
      <c r="Z714" s="88"/>
    </row>
    <row r="715" spans="6:26" ht="12.5" x14ac:dyDescent="0.25">
      <c r="F715" s="88"/>
      <c r="G715" s="91"/>
      <c r="H715" s="91"/>
      <c r="I715" s="88"/>
      <c r="J715" s="91"/>
      <c r="K715" s="88"/>
      <c r="L715" s="88"/>
      <c r="M715" s="91"/>
      <c r="N715" s="88"/>
      <c r="O715" s="91"/>
      <c r="P715" s="91"/>
      <c r="Q715" s="88"/>
      <c r="R715" s="91"/>
      <c r="S715" s="91"/>
      <c r="T715" s="88"/>
      <c r="U715" s="88"/>
      <c r="V715" s="88"/>
      <c r="Y715" s="91"/>
      <c r="Z715" s="88"/>
    </row>
    <row r="716" spans="6:26" ht="12.5" x14ac:dyDescent="0.25">
      <c r="F716" s="88"/>
      <c r="G716" s="91"/>
      <c r="H716" s="91"/>
      <c r="I716" s="88"/>
      <c r="J716" s="91"/>
      <c r="K716" s="88"/>
      <c r="L716" s="88"/>
      <c r="M716" s="91"/>
      <c r="N716" s="88"/>
      <c r="O716" s="91"/>
      <c r="P716" s="91"/>
      <c r="Q716" s="88"/>
      <c r="R716" s="91"/>
      <c r="S716" s="91"/>
      <c r="T716" s="88"/>
      <c r="U716" s="88"/>
      <c r="V716" s="88"/>
      <c r="Y716" s="91"/>
      <c r="Z716" s="88"/>
    </row>
    <row r="717" spans="6:26" ht="12.5" x14ac:dyDescent="0.25">
      <c r="F717" s="88"/>
      <c r="G717" s="91"/>
      <c r="H717" s="91"/>
      <c r="I717" s="88"/>
      <c r="J717" s="91"/>
      <c r="K717" s="88"/>
      <c r="L717" s="88"/>
      <c r="M717" s="91"/>
      <c r="N717" s="88"/>
      <c r="O717" s="91"/>
      <c r="P717" s="91"/>
      <c r="Q717" s="88"/>
      <c r="R717" s="91"/>
      <c r="S717" s="91"/>
      <c r="T717" s="88"/>
      <c r="U717" s="88"/>
      <c r="V717" s="88"/>
      <c r="Y717" s="91"/>
      <c r="Z717" s="88"/>
    </row>
    <row r="718" spans="6:26" ht="12.5" x14ac:dyDescent="0.25">
      <c r="F718" s="88"/>
      <c r="G718" s="91"/>
      <c r="H718" s="91"/>
      <c r="I718" s="88"/>
      <c r="J718" s="91"/>
      <c r="K718" s="88"/>
      <c r="L718" s="88"/>
      <c r="M718" s="91"/>
      <c r="N718" s="88"/>
      <c r="O718" s="91"/>
      <c r="P718" s="91"/>
      <c r="Q718" s="88"/>
      <c r="R718" s="91"/>
      <c r="S718" s="91"/>
      <c r="T718" s="88"/>
      <c r="U718" s="88"/>
      <c r="V718" s="88"/>
      <c r="Y718" s="91"/>
      <c r="Z718" s="88"/>
    </row>
    <row r="719" spans="6:26" ht="12.5" x14ac:dyDescent="0.25">
      <c r="F719" s="88"/>
      <c r="G719" s="91"/>
      <c r="H719" s="91"/>
      <c r="I719" s="88"/>
      <c r="J719" s="91"/>
      <c r="K719" s="88"/>
      <c r="L719" s="88"/>
      <c r="M719" s="91"/>
      <c r="N719" s="88"/>
      <c r="O719" s="91"/>
      <c r="P719" s="91"/>
      <c r="Q719" s="88"/>
      <c r="R719" s="91"/>
      <c r="S719" s="91"/>
      <c r="T719" s="88"/>
      <c r="U719" s="88"/>
      <c r="V719" s="88"/>
      <c r="Y719" s="91"/>
      <c r="Z719" s="88"/>
    </row>
    <row r="720" spans="6:26" ht="12.5" x14ac:dyDescent="0.25">
      <c r="F720" s="88"/>
      <c r="G720" s="91"/>
      <c r="H720" s="91"/>
      <c r="I720" s="88"/>
      <c r="J720" s="91"/>
      <c r="K720" s="88"/>
      <c r="L720" s="88"/>
      <c r="M720" s="91"/>
      <c r="N720" s="88"/>
      <c r="O720" s="91"/>
      <c r="P720" s="91"/>
      <c r="Q720" s="88"/>
      <c r="R720" s="91"/>
      <c r="S720" s="91"/>
      <c r="T720" s="88"/>
      <c r="U720" s="88"/>
      <c r="V720" s="88"/>
      <c r="Y720" s="91"/>
      <c r="Z720" s="88"/>
    </row>
    <row r="721" spans="6:26" ht="12.5" x14ac:dyDescent="0.25">
      <c r="F721" s="88"/>
      <c r="G721" s="91"/>
      <c r="H721" s="91"/>
      <c r="I721" s="88"/>
      <c r="J721" s="91"/>
      <c r="K721" s="88"/>
      <c r="L721" s="88"/>
      <c r="M721" s="91"/>
      <c r="N721" s="88"/>
      <c r="O721" s="91"/>
      <c r="P721" s="91"/>
      <c r="Q721" s="88"/>
      <c r="R721" s="91"/>
      <c r="S721" s="91"/>
      <c r="T721" s="88"/>
      <c r="U721" s="88"/>
      <c r="V721" s="88"/>
      <c r="Y721" s="91"/>
      <c r="Z721" s="88"/>
    </row>
    <row r="722" spans="6:26" ht="12.5" x14ac:dyDescent="0.25">
      <c r="F722" s="88"/>
      <c r="G722" s="91"/>
      <c r="H722" s="91"/>
      <c r="I722" s="88"/>
      <c r="J722" s="91"/>
      <c r="K722" s="88"/>
      <c r="L722" s="88"/>
      <c r="M722" s="91"/>
      <c r="N722" s="88"/>
      <c r="O722" s="91"/>
      <c r="P722" s="91"/>
      <c r="Q722" s="88"/>
      <c r="R722" s="91"/>
      <c r="S722" s="91"/>
      <c r="T722" s="88"/>
      <c r="U722" s="88"/>
      <c r="V722" s="88"/>
      <c r="Y722" s="91"/>
      <c r="Z722" s="88"/>
    </row>
    <row r="723" spans="6:26" ht="12.5" x14ac:dyDescent="0.25">
      <c r="F723" s="88"/>
      <c r="G723" s="91"/>
      <c r="H723" s="91"/>
      <c r="I723" s="88"/>
      <c r="J723" s="91"/>
      <c r="K723" s="88"/>
      <c r="L723" s="88"/>
      <c r="M723" s="91"/>
      <c r="N723" s="88"/>
      <c r="O723" s="91"/>
      <c r="P723" s="91"/>
      <c r="Q723" s="88"/>
      <c r="R723" s="91"/>
      <c r="S723" s="91"/>
      <c r="T723" s="88"/>
      <c r="U723" s="88"/>
      <c r="V723" s="88"/>
      <c r="Y723" s="91"/>
      <c r="Z723" s="88"/>
    </row>
    <row r="724" spans="6:26" ht="12.5" x14ac:dyDescent="0.25">
      <c r="F724" s="88"/>
      <c r="G724" s="91"/>
      <c r="H724" s="91"/>
      <c r="I724" s="88"/>
      <c r="J724" s="91"/>
      <c r="K724" s="88"/>
      <c r="L724" s="88"/>
      <c r="M724" s="91"/>
      <c r="N724" s="88"/>
      <c r="O724" s="91"/>
      <c r="P724" s="91"/>
      <c r="Q724" s="88"/>
      <c r="R724" s="91"/>
      <c r="S724" s="91"/>
      <c r="T724" s="88"/>
      <c r="U724" s="88"/>
      <c r="V724" s="88"/>
      <c r="Y724" s="91"/>
      <c r="Z724" s="88"/>
    </row>
    <row r="725" spans="6:26" ht="12.5" x14ac:dyDescent="0.25">
      <c r="F725" s="88"/>
      <c r="G725" s="91"/>
      <c r="H725" s="91"/>
      <c r="I725" s="88"/>
      <c r="J725" s="91"/>
      <c r="K725" s="88"/>
      <c r="L725" s="88"/>
      <c r="M725" s="91"/>
      <c r="N725" s="88"/>
      <c r="O725" s="91"/>
      <c r="P725" s="91"/>
      <c r="Q725" s="88"/>
      <c r="R725" s="91"/>
      <c r="S725" s="91"/>
      <c r="T725" s="88"/>
      <c r="U725" s="88"/>
      <c r="V725" s="88"/>
      <c r="Y725" s="91"/>
      <c r="Z725" s="88"/>
    </row>
    <row r="726" spans="6:26" ht="12.5" x14ac:dyDescent="0.25">
      <c r="F726" s="88"/>
      <c r="G726" s="91"/>
      <c r="H726" s="91"/>
      <c r="I726" s="88"/>
      <c r="J726" s="91"/>
      <c r="K726" s="88"/>
      <c r="L726" s="88"/>
      <c r="M726" s="91"/>
      <c r="N726" s="88"/>
      <c r="O726" s="91"/>
      <c r="P726" s="91"/>
      <c r="Q726" s="88"/>
      <c r="R726" s="91"/>
      <c r="S726" s="91"/>
      <c r="T726" s="88"/>
      <c r="U726" s="88"/>
      <c r="V726" s="88"/>
      <c r="Y726" s="91"/>
      <c r="Z726" s="88"/>
    </row>
    <row r="727" spans="6:26" ht="12.5" x14ac:dyDescent="0.25">
      <c r="F727" s="88"/>
      <c r="G727" s="91"/>
      <c r="H727" s="91"/>
      <c r="I727" s="88"/>
      <c r="J727" s="91"/>
      <c r="K727" s="88"/>
      <c r="L727" s="88"/>
      <c r="M727" s="91"/>
      <c r="N727" s="88"/>
      <c r="O727" s="91"/>
      <c r="P727" s="91"/>
      <c r="Q727" s="88"/>
      <c r="R727" s="91"/>
      <c r="S727" s="91"/>
      <c r="T727" s="88"/>
      <c r="U727" s="88"/>
      <c r="V727" s="88"/>
      <c r="Y727" s="91"/>
      <c r="Z727" s="88"/>
    </row>
    <row r="728" spans="6:26" ht="12.5" x14ac:dyDescent="0.25">
      <c r="F728" s="88"/>
      <c r="G728" s="91"/>
      <c r="H728" s="91"/>
      <c r="I728" s="88"/>
      <c r="J728" s="91"/>
      <c r="K728" s="88"/>
      <c r="L728" s="88"/>
      <c r="M728" s="91"/>
      <c r="N728" s="88"/>
      <c r="O728" s="91"/>
      <c r="P728" s="91"/>
      <c r="Q728" s="88"/>
      <c r="R728" s="91"/>
      <c r="S728" s="91"/>
      <c r="T728" s="88"/>
      <c r="U728" s="88"/>
      <c r="V728" s="88"/>
      <c r="Y728" s="91"/>
      <c r="Z728" s="88"/>
    </row>
    <row r="729" spans="6:26" ht="12.5" x14ac:dyDescent="0.25">
      <c r="F729" s="88"/>
      <c r="G729" s="91"/>
      <c r="H729" s="91"/>
      <c r="I729" s="88"/>
      <c r="J729" s="91"/>
      <c r="K729" s="88"/>
      <c r="L729" s="88"/>
      <c r="M729" s="91"/>
      <c r="N729" s="88"/>
      <c r="O729" s="91"/>
      <c r="P729" s="91"/>
      <c r="Q729" s="88"/>
      <c r="R729" s="91"/>
      <c r="S729" s="91"/>
      <c r="T729" s="88"/>
      <c r="U729" s="88"/>
      <c r="V729" s="88"/>
      <c r="Y729" s="91"/>
      <c r="Z729" s="88"/>
    </row>
    <row r="730" spans="6:26" ht="12.5" x14ac:dyDescent="0.25">
      <c r="F730" s="88"/>
      <c r="G730" s="91"/>
      <c r="H730" s="91"/>
      <c r="I730" s="88"/>
      <c r="J730" s="91"/>
      <c r="K730" s="88"/>
      <c r="L730" s="88"/>
      <c r="M730" s="91"/>
      <c r="N730" s="88"/>
      <c r="O730" s="91"/>
      <c r="P730" s="91"/>
      <c r="Q730" s="88"/>
      <c r="R730" s="91"/>
      <c r="S730" s="91"/>
      <c r="T730" s="88"/>
      <c r="U730" s="88"/>
      <c r="V730" s="88"/>
      <c r="Y730" s="91"/>
      <c r="Z730" s="88"/>
    </row>
    <row r="731" spans="6:26" ht="12.5" x14ac:dyDescent="0.25">
      <c r="F731" s="88"/>
      <c r="G731" s="91"/>
      <c r="H731" s="91"/>
      <c r="I731" s="88"/>
      <c r="J731" s="91"/>
      <c r="K731" s="88"/>
      <c r="L731" s="88"/>
      <c r="M731" s="91"/>
      <c r="N731" s="88"/>
      <c r="O731" s="91"/>
      <c r="P731" s="91"/>
      <c r="Q731" s="88"/>
      <c r="R731" s="91"/>
      <c r="S731" s="91"/>
      <c r="T731" s="88"/>
      <c r="U731" s="88"/>
      <c r="V731" s="88"/>
      <c r="Y731" s="91"/>
      <c r="Z731" s="88"/>
    </row>
    <row r="732" spans="6:26" ht="12.5" x14ac:dyDescent="0.25">
      <c r="F732" s="88"/>
      <c r="G732" s="91"/>
      <c r="H732" s="91"/>
      <c r="I732" s="88"/>
      <c r="J732" s="91"/>
      <c r="K732" s="88"/>
      <c r="L732" s="88"/>
      <c r="M732" s="91"/>
      <c r="N732" s="88"/>
      <c r="O732" s="91"/>
      <c r="P732" s="91"/>
      <c r="Q732" s="88"/>
      <c r="R732" s="91"/>
      <c r="S732" s="91"/>
      <c r="T732" s="88"/>
      <c r="U732" s="88"/>
      <c r="V732" s="88"/>
      <c r="Y732" s="91"/>
      <c r="Z732" s="88"/>
    </row>
    <row r="733" spans="6:26" ht="12.5" x14ac:dyDescent="0.25">
      <c r="F733" s="88"/>
      <c r="G733" s="91"/>
      <c r="H733" s="91"/>
      <c r="I733" s="88"/>
      <c r="J733" s="91"/>
      <c r="K733" s="88"/>
      <c r="L733" s="88"/>
      <c r="M733" s="91"/>
      <c r="N733" s="88"/>
      <c r="O733" s="91"/>
      <c r="P733" s="91"/>
      <c r="Q733" s="88"/>
      <c r="R733" s="91"/>
      <c r="S733" s="91"/>
      <c r="T733" s="88"/>
      <c r="U733" s="88"/>
      <c r="V733" s="88"/>
      <c r="Y733" s="91"/>
      <c r="Z733" s="88"/>
    </row>
    <row r="734" spans="6:26" ht="12.5" x14ac:dyDescent="0.25">
      <c r="F734" s="88"/>
      <c r="G734" s="91"/>
      <c r="H734" s="91"/>
      <c r="I734" s="88"/>
      <c r="J734" s="91"/>
      <c r="K734" s="88"/>
      <c r="L734" s="88"/>
      <c r="M734" s="91"/>
      <c r="N734" s="88"/>
      <c r="O734" s="91"/>
      <c r="P734" s="91"/>
      <c r="Q734" s="88"/>
      <c r="R734" s="91"/>
      <c r="S734" s="91"/>
      <c r="T734" s="88"/>
      <c r="U734" s="88"/>
      <c r="V734" s="88"/>
      <c r="Y734" s="91"/>
      <c r="Z734" s="88"/>
    </row>
    <row r="735" spans="6:26" ht="12.5" x14ac:dyDescent="0.25">
      <c r="F735" s="88"/>
      <c r="G735" s="91"/>
      <c r="H735" s="91"/>
      <c r="I735" s="88"/>
      <c r="J735" s="91"/>
      <c r="K735" s="88"/>
      <c r="L735" s="88"/>
      <c r="M735" s="91"/>
      <c r="N735" s="88"/>
      <c r="O735" s="91"/>
      <c r="P735" s="91"/>
      <c r="Q735" s="88"/>
      <c r="R735" s="91"/>
      <c r="S735" s="91"/>
      <c r="T735" s="88"/>
      <c r="U735" s="88"/>
      <c r="V735" s="88"/>
      <c r="Y735" s="91"/>
      <c r="Z735" s="88"/>
    </row>
    <row r="736" spans="6:26" ht="12.5" x14ac:dyDescent="0.25">
      <c r="F736" s="88"/>
      <c r="G736" s="91"/>
      <c r="H736" s="91"/>
      <c r="I736" s="88"/>
      <c r="J736" s="91"/>
      <c r="K736" s="88"/>
      <c r="L736" s="88"/>
      <c r="M736" s="91"/>
      <c r="N736" s="88"/>
      <c r="O736" s="91"/>
      <c r="P736" s="91"/>
      <c r="Q736" s="88"/>
      <c r="R736" s="91"/>
      <c r="S736" s="91"/>
      <c r="T736" s="88"/>
      <c r="U736" s="88"/>
      <c r="V736" s="88"/>
      <c r="Y736" s="91"/>
      <c r="Z736" s="88"/>
    </row>
    <row r="737" spans="6:26" ht="12.5" x14ac:dyDescent="0.25">
      <c r="F737" s="88"/>
      <c r="G737" s="91"/>
      <c r="H737" s="91"/>
      <c r="I737" s="88"/>
      <c r="J737" s="91"/>
      <c r="K737" s="88"/>
      <c r="L737" s="88"/>
      <c r="M737" s="91"/>
      <c r="N737" s="88"/>
      <c r="O737" s="91"/>
      <c r="P737" s="91"/>
      <c r="Q737" s="88"/>
      <c r="R737" s="91"/>
      <c r="S737" s="91"/>
      <c r="T737" s="88"/>
      <c r="U737" s="88"/>
      <c r="V737" s="88"/>
      <c r="Y737" s="91"/>
      <c r="Z737" s="88"/>
    </row>
    <row r="738" spans="6:26" ht="12.5" x14ac:dyDescent="0.25">
      <c r="F738" s="88"/>
      <c r="G738" s="91"/>
      <c r="H738" s="91"/>
      <c r="I738" s="88"/>
      <c r="J738" s="91"/>
      <c r="K738" s="88"/>
      <c r="L738" s="88"/>
      <c r="M738" s="91"/>
      <c r="N738" s="88"/>
      <c r="O738" s="91"/>
      <c r="P738" s="91"/>
      <c r="Q738" s="88"/>
      <c r="R738" s="91"/>
      <c r="S738" s="91"/>
      <c r="T738" s="88"/>
      <c r="U738" s="88"/>
      <c r="V738" s="88"/>
      <c r="Y738" s="91"/>
      <c r="Z738" s="88"/>
    </row>
    <row r="739" spans="6:26" ht="12.5" x14ac:dyDescent="0.25">
      <c r="F739" s="88"/>
      <c r="G739" s="91"/>
      <c r="H739" s="91"/>
      <c r="I739" s="88"/>
      <c r="J739" s="91"/>
      <c r="K739" s="88"/>
      <c r="L739" s="88"/>
      <c r="M739" s="91"/>
      <c r="N739" s="88"/>
      <c r="O739" s="91"/>
      <c r="P739" s="91"/>
      <c r="Q739" s="88"/>
      <c r="R739" s="91"/>
      <c r="S739" s="91"/>
      <c r="T739" s="88"/>
      <c r="U739" s="88"/>
      <c r="V739" s="88"/>
      <c r="Y739" s="91"/>
      <c r="Z739" s="88"/>
    </row>
    <row r="740" spans="6:26" ht="12.5" x14ac:dyDescent="0.25">
      <c r="F740" s="88"/>
      <c r="G740" s="91"/>
      <c r="H740" s="91"/>
      <c r="I740" s="88"/>
      <c r="J740" s="91"/>
      <c r="K740" s="88"/>
      <c r="L740" s="88"/>
      <c r="M740" s="91"/>
      <c r="N740" s="88"/>
      <c r="O740" s="91"/>
      <c r="P740" s="91"/>
      <c r="Q740" s="88"/>
      <c r="R740" s="91"/>
      <c r="S740" s="91"/>
      <c r="T740" s="88"/>
      <c r="U740" s="88"/>
      <c r="V740" s="88"/>
      <c r="Y740" s="91"/>
      <c r="Z740" s="88"/>
    </row>
    <row r="741" spans="6:26" ht="12.5" x14ac:dyDescent="0.25">
      <c r="F741" s="88"/>
      <c r="G741" s="91"/>
      <c r="H741" s="91"/>
      <c r="I741" s="88"/>
      <c r="J741" s="91"/>
      <c r="K741" s="88"/>
      <c r="L741" s="88"/>
      <c r="M741" s="91"/>
      <c r="N741" s="88"/>
      <c r="O741" s="91"/>
      <c r="P741" s="91"/>
      <c r="Q741" s="88"/>
      <c r="R741" s="91"/>
      <c r="S741" s="91"/>
      <c r="T741" s="88"/>
      <c r="U741" s="88"/>
      <c r="V741" s="88"/>
      <c r="Y741" s="91"/>
      <c r="Z741" s="88"/>
    </row>
    <row r="742" spans="6:26" ht="12.5" x14ac:dyDescent="0.25">
      <c r="F742" s="88"/>
      <c r="G742" s="91"/>
      <c r="H742" s="91"/>
      <c r="I742" s="88"/>
      <c r="J742" s="91"/>
      <c r="K742" s="88"/>
      <c r="L742" s="88"/>
      <c r="M742" s="91"/>
      <c r="N742" s="88"/>
      <c r="O742" s="91"/>
      <c r="P742" s="91"/>
      <c r="Q742" s="88"/>
      <c r="R742" s="91"/>
      <c r="S742" s="91"/>
      <c r="T742" s="88"/>
      <c r="U742" s="88"/>
      <c r="V742" s="88"/>
      <c r="Y742" s="91"/>
      <c r="Z742" s="88"/>
    </row>
    <row r="743" spans="6:26" ht="12.5" x14ac:dyDescent="0.25">
      <c r="F743" s="88"/>
      <c r="G743" s="91"/>
      <c r="H743" s="91"/>
      <c r="I743" s="88"/>
      <c r="J743" s="91"/>
      <c r="K743" s="88"/>
      <c r="L743" s="88"/>
      <c r="M743" s="91"/>
      <c r="N743" s="88"/>
      <c r="O743" s="91"/>
      <c r="P743" s="91"/>
      <c r="Q743" s="88"/>
      <c r="R743" s="91"/>
      <c r="S743" s="91"/>
      <c r="T743" s="88"/>
      <c r="U743" s="88"/>
      <c r="V743" s="88"/>
      <c r="Y743" s="91"/>
      <c r="Z743" s="88"/>
    </row>
    <row r="744" spans="6:26" ht="12.5" x14ac:dyDescent="0.25">
      <c r="F744" s="88"/>
      <c r="G744" s="91"/>
      <c r="H744" s="91"/>
      <c r="I744" s="88"/>
      <c r="J744" s="91"/>
      <c r="K744" s="88"/>
      <c r="L744" s="88"/>
      <c r="M744" s="91"/>
      <c r="N744" s="88"/>
      <c r="O744" s="91"/>
      <c r="P744" s="91"/>
      <c r="Q744" s="88"/>
      <c r="R744" s="91"/>
      <c r="S744" s="91"/>
      <c r="T744" s="88"/>
      <c r="U744" s="88"/>
      <c r="V744" s="88"/>
      <c r="Y744" s="91"/>
      <c r="Z744" s="88"/>
    </row>
    <row r="745" spans="6:26" ht="12.5" x14ac:dyDescent="0.25">
      <c r="F745" s="88"/>
      <c r="G745" s="91"/>
      <c r="H745" s="91"/>
      <c r="I745" s="88"/>
      <c r="J745" s="91"/>
      <c r="K745" s="88"/>
      <c r="L745" s="88"/>
      <c r="M745" s="91"/>
      <c r="N745" s="88"/>
      <c r="O745" s="91"/>
      <c r="P745" s="91"/>
      <c r="Q745" s="88"/>
      <c r="R745" s="91"/>
      <c r="S745" s="91"/>
      <c r="T745" s="88"/>
      <c r="U745" s="88"/>
      <c r="V745" s="88"/>
      <c r="Y745" s="91"/>
      <c r="Z745" s="88"/>
    </row>
    <row r="746" spans="6:26" ht="12.5" x14ac:dyDescent="0.25">
      <c r="F746" s="88"/>
      <c r="G746" s="91"/>
      <c r="H746" s="91"/>
      <c r="I746" s="88"/>
      <c r="J746" s="91"/>
      <c r="K746" s="88"/>
      <c r="L746" s="88"/>
      <c r="M746" s="91"/>
      <c r="N746" s="88"/>
      <c r="O746" s="91"/>
      <c r="P746" s="91"/>
      <c r="Q746" s="88"/>
      <c r="R746" s="91"/>
      <c r="S746" s="91"/>
      <c r="T746" s="88"/>
      <c r="U746" s="88"/>
      <c r="V746" s="88"/>
      <c r="Y746" s="91"/>
      <c r="Z746" s="88"/>
    </row>
    <row r="747" spans="6:26" ht="12.5" x14ac:dyDescent="0.25">
      <c r="F747" s="88"/>
      <c r="G747" s="91"/>
      <c r="H747" s="91"/>
      <c r="I747" s="88"/>
      <c r="J747" s="91"/>
      <c r="K747" s="88"/>
      <c r="L747" s="88"/>
      <c r="M747" s="91"/>
      <c r="N747" s="88"/>
      <c r="O747" s="91"/>
      <c r="P747" s="91"/>
      <c r="Q747" s="88"/>
      <c r="R747" s="91"/>
      <c r="S747" s="91"/>
      <c r="T747" s="88"/>
      <c r="U747" s="88"/>
      <c r="V747" s="88"/>
      <c r="Y747" s="91"/>
      <c r="Z747" s="88"/>
    </row>
    <row r="748" spans="6:26" ht="12.5" x14ac:dyDescent="0.25">
      <c r="F748" s="88"/>
      <c r="G748" s="91"/>
      <c r="H748" s="91"/>
      <c r="I748" s="88"/>
      <c r="J748" s="91"/>
      <c r="K748" s="88"/>
      <c r="L748" s="88"/>
      <c r="M748" s="91"/>
      <c r="N748" s="88"/>
      <c r="O748" s="91"/>
      <c r="P748" s="91"/>
      <c r="Q748" s="88"/>
      <c r="R748" s="91"/>
      <c r="S748" s="91"/>
      <c r="T748" s="88"/>
      <c r="U748" s="88"/>
      <c r="V748" s="88"/>
      <c r="Y748" s="91"/>
      <c r="Z748" s="88"/>
    </row>
    <row r="749" spans="6:26" ht="12.5" x14ac:dyDescent="0.25">
      <c r="F749" s="88"/>
      <c r="G749" s="91"/>
      <c r="H749" s="91"/>
      <c r="I749" s="88"/>
      <c r="J749" s="91"/>
      <c r="K749" s="88"/>
      <c r="L749" s="88"/>
      <c r="M749" s="91"/>
      <c r="N749" s="88"/>
      <c r="O749" s="91"/>
      <c r="P749" s="91"/>
      <c r="Q749" s="88"/>
      <c r="R749" s="91"/>
      <c r="S749" s="91"/>
      <c r="T749" s="88"/>
      <c r="U749" s="88"/>
      <c r="V749" s="88"/>
      <c r="Y749" s="91"/>
      <c r="Z749" s="88"/>
    </row>
    <row r="750" spans="6:26" ht="12.5" x14ac:dyDescent="0.25">
      <c r="F750" s="88"/>
      <c r="G750" s="91"/>
      <c r="H750" s="91"/>
      <c r="I750" s="88"/>
      <c r="J750" s="91"/>
      <c r="K750" s="88"/>
      <c r="L750" s="88"/>
      <c r="M750" s="91"/>
      <c r="N750" s="88"/>
      <c r="O750" s="91"/>
      <c r="P750" s="91"/>
      <c r="Q750" s="88"/>
      <c r="R750" s="91"/>
      <c r="S750" s="91"/>
      <c r="T750" s="88"/>
      <c r="U750" s="88"/>
      <c r="V750" s="88"/>
      <c r="Y750" s="91"/>
      <c r="Z750" s="88"/>
    </row>
    <row r="751" spans="6:26" ht="12.5" x14ac:dyDescent="0.25">
      <c r="F751" s="88"/>
      <c r="G751" s="91"/>
      <c r="H751" s="91"/>
      <c r="I751" s="88"/>
      <c r="J751" s="91"/>
      <c r="K751" s="88"/>
      <c r="L751" s="88"/>
      <c r="M751" s="91"/>
      <c r="N751" s="88"/>
      <c r="O751" s="91"/>
      <c r="P751" s="91"/>
      <c r="Q751" s="88"/>
      <c r="R751" s="91"/>
      <c r="S751" s="91"/>
      <c r="T751" s="88"/>
      <c r="U751" s="88"/>
      <c r="V751" s="88"/>
      <c r="Y751" s="91"/>
      <c r="Z751" s="88"/>
    </row>
    <row r="752" spans="6:26" ht="12.5" x14ac:dyDescent="0.25">
      <c r="F752" s="88"/>
      <c r="G752" s="91"/>
      <c r="H752" s="91"/>
      <c r="I752" s="88"/>
      <c r="J752" s="91"/>
      <c r="K752" s="88"/>
      <c r="L752" s="88"/>
      <c r="M752" s="91"/>
      <c r="N752" s="88"/>
      <c r="O752" s="91"/>
      <c r="P752" s="91"/>
      <c r="Q752" s="88"/>
      <c r="R752" s="91"/>
      <c r="S752" s="91"/>
      <c r="T752" s="88"/>
      <c r="U752" s="88"/>
      <c r="V752" s="88"/>
      <c r="Y752" s="91"/>
      <c r="Z752" s="88"/>
    </row>
    <row r="753" spans="6:26" ht="12.5" x14ac:dyDescent="0.25">
      <c r="F753" s="88"/>
      <c r="G753" s="91"/>
      <c r="H753" s="91"/>
      <c r="I753" s="88"/>
      <c r="J753" s="91"/>
      <c r="K753" s="88"/>
      <c r="L753" s="88"/>
      <c r="M753" s="91"/>
      <c r="N753" s="88"/>
      <c r="O753" s="91"/>
      <c r="P753" s="91"/>
      <c r="Q753" s="88"/>
      <c r="R753" s="91"/>
      <c r="S753" s="91"/>
      <c r="T753" s="88"/>
      <c r="U753" s="88"/>
      <c r="V753" s="88"/>
      <c r="Y753" s="91"/>
      <c r="Z753" s="88"/>
    </row>
    <row r="754" spans="6:26" ht="12.5" x14ac:dyDescent="0.25">
      <c r="F754" s="88"/>
      <c r="G754" s="91"/>
      <c r="H754" s="91"/>
      <c r="I754" s="88"/>
      <c r="J754" s="91"/>
      <c r="K754" s="88"/>
      <c r="L754" s="88"/>
      <c r="M754" s="91"/>
      <c r="N754" s="88"/>
      <c r="O754" s="91"/>
      <c r="P754" s="91"/>
      <c r="Q754" s="88"/>
      <c r="R754" s="91"/>
      <c r="S754" s="91"/>
      <c r="T754" s="88"/>
      <c r="U754" s="88"/>
      <c r="V754" s="88"/>
      <c r="Y754" s="91"/>
      <c r="Z754" s="88"/>
    </row>
    <row r="755" spans="6:26" ht="12.5" x14ac:dyDescent="0.25">
      <c r="F755" s="88"/>
      <c r="G755" s="91"/>
      <c r="H755" s="91"/>
      <c r="I755" s="88"/>
      <c r="J755" s="91"/>
      <c r="K755" s="88"/>
      <c r="L755" s="88"/>
      <c r="M755" s="91"/>
      <c r="N755" s="88"/>
      <c r="O755" s="91"/>
      <c r="P755" s="91"/>
      <c r="Q755" s="88"/>
      <c r="R755" s="91"/>
      <c r="S755" s="91"/>
      <c r="T755" s="88"/>
      <c r="U755" s="88"/>
      <c r="V755" s="88"/>
      <c r="Y755" s="91"/>
      <c r="Z755" s="88"/>
    </row>
    <row r="756" spans="6:26" ht="12.5" x14ac:dyDescent="0.25">
      <c r="F756" s="88"/>
      <c r="G756" s="91"/>
      <c r="H756" s="91"/>
      <c r="I756" s="88"/>
      <c r="J756" s="91"/>
      <c r="K756" s="88"/>
      <c r="L756" s="88"/>
      <c r="M756" s="91"/>
      <c r="N756" s="88"/>
      <c r="O756" s="91"/>
      <c r="P756" s="91"/>
      <c r="Q756" s="88"/>
      <c r="R756" s="91"/>
      <c r="S756" s="91"/>
      <c r="T756" s="88"/>
      <c r="U756" s="88"/>
      <c r="V756" s="88"/>
      <c r="Y756" s="91"/>
      <c r="Z756" s="88"/>
    </row>
    <row r="757" spans="6:26" ht="12.5" x14ac:dyDescent="0.25">
      <c r="F757" s="88"/>
      <c r="G757" s="91"/>
      <c r="H757" s="91"/>
      <c r="I757" s="88"/>
      <c r="J757" s="91"/>
      <c r="K757" s="88"/>
      <c r="L757" s="88"/>
      <c r="M757" s="91"/>
      <c r="N757" s="88"/>
      <c r="O757" s="91"/>
      <c r="P757" s="91"/>
      <c r="Q757" s="88"/>
      <c r="R757" s="91"/>
      <c r="S757" s="91"/>
      <c r="T757" s="88"/>
      <c r="U757" s="88"/>
      <c r="V757" s="88"/>
      <c r="Y757" s="91"/>
      <c r="Z757" s="88"/>
    </row>
    <row r="758" spans="6:26" ht="12.5" x14ac:dyDescent="0.25">
      <c r="F758" s="88"/>
      <c r="G758" s="91"/>
      <c r="H758" s="91"/>
      <c r="I758" s="88"/>
      <c r="J758" s="91"/>
      <c r="K758" s="88"/>
      <c r="L758" s="88"/>
      <c r="M758" s="91"/>
      <c r="N758" s="88"/>
      <c r="O758" s="91"/>
      <c r="P758" s="91"/>
      <c r="Q758" s="88"/>
      <c r="R758" s="91"/>
      <c r="S758" s="91"/>
      <c r="T758" s="88"/>
      <c r="U758" s="88"/>
      <c r="V758" s="88"/>
      <c r="Y758" s="91"/>
      <c r="Z758" s="88"/>
    </row>
    <row r="759" spans="6:26" ht="12.5" x14ac:dyDescent="0.25">
      <c r="F759" s="88"/>
      <c r="G759" s="91"/>
      <c r="H759" s="91"/>
      <c r="I759" s="88"/>
      <c r="J759" s="91"/>
      <c r="K759" s="88"/>
      <c r="L759" s="88"/>
      <c r="M759" s="91"/>
      <c r="N759" s="88"/>
      <c r="O759" s="91"/>
      <c r="P759" s="91"/>
      <c r="Q759" s="88"/>
      <c r="R759" s="91"/>
      <c r="S759" s="91"/>
      <c r="T759" s="88"/>
      <c r="U759" s="88"/>
      <c r="V759" s="88"/>
      <c r="Y759" s="91"/>
      <c r="Z759" s="88"/>
    </row>
    <row r="760" spans="6:26" ht="12.5" x14ac:dyDescent="0.25">
      <c r="F760" s="88"/>
      <c r="G760" s="91"/>
      <c r="H760" s="91"/>
      <c r="I760" s="88"/>
      <c r="J760" s="91"/>
      <c r="K760" s="88"/>
      <c r="L760" s="88"/>
      <c r="M760" s="91"/>
      <c r="N760" s="88"/>
      <c r="O760" s="91"/>
      <c r="P760" s="91"/>
      <c r="Q760" s="88"/>
      <c r="R760" s="91"/>
      <c r="S760" s="91"/>
      <c r="T760" s="88"/>
      <c r="U760" s="88"/>
      <c r="V760" s="88"/>
      <c r="Y760" s="91"/>
      <c r="Z760" s="88"/>
    </row>
    <row r="761" spans="6:26" ht="12.5" x14ac:dyDescent="0.25">
      <c r="F761" s="88"/>
      <c r="G761" s="91"/>
      <c r="H761" s="91"/>
      <c r="I761" s="88"/>
      <c r="J761" s="91"/>
      <c r="K761" s="88"/>
      <c r="L761" s="88"/>
      <c r="M761" s="91"/>
      <c r="N761" s="88"/>
      <c r="O761" s="91"/>
      <c r="P761" s="91"/>
      <c r="Q761" s="88"/>
      <c r="R761" s="91"/>
      <c r="S761" s="91"/>
      <c r="T761" s="88"/>
      <c r="U761" s="88"/>
      <c r="V761" s="88"/>
      <c r="Y761" s="91"/>
      <c r="Z761" s="88"/>
    </row>
    <row r="762" spans="6:26" ht="12.5" x14ac:dyDescent="0.25">
      <c r="F762" s="88"/>
      <c r="G762" s="91"/>
      <c r="H762" s="91"/>
      <c r="I762" s="88"/>
      <c r="J762" s="91"/>
      <c r="K762" s="88"/>
      <c r="L762" s="88"/>
      <c r="M762" s="91"/>
      <c r="N762" s="88"/>
      <c r="O762" s="91"/>
      <c r="P762" s="91"/>
      <c r="Q762" s="88"/>
      <c r="R762" s="91"/>
      <c r="S762" s="91"/>
      <c r="T762" s="88"/>
      <c r="U762" s="88"/>
      <c r="V762" s="88"/>
      <c r="Y762" s="91"/>
      <c r="Z762" s="88"/>
    </row>
    <row r="763" spans="6:26" ht="12.5" x14ac:dyDescent="0.25">
      <c r="F763" s="88"/>
      <c r="G763" s="91"/>
      <c r="H763" s="91"/>
      <c r="I763" s="88"/>
      <c r="J763" s="91"/>
      <c r="K763" s="88"/>
      <c r="L763" s="88"/>
      <c r="M763" s="91"/>
      <c r="N763" s="88"/>
      <c r="O763" s="91"/>
      <c r="P763" s="91"/>
      <c r="Q763" s="88"/>
      <c r="R763" s="91"/>
      <c r="S763" s="91"/>
      <c r="T763" s="88"/>
      <c r="U763" s="88"/>
      <c r="V763" s="88"/>
      <c r="Y763" s="91"/>
      <c r="Z763" s="88"/>
    </row>
    <row r="764" spans="6:26" ht="12.5" x14ac:dyDescent="0.25">
      <c r="F764" s="88"/>
      <c r="G764" s="91"/>
      <c r="H764" s="91"/>
      <c r="I764" s="88"/>
      <c r="J764" s="91"/>
      <c r="K764" s="88"/>
      <c r="L764" s="88"/>
      <c r="M764" s="91"/>
      <c r="N764" s="88"/>
      <c r="O764" s="91"/>
      <c r="P764" s="91"/>
      <c r="Q764" s="88"/>
      <c r="R764" s="91"/>
      <c r="S764" s="91"/>
      <c r="T764" s="88"/>
      <c r="U764" s="88"/>
      <c r="V764" s="88"/>
      <c r="Y764" s="91"/>
      <c r="Z764" s="88"/>
    </row>
    <row r="765" spans="6:26" ht="12.5" x14ac:dyDescent="0.25">
      <c r="F765" s="88"/>
      <c r="G765" s="91"/>
      <c r="H765" s="91"/>
      <c r="I765" s="88"/>
      <c r="J765" s="91"/>
      <c r="K765" s="88"/>
      <c r="L765" s="88"/>
      <c r="M765" s="91"/>
      <c r="N765" s="88"/>
      <c r="O765" s="91"/>
      <c r="P765" s="91"/>
      <c r="Q765" s="88"/>
      <c r="R765" s="91"/>
      <c r="S765" s="91"/>
      <c r="T765" s="88"/>
      <c r="U765" s="88"/>
      <c r="V765" s="88"/>
      <c r="Y765" s="91"/>
      <c r="Z765" s="88"/>
    </row>
    <row r="766" spans="6:26" ht="12.5" x14ac:dyDescent="0.25">
      <c r="F766" s="88"/>
      <c r="G766" s="91"/>
      <c r="H766" s="91"/>
      <c r="I766" s="88"/>
      <c r="J766" s="91"/>
      <c r="K766" s="88"/>
      <c r="L766" s="88"/>
      <c r="M766" s="91"/>
      <c r="N766" s="88"/>
      <c r="O766" s="91"/>
      <c r="P766" s="91"/>
      <c r="Q766" s="88"/>
      <c r="R766" s="91"/>
      <c r="S766" s="91"/>
      <c r="T766" s="88"/>
      <c r="U766" s="88"/>
      <c r="V766" s="88"/>
      <c r="Y766" s="91"/>
      <c r="Z766" s="88"/>
    </row>
    <row r="767" spans="6:26" ht="12.5" x14ac:dyDescent="0.25">
      <c r="F767" s="88"/>
      <c r="G767" s="91"/>
      <c r="H767" s="91"/>
      <c r="I767" s="88"/>
      <c r="J767" s="91"/>
      <c r="K767" s="88"/>
      <c r="L767" s="88"/>
      <c r="M767" s="91"/>
      <c r="N767" s="88"/>
      <c r="O767" s="91"/>
      <c r="P767" s="91"/>
      <c r="Q767" s="88"/>
      <c r="R767" s="91"/>
      <c r="S767" s="91"/>
      <c r="T767" s="88"/>
      <c r="U767" s="88"/>
      <c r="V767" s="88"/>
      <c r="Y767" s="91"/>
      <c r="Z767" s="88"/>
    </row>
    <row r="768" spans="6:26" ht="12.5" x14ac:dyDescent="0.25">
      <c r="F768" s="88"/>
      <c r="G768" s="91"/>
      <c r="H768" s="91"/>
      <c r="I768" s="88"/>
      <c r="J768" s="91"/>
      <c r="K768" s="88"/>
      <c r="L768" s="88"/>
      <c r="M768" s="91"/>
      <c r="N768" s="88"/>
      <c r="O768" s="91"/>
      <c r="P768" s="91"/>
      <c r="Q768" s="88"/>
      <c r="R768" s="91"/>
      <c r="S768" s="91"/>
      <c r="T768" s="88"/>
      <c r="U768" s="88"/>
      <c r="V768" s="88"/>
      <c r="Y768" s="91"/>
      <c r="Z768" s="88"/>
    </row>
    <row r="769" spans="6:26" ht="12.5" x14ac:dyDescent="0.25">
      <c r="F769" s="88"/>
      <c r="G769" s="91"/>
      <c r="H769" s="91"/>
      <c r="I769" s="88"/>
      <c r="J769" s="91"/>
      <c r="K769" s="88"/>
      <c r="L769" s="88"/>
      <c r="M769" s="91"/>
      <c r="N769" s="88"/>
      <c r="O769" s="91"/>
      <c r="P769" s="91"/>
      <c r="Q769" s="88"/>
      <c r="R769" s="91"/>
      <c r="S769" s="91"/>
      <c r="T769" s="88"/>
      <c r="U769" s="88"/>
      <c r="V769" s="88"/>
      <c r="Y769" s="91"/>
      <c r="Z769" s="88"/>
    </row>
    <row r="770" spans="6:26" ht="12.5" x14ac:dyDescent="0.25">
      <c r="F770" s="88"/>
      <c r="G770" s="91"/>
      <c r="H770" s="91"/>
      <c r="I770" s="88"/>
      <c r="J770" s="91"/>
      <c r="K770" s="88"/>
      <c r="L770" s="88"/>
      <c r="M770" s="91"/>
      <c r="N770" s="88"/>
      <c r="O770" s="91"/>
      <c r="P770" s="91"/>
      <c r="Q770" s="88"/>
      <c r="R770" s="91"/>
      <c r="S770" s="91"/>
      <c r="T770" s="88"/>
      <c r="U770" s="88"/>
      <c r="V770" s="88"/>
      <c r="Y770" s="91"/>
      <c r="Z770" s="88"/>
    </row>
    <row r="771" spans="6:26" ht="12.5" x14ac:dyDescent="0.25">
      <c r="F771" s="88"/>
      <c r="G771" s="91"/>
      <c r="H771" s="91"/>
      <c r="I771" s="88"/>
      <c r="J771" s="91"/>
      <c r="K771" s="88"/>
      <c r="L771" s="88"/>
      <c r="M771" s="91"/>
      <c r="N771" s="88"/>
      <c r="O771" s="91"/>
      <c r="P771" s="91"/>
      <c r="Q771" s="88"/>
      <c r="R771" s="91"/>
      <c r="S771" s="91"/>
      <c r="T771" s="88"/>
      <c r="U771" s="88"/>
      <c r="V771" s="88"/>
      <c r="Y771" s="91"/>
      <c r="Z771" s="88"/>
    </row>
    <row r="772" spans="6:26" ht="12.5" x14ac:dyDescent="0.25">
      <c r="F772" s="88"/>
      <c r="G772" s="91"/>
      <c r="H772" s="91"/>
      <c r="I772" s="88"/>
      <c r="J772" s="91"/>
      <c r="K772" s="88"/>
      <c r="L772" s="88"/>
      <c r="M772" s="91"/>
      <c r="N772" s="88"/>
      <c r="O772" s="91"/>
      <c r="P772" s="91"/>
      <c r="Q772" s="88"/>
      <c r="R772" s="91"/>
      <c r="S772" s="91"/>
      <c r="T772" s="88"/>
      <c r="U772" s="88"/>
      <c r="V772" s="88"/>
      <c r="Y772" s="91"/>
      <c r="Z772" s="88"/>
    </row>
    <row r="773" spans="6:26" ht="12.5" x14ac:dyDescent="0.25">
      <c r="F773" s="88"/>
      <c r="G773" s="91"/>
      <c r="H773" s="91"/>
      <c r="I773" s="88"/>
      <c r="J773" s="91"/>
      <c r="K773" s="88"/>
      <c r="L773" s="88"/>
      <c r="M773" s="91"/>
      <c r="N773" s="88"/>
      <c r="O773" s="91"/>
      <c r="P773" s="91"/>
      <c r="Q773" s="88"/>
      <c r="R773" s="91"/>
      <c r="S773" s="91"/>
      <c r="T773" s="88"/>
      <c r="U773" s="88"/>
      <c r="V773" s="88"/>
      <c r="Y773" s="91"/>
      <c r="Z773" s="88"/>
    </row>
    <row r="774" spans="6:26" ht="12.5" x14ac:dyDescent="0.25">
      <c r="F774" s="88"/>
      <c r="G774" s="91"/>
      <c r="H774" s="91"/>
      <c r="I774" s="88"/>
      <c r="J774" s="91"/>
      <c r="K774" s="88"/>
      <c r="L774" s="88"/>
      <c r="M774" s="91"/>
      <c r="N774" s="88"/>
      <c r="O774" s="91"/>
      <c r="P774" s="91"/>
      <c r="Q774" s="88"/>
      <c r="R774" s="91"/>
      <c r="S774" s="91"/>
      <c r="T774" s="88"/>
      <c r="U774" s="88"/>
      <c r="V774" s="88"/>
      <c r="Y774" s="91"/>
      <c r="Z774" s="88"/>
    </row>
    <row r="775" spans="6:26" ht="12.5" x14ac:dyDescent="0.25">
      <c r="F775" s="88"/>
      <c r="G775" s="91"/>
      <c r="H775" s="91"/>
      <c r="I775" s="88"/>
      <c r="J775" s="91"/>
      <c r="K775" s="88"/>
      <c r="L775" s="88"/>
      <c r="M775" s="91"/>
      <c r="N775" s="88"/>
      <c r="O775" s="91"/>
      <c r="P775" s="91"/>
      <c r="Q775" s="88"/>
      <c r="R775" s="91"/>
      <c r="S775" s="91"/>
      <c r="T775" s="88"/>
      <c r="U775" s="88"/>
      <c r="V775" s="88"/>
      <c r="Y775" s="91"/>
      <c r="Z775" s="88"/>
    </row>
    <row r="776" spans="6:26" ht="12.5" x14ac:dyDescent="0.25">
      <c r="F776" s="88"/>
      <c r="G776" s="91"/>
      <c r="H776" s="91"/>
      <c r="I776" s="88"/>
      <c r="J776" s="91"/>
      <c r="K776" s="88"/>
      <c r="L776" s="88"/>
      <c r="M776" s="91"/>
      <c r="N776" s="88"/>
      <c r="O776" s="91"/>
      <c r="P776" s="91"/>
      <c r="Q776" s="88"/>
      <c r="R776" s="91"/>
      <c r="S776" s="91"/>
      <c r="T776" s="88"/>
      <c r="U776" s="88"/>
      <c r="V776" s="88"/>
      <c r="Y776" s="91"/>
      <c r="Z776" s="88"/>
    </row>
    <row r="777" spans="6:26" ht="12.5" x14ac:dyDescent="0.25">
      <c r="F777" s="88"/>
      <c r="G777" s="91"/>
      <c r="H777" s="91"/>
      <c r="I777" s="88"/>
      <c r="J777" s="91"/>
      <c r="K777" s="88"/>
      <c r="L777" s="88"/>
      <c r="M777" s="91"/>
      <c r="N777" s="88"/>
      <c r="O777" s="91"/>
      <c r="P777" s="91"/>
      <c r="Q777" s="88"/>
      <c r="R777" s="91"/>
      <c r="S777" s="91"/>
      <c r="T777" s="88"/>
      <c r="U777" s="88"/>
      <c r="V777" s="88"/>
      <c r="Y777" s="91"/>
      <c r="Z777" s="88"/>
    </row>
    <row r="778" spans="6:26" ht="12.5" x14ac:dyDescent="0.25">
      <c r="F778" s="88"/>
      <c r="G778" s="91"/>
      <c r="H778" s="91"/>
      <c r="I778" s="88"/>
      <c r="J778" s="91"/>
      <c r="K778" s="88"/>
      <c r="L778" s="88"/>
      <c r="M778" s="91"/>
      <c r="N778" s="88"/>
      <c r="O778" s="91"/>
      <c r="P778" s="91"/>
      <c r="Q778" s="88"/>
      <c r="R778" s="91"/>
      <c r="S778" s="91"/>
      <c r="T778" s="88"/>
      <c r="U778" s="88"/>
      <c r="V778" s="88"/>
      <c r="Y778" s="91"/>
      <c r="Z778" s="88"/>
    </row>
    <row r="779" spans="6:26" ht="12.5" x14ac:dyDescent="0.25">
      <c r="F779" s="88"/>
      <c r="G779" s="91"/>
      <c r="H779" s="91"/>
      <c r="I779" s="88"/>
      <c r="J779" s="91"/>
      <c r="K779" s="88"/>
      <c r="L779" s="88"/>
      <c r="M779" s="91"/>
      <c r="N779" s="88"/>
      <c r="O779" s="91"/>
      <c r="P779" s="91"/>
      <c r="Q779" s="88"/>
      <c r="R779" s="91"/>
      <c r="S779" s="91"/>
      <c r="T779" s="88"/>
      <c r="U779" s="88"/>
      <c r="V779" s="88"/>
      <c r="Y779" s="91"/>
      <c r="Z779" s="88"/>
    </row>
    <row r="780" spans="6:26" ht="12.5" x14ac:dyDescent="0.25">
      <c r="F780" s="88"/>
      <c r="G780" s="91"/>
      <c r="H780" s="91"/>
      <c r="I780" s="88"/>
      <c r="J780" s="91"/>
      <c r="K780" s="88"/>
      <c r="L780" s="88"/>
      <c r="M780" s="91"/>
      <c r="N780" s="88"/>
      <c r="O780" s="91"/>
      <c r="P780" s="91"/>
      <c r="Q780" s="88"/>
      <c r="R780" s="91"/>
      <c r="S780" s="91"/>
      <c r="T780" s="88"/>
      <c r="U780" s="88"/>
      <c r="V780" s="88"/>
      <c r="Y780" s="91"/>
      <c r="Z780" s="88"/>
    </row>
    <row r="781" spans="6:26" ht="12.5" x14ac:dyDescent="0.25">
      <c r="F781" s="88"/>
      <c r="G781" s="91"/>
      <c r="H781" s="91"/>
      <c r="I781" s="88"/>
      <c r="J781" s="91"/>
      <c r="K781" s="88"/>
      <c r="L781" s="88"/>
      <c r="M781" s="91"/>
      <c r="N781" s="88"/>
      <c r="O781" s="91"/>
      <c r="P781" s="91"/>
      <c r="Q781" s="88"/>
      <c r="R781" s="91"/>
      <c r="S781" s="91"/>
      <c r="T781" s="88"/>
      <c r="U781" s="88"/>
      <c r="V781" s="88"/>
      <c r="Y781" s="91"/>
      <c r="Z781" s="88"/>
    </row>
    <row r="782" spans="6:26" ht="12.5" x14ac:dyDescent="0.25">
      <c r="F782" s="88"/>
      <c r="G782" s="91"/>
      <c r="H782" s="91"/>
      <c r="I782" s="88"/>
      <c r="J782" s="91"/>
      <c r="K782" s="88"/>
      <c r="L782" s="88"/>
      <c r="M782" s="91"/>
      <c r="N782" s="88"/>
      <c r="O782" s="91"/>
      <c r="P782" s="91"/>
      <c r="Q782" s="88"/>
      <c r="R782" s="91"/>
      <c r="S782" s="91"/>
      <c r="T782" s="88"/>
      <c r="U782" s="88"/>
      <c r="V782" s="88"/>
      <c r="Y782" s="91"/>
      <c r="Z782" s="88"/>
    </row>
    <row r="783" spans="6:26" ht="12.5" x14ac:dyDescent="0.25">
      <c r="F783" s="88"/>
      <c r="G783" s="91"/>
      <c r="H783" s="91"/>
      <c r="I783" s="88"/>
      <c r="J783" s="91"/>
      <c r="K783" s="88"/>
      <c r="L783" s="88"/>
      <c r="M783" s="91"/>
      <c r="N783" s="88"/>
      <c r="O783" s="91"/>
      <c r="P783" s="91"/>
      <c r="Q783" s="88"/>
      <c r="R783" s="91"/>
      <c r="S783" s="91"/>
      <c r="T783" s="88"/>
      <c r="U783" s="88"/>
      <c r="V783" s="88"/>
      <c r="Y783" s="91"/>
      <c r="Z783" s="88"/>
    </row>
    <row r="784" spans="6:26" ht="12.5" x14ac:dyDescent="0.25">
      <c r="F784" s="88"/>
      <c r="G784" s="91"/>
      <c r="H784" s="91"/>
      <c r="I784" s="88"/>
      <c r="J784" s="91"/>
      <c r="K784" s="88"/>
      <c r="L784" s="88"/>
      <c r="M784" s="91"/>
      <c r="N784" s="88"/>
      <c r="O784" s="91"/>
      <c r="P784" s="91"/>
      <c r="Q784" s="88"/>
      <c r="R784" s="91"/>
      <c r="S784" s="91"/>
      <c r="T784" s="88"/>
      <c r="U784" s="88"/>
      <c r="V784" s="88"/>
      <c r="Y784" s="91"/>
      <c r="Z784" s="88"/>
    </row>
    <row r="785" spans="6:26" ht="12.5" x14ac:dyDescent="0.25">
      <c r="F785" s="88"/>
      <c r="G785" s="91"/>
      <c r="H785" s="91"/>
      <c r="I785" s="88"/>
      <c r="J785" s="91"/>
      <c r="K785" s="88"/>
      <c r="L785" s="88"/>
      <c r="M785" s="91"/>
      <c r="N785" s="88"/>
      <c r="O785" s="91"/>
      <c r="P785" s="91"/>
      <c r="Q785" s="88"/>
      <c r="R785" s="91"/>
      <c r="S785" s="91"/>
      <c r="T785" s="88"/>
      <c r="U785" s="88"/>
      <c r="V785" s="88"/>
      <c r="Y785" s="91"/>
      <c r="Z785" s="88"/>
    </row>
    <row r="786" spans="6:26" ht="12.5" x14ac:dyDescent="0.25">
      <c r="F786" s="88"/>
      <c r="G786" s="91"/>
      <c r="H786" s="91"/>
      <c r="I786" s="88"/>
      <c r="J786" s="91"/>
      <c r="K786" s="88"/>
      <c r="L786" s="88"/>
      <c r="M786" s="91"/>
      <c r="N786" s="88"/>
      <c r="O786" s="91"/>
      <c r="P786" s="91"/>
      <c r="Q786" s="88"/>
      <c r="R786" s="91"/>
      <c r="S786" s="91"/>
      <c r="T786" s="88"/>
      <c r="U786" s="88"/>
      <c r="V786" s="88"/>
      <c r="Y786" s="91"/>
      <c r="Z786" s="88"/>
    </row>
    <row r="787" spans="6:26" ht="12.5" x14ac:dyDescent="0.25">
      <c r="F787" s="88"/>
      <c r="G787" s="91"/>
      <c r="H787" s="91"/>
      <c r="I787" s="88"/>
      <c r="J787" s="91"/>
      <c r="K787" s="88"/>
      <c r="L787" s="88"/>
      <c r="M787" s="91"/>
      <c r="N787" s="88"/>
      <c r="O787" s="91"/>
      <c r="P787" s="91"/>
      <c r="Q787" s="88"/>
      <c r="R787" s="91"/>
      <c r="S787" s="91"/>
      <c r="T787" s="88"/>
      <c r="U787" s="88"/>
      <c r="V787" s="88"/>
      <c r="Y787" s="91"/>
      <c r="Z787" s="88"/>
    </row>
    <row r="788" spans="6:26" ht="12.5" x14ac:dyDescent="0.25">
      <c r="F788" s="88"/>
      <c r="G788" s="91"/>
      <c r="H788" s="91"/>
      <c r="I788" s="88"/>
      <c r="J788" s="91"/>
      <c r="K788" s="88"/>
      <c r="L788" s="88"/>
      <c r="M788" s="91"/>
      <c r="N788" s="88"/>
      <c r="O788" s="91"/>
      <c r="P788" s="91"/>
      <c r="Q788" s="88"/>
      <c r="R788" s="91"/>
      <c r="S788" s="91"/>
      <c r="T788" s="88"/>
      <c r="U788" s="88"/>
      <c r="V788" s="88"/>
      <c r="Y788" s="91"/>
      <c r="Z788" s="88"/>
    </row>
    <row r="789" spans="6:26" ht="12.5" x14ac:dyDescent="0.25">
      <c r="F789" s="88"/>
      <c r="G789" s="91"/>
      <c r="H789" s="91"/>
      <c r="I789" s="88"/>
      <c r="J789" s="91"/>
      <c r="K789" s="88"/>
      <c r="L789" s="88"/>
      <c r="M789" s="91"/>
      <c r="N789" s="88"/>
      <c r="O789" s="91"/>
      <c r="P789" s="91"/>
      <c r="Q789" s="88"/>
      <c r="R789" s="91"/>
      <c r="S789" s="91"/>
      <c r="T789" s="88"/>
      <c r="U789" s="88"/>
      <c r="V789" s="88"/>
      <c r="Y789" s="91"/>
      <c r="Z789" s="88"/>
    </row>
    <row r="790" spans="6:26" ht="12.5" x14ac:dyDescent="0.25">
      <c r="F790" s="88"/>
      <c r="G790" s="91"/>
      <c r="H790" s="91"/>
      <c r="I790" s="88"/>
      <c r="J790" s="91"/>
      <c r="K790" s="88"/>
      <c r="L790" s="88"/>
      <c r="M790" s="91"/>
      <c r="N790" s="88"/>
      <c r="O790" s="91"/>
      <c r="P790" s="91"/>
      <c r="Q790" s="88"/>
      <c r="R790" s="91"/>
      <c r="S790" s="91"/>
      <c r="T790" s="88"/>
      <c r="U790" s="88"/>
      <c r="V790" s="88"/>
      <c r="Y790" s="91"/>
      <c r="Z790" s="88"/>
    </row>
    <row r="791" spans="6:26" ht="12.5" x14ac:dyDescent="0.25">
      <c r="F791" s="88"/>
      <c r="G791" s="91"/>
      <c r="H791" s="91"/>
      <c r="I791" s="88"/>
      <c r="J791" s="91"/>
      <c r="K791" s="88"/>
      <c r="L791" s="88"/>
      <c r="M791" s="91"/>
      <c r="N791" s="88"/>
      <c r="O791" s="91"/>
      <c r="P791" s="91"/>
      <c r="Q791" s="88"/>
      <c r="R791" s="91"/>
      <c r="S791" s="91"/>
      <c r="T791" s="88"/>
      <c r="U791" s="88"/>
      <c r="V791" s="88"/>
      <c r="Y791" s="91"/>
      <c r="Z791" s="88"/>
    </row>
    <row r="792" spans="6:26" ht="12.5" x14ac:dyDescent="0.25">
      <c r="F792" s="88"/>
      <c r="G792" s="91"/>
      <c r="H792" s="91"/>
      <c r="I792" s="88"/>
      <c r="J792" s="91"/>
      <c r="K792" s="88"/>
      <c r="L792" s="88"/>
      <c r="M792" s="91"/>
      <c r="N792" s="88"/>
      <c r="O792" s="91"/>
      <c r="P792" s="91"/>
      <c r="Q792" s="88"/>
      <c r="R792" s="91"/>
      <c r="S792" s="91"/>
      <c r="T792" s="88"/>
      <c r="U792" s="88"/>
      <c r="V792" s="88"/>
      <c r="Y792" s="91"/>
      <c r="Z792" s="88"/>
    </row>
    <row r="793" spans="6:26" ht="12.5" x14ac:dyDescent="0.25">
      <c r="F793" s="88"/>
      <c r="G793" s="91"/>
      <c r="H793" s="91"/>
      <c r="I793" s="88"/>
      <c r="J793" s="91"/>
      <c r="K793" s="88"/>
      <c r="L793" s="88"/>
      <c r="M793" s="91"/>
      <c r="N793" s="88"/>
      <c r="O793" s="91"/>
      <c r="P793" s="91"/>
      <c r="Q793" s="88"/>
      <c r="R793" s="91"/>
      <c r="S793" s="91"/>
      <c r="T793" s="88"/>
      <c r="U793" s="88"/>
      <c r="V793" s="88"/>
      <c r="Y793" s="91"/>
      <c r="Z793" s="88"/>
    </row>
    <row r="794" spans="6:26" ht="12.5" x14ac:dyDescent="0.25">
      <c r="F794" s="88"/>
      <c r="G794" s="91"/>
      <c r="H794" s="91"/>
      <c r="I794" s="88"/>
      <c r="J794" s="91"/>
      <c r="K794" s="88"/>
      <c r="L794" s="88"/>
      <c r="M794" s="91"/>
      <c r="N794" s="88"/>
      <c r="O794" s="91"/>
      <c r="P794" s="91"/>
      <c r="Q794" s="88"/>
      <c r="R794" s="91"/>
      <c r="S794" s="91"/>
      <c r="T794" s="88"/>
      <c r="U794" s="88"/>
      <c r="V794" s="88"/>
      <c r="Y794" s="91"/>
      <c r="Z794" s="88"/>
    </row>
    <row r="795" spans="6:26" ht="12.5" x14ac:dyDescent="0.25">
      <c r="F795" s="88"/>
      <c r="G795" s="91"/>
      <c r="H795" s="91"/>
      <c r="I795" s="88"/>
      <c r="J795" s="91"/>
      <c r="K795" s="88"/>
      <c r="L795" s="88"/>
      <c r="M795" s="91"/>
      <c r="N795" s="88"/>
      <c r="O795" s="91"/>
      <c r="P795" s="91"/>
      <c r="Q795" s="88"/>
      <c r="R795" s="91"/>
      <c r="S795" s="91"/>
      <c r="T795" s="88"/>
      <c r="U795" s="88"/>
      <c r="V795" s="88"/>
      <c r="Y795" s="91"/>
      <c r="Z795" s="88"/>
    </row>
    <row r="796" spans="6:26" ht="12.5" x14ac:dyDescent="0.25">
      <c r="F796" s="88"/>
      <c r="G796" s="91"/>
      <c r="H796" s="91"/>
      <c r="I796" s="88"/>
      <c r="J796" s="91"/>
      <c r="K796" s="88"/>
      <c r="L796" s="88"/>
      <c r="M796" s="91"/>
      <c r="N796" s="88"/>
      <c r="O796" s="91"/>
      <c r="P796" s="91"/>
      <c r="Q796" s="88"/>
      <c r="R796" s="91"/>
      <c r="S796" s="91"/>
      <c r="T796" s="88"/>
      <c r="U796" s="88"/>
      <c r="V796" s="88"/>
      <c r="Y796" s="91"/>
      <c r="Z796" s="88"/>
    </row>
    <row r="797" spans="6:26" ht="12.5" x14ac:dyDescent="0.25">
      <c r="F797" s="88"/>
      <c r="G797" s="91"/>
      <c r="H797" s="91"/>
      <c r="I797" s="88"/>
      <c r="J797" s="91"/>
      <c r="K797" s="88"/>
      <c r="L797" s="88"/>
      <c r="M797" s="91"/>
      <c r="N797" s="88"/>
      <c r="O797" s="91"/>
      <c r="P797" s="91"/>
      <c r="Q797" s="88"/>
      <c r="R797" s="91"/>
      <c r="S797" s="91"/>
      <c r="T797" s="88"/>
      <c r="U797" s="88"/>
      <c r="V797" s="88"/>
      <c r="Y797" s="91"/>
      <c r="Z797" s="88"/>
    </row>
    <row r="798" spans="6:26" ht="12.5" x14ac:dyDescent="0.25">
      <c r="F798" s="88"/>
      <c r="G798" s="91"/>
      <c r="H798" s="91"/>
      <c r="I798" s="88"/>
      <c r="J798" s="91"/>
      <c r="K798" s="88"/>
      <c r="L798" s="88"/>
      <c r="M798" s="91"/>
      <c r="N798" s="88"/>
      <c r="O798" s="91"/>
      <c r="P798" s="91"/>
      <c r="Q798" s="88"/>
      <c r="R798" s="91"/>
      <c r="S798" s="91"/>
      <c r="T798" s="88"/>
      <c r="U798" s="88"/>
      <c r="V798" s="88"/>
      <c r="Y798" s="91"/>
      <c r="Z798" s="88"/>
    </row>
    <row r="799" spans="6:26" ht="12.5" x14ac:dyDescent="0.25">
      <c r="F799" s="88"/>
      <c r="G799" s="91"/>
      <c r="H799" s="91"/>
      <c r="I799" s="88"/>
      <c r="J799" s="91"/>
      <c r="K799" s="88"/>
      <c r="L799" s="88"/>
      <c r="M799" s="91"/>
      <c r="N799" s="88"/>
      <c r="O799" s="91"/>
      <c r="P799" s="91"/>
      <c r="Q799" s="88"/>
      <c r="R799" s="91"/>
      <c r="S799" s="91"/>
      <c r="T799" s="88"/>
      <c r="U799" s="88"/>
      <c r="V799" s="88"/>
      <c r="Y799" s="91"/>
      <c r="Z799" s="88"/>
    </row>
    <row r="800" spans="6:26" ht="12.5" x14ac:dyDescent="0.25">
      <c r="F800" s="88"/>
      <c r="G800" s="91"/>
      <c r="H800" s="91"/>
      <c r="I800" s="88"/>
      <c r="J800" s="91"/>
      <c r="K800" s="88"/>
      <c r="L800" s="88"/>
      <c r="M800" s="91"/>
      <c r="N800" s="88"/>
      <c r="O800" s="91"/>
      <c r="P800" s="91"/>
      <c r="Q800" s="88"/>
      <c r="R800" s="91"/>
      <c r="S800" s="91"/>
      <c r="T800" s="88"/>
      <c r="U800" s="88"/>
      <c r="V800" s="88"/>
      <c r="Y800" s="91"/>
      <c r="Z800" s="88"/>
    </row>
    <row r="801" spans="6:26" ht="12.5" x14ac:dyDescent="0.25">
      <c r="F801" s="88"/>
      <c r="G801" s="91"/>
      <c r="H801" s="91"/>
      <c r="I801" s="88"/>
      <c r="J801" s="91"/>
      <c r="K801" s="88"/>
      <c r="L801" s="88"/>
      <c r="M801" s="91"/>
      <c r="N801" s="88"/>
      <c r="O801" s="91"/>
      <c r="P801" s="91"/>
      <c r="Q801" s="88"/>
      <c r="R801" s="91"/>
      <c r="S801" s="91"/>
      <c r="T801" s="88"/>
      <c r="U801" s="88"/>
      <c r="V801" s="88"/>
      <c r="Y801" s="91"/>
      <c r="Z801" s="88"/>
    </row>
    <row r="802" spans="6:26" ht="12.5" x14ac:dyDescent="0.25">
      <c r="F802" s="88"/>
      <c r="G802" s="91"/>
      <c r="H802" s="91"/>
      <c r="I802" s="88"/>
      <c r="J802" s="91"/>
      <c r="K802" s="88"/>
      <c r="L802" s="88"/>
      <c r="M802" s="91"/>
      <c r="N802" s="88"/>
      <c r="O802" s="91"/>
      <c r="P802" s="91"/>
      <c r="Q802" s="88"/>
      <c r="R802" s="91"/>
      <c r="S802" s="91"/>
      <c r="T802" s="88"/>
      <c r="U802" s="88"/>
      <c r="V802" s="88"/>
      <c r="Y802" s="91"/>
      <c r="Z802" s="88"/>
    </row>
    <row r="803" spans="6:26" ht="12.5" x14ac:dyDescent="0.25">
      <c r="F803" s="88"/>
      <c r="G803" s="91"/>
      <c r="H803" s="91"/>
      <c r="I803" s="88"/>
      <c r="J803" s="91"/>
      <c r="K803" s="88"/>
      <c r="L803" s="88"/>
      <c r="M803" s="91"/>
      <c r="N803" s="88"/>
      <c r="O803" s="91"/>
      <c r="P803" s="91"/>
      <c r="Q803" s="88"/>
      <c r="R803" s="91"/>
      <c r="S803" s="91"/>
      <c r="T803" s="88"/>
      <c r="U803" s="88"/>
      <c r="V803" s="88"/>
      <c r="Y803" s="91"/>
      <c r="Z803" s="88"/>
    </row>
    <row r="804" spans="6:26" ht="12.5" x14ac:dyDescent="0.25">
      <c r="F804" s="88"/>
      <c r="G804" s="91"/>
      <c r="H804" s="91"/>
      <c r="I804" s="88"/>
      <c r="J804" s="91"/>
      <c r="K804" s="88"/>
      <c r="L804" s="88"/>
      <c r="M804" s="91"/>
      <c r="N804" s="88"/>
      <c r="O804" s="91"/>
      <c r="P804" s="91"/>
      <c r="Q804" s="88"/>
      <c r="R804" s="91"/>
      <c r="S804" s="91"/>
      <c r="T804" s="88"/>
      <c r="U804" s="88"/>
      <c r="V804" s="88"/>
      <c r="Y804" s="91"/>
      <c r="Z804" s="88"/>
    </row>
    <row r="805" spans="6:26" ht="12.5" x14ac:dyDescent="0.25">
      <c r="F805" s="88"/>
      <c r="G805" s="91"/>
      <c r="H805" s="91"/>
      <c r="I805" s="88"/>
      <c r="J805" s="91"/>
      <c r="K805" s="88"/>
      <c r="L805" s="88"/>
      <c r="M805" s="91"/>
      <c r="N805" s="88"/>
      <c r="O805" s="91"/>
      <c r="P805" s="91"/>
      <c r="Q805" s="88"/>
      <c r="R805" s="91"/>
      <c r="S805" s="91"/>
      <c r="T805" s="88"/>
      <c r="U805" s="88"/>
      <c r="V805" s="88"/>
      <c r="Y805" s="91"/>
      <c r="Z805" s="88"/>
    </row>
    <row r="806" spans="6:26" ht="12.5" x14ac:dyDescent="0.25">
      <c r="F806" s="88"/>
      <c r="G806" s="91"/>
      <c r="H806" s="91"/>
      <c r="I806" s="88"/>
      <c r="J806" s="91"/>
      <c r="K806" s="88"/>
      <c r="L806" s="88"/>
      <c r="M806" s="91"/>
      <c r="N806" s="88"/>
      <c r="O806" s="91"/>
      <c r="P806" s="91"/>
      <c r="Q806" s="88"/>
      <c r="R806" s="91"/>
      <c r="S806" s="91"/>
      <c r="T806" s="88"/>
      <c r="U806" s="88"/>
      <c r="V806" s="88"/>
      <c r="Y806" s="91"/>
      <c r="Z806" s="88"/>
    </row>
    <row r="807" spans="6:26" ht="12.5" x14ac:dyDescent="0.25">
      <c r="F807" s="88"/>
      <c r="G807" s="91"/>
      <c r="H807" s="91"/>
      <c r="I807" s="88"/>
      <c r="J807" s="91"/>
      <c r="K807" s="88"/>
      <c r="L807" s="88"/>
      <c r="M807" s="91"/>
      <c r="N807" s="88"/>
      <c r="O807" s="91"/>
      <c r="P807" s="91"/>
      <c r="Q807" s="88"/>
      <c r="R807" s="91"/>
      <c r="S807" s="91"/>
      <c r="T807" s="88"/>
      <c r="U807" s="88"/>
      <c r="V807" s="88"/>
      <c r="Y807" s="91"/>
      <c r="Z807" s="88"/>
    </row>
    <row r="808" spans="6:26" ht="12.5" x14ac:dyDescent="0.25">
      <c r="F808" s="88"/>
      <c r="G808" s="91"/>
      <c r="H808" s="91"/>
      <c r="I808" s="88"/>
      <c r="J808" s="91"/>
      <c r="K808" s="88"/>
      <c r="L808" s="88"/>
      <c r="M808" s="91"/>
      <c r="N808" s="88"/>
      <c r="O808" s="91"/>
      <c r="P808" s="91"/>
      <c r="Q808" s="88"/>
      <c r="R808" s="91"/>
      <c r="S808" s="91"/>
      <c r="T808" s="88"/>
      <c r="U808" s="88"/>
      <c r="V808" s="88"/>
      <c r="Y808" s="91"/>
      <c r="Z808" s="88"/>
    </row>
    <row r="809" spans="6:26" ht="12.5" x14ac:dyDescent="0.25">
      <c r="F809" s="88"/>
      <c r="G809" s="91"/>
      <c r="H809" s="91"/>
      <c r="I809" s="88"/>
      <c r="J809" s="91"/>
      <c r="K809" s="88"/>
      <c r="L809" s="88"/>
      <c r="M809" s="91"/>
      <c r="N809" s="88"/>
      <c r="O809" s="91"/>
      <c r="P809" s="91"/>
      <c r="Q809" s="88"/>
      <c r="R809" s="91"/>
      <c r="S809" s="91"/>
      <c r="T809" s="88"/>
      <c r="U809" s="88"/>
      <c r="V809" s="88"/>
      <c r="Y809" s="91"/>
      <c r="Z809" s="88"/>
    </row>
    <row r="810" spans="6:26" ht="12.5" x14ac:dyDescent="0.25">
      <c r="F810" s="88"/>
      <c r="G810" s="91"/>
      <c r="H810" s="91"/>
      <c r="I810" s="88"/>
      <c r="J810" s="91"/>
      <c r="K810" s="88"/>
      <c r="L810" s="88"/>
      <c r="M810" s="91"/>
      <c r="N810" s="88"/>
      <c r="O810" s="91"/>
      <c r="P810" s="91"/>
      <c r="Q810" s="88"/>
      <c r="R810" s="91"/>
      <c r="S810" s="91"/>
      <c r="T810" s="88"/>
      <c r="U810" s="88"/>
      <c r="V810" s="88"/>
      <c r="Y810" s="91"/>
      <c r="Z810" s="88"/>
    </row>
    <row r="811" spans="6:26" ht="12.5" x14ac:dyDescent="0.25">
      <c r="F811" s="88"/>
      <c r="G811" s="91"/>
      <c r="H811" s="91"/>
      <c r="I811" s="88"/>
      <c r="J811" s="91"/>
      <c r="K811" s="88"/>
      <c r="L811" s="88"/>
      <c r="M811" s="91"/>
      <c r="N811" s="88"/>
      <c r="O811" s="91"/>
      <c r="P811" s="91"/>
      <c r="Q811" s="88"/>
      <c r="R811" s="91"/>
      <c r="S811" s="91"/>
      <c r="T811" s="88"/>
      <c r="U811" s="88"/>
      <c r="V811" s="88"/>
      <c r="Y811" s="91"/>
      <c r="Z811" s="88"/>
    </row>
    <row r="812" spans="6:26" ht="12.5" x14ac:dyDescent="0.25">
      <c r="F812" s="88"/>
      <c r="G812" s="91"/>
      <c r="H812" s="91"/>
      <c r="I812" s="88"/>
      <c r="J812" s="91"/>
      <c r="K812" s="88"/>
      <c r="L812" s="88"/>
      <c r="M812" s="91"/>
      <c r="N812" s="88"/>
      <c r="O812" s="91"/>
      <c r="P812" s="91"/>
      <c r="Q812" s="88"/>
      <c r="R812" s="91"/>
      <c r="S812" s="91"/>
      <c r="T812" s="88"/>
      <c r="U812" s="88"/>
      <c r="V812" s="88"/>
      <c r="Y812" s="91"/>
      <c r="Z812" s="88"/>
    </row>
    <row r="813" spans="6:26" ht="12.5" x14ac:dyDescent="0.25">
      <c r="F813" s="88"/>
      <c r="G813" s="91"/>
      <c r="H813" s="91"/>
      <c r="I813" s="88"/>
      <c r="J813" s="91"/>
      <c r="K813" s="88"/>
      <c r="L813" s="88"/>
      <c r="M813" s="91"/>
      <c r="N813" s="88"/>
      <c r="O813" s="91"/>
      <c r="P813" s="91"/>
      <c r="Q813" s="88"/>
      <c r="R813" s="91"/>
      <c r="S813" s="91"/>
      <c r="T813" s="88"/>
      <c r="U813" s="88"/>
      <c r="V813" s="88"/>
      <c r="Y813" s="91"/>
      <c r="Z813" s="88"/>
    </row>
    <row r="814" spans="6:26" ht="12.5" x14ac:dyDescent="0.25">
      <c r="F814" s="88"/>
      <c r="G814" s="91"/>
      <c r="H814" s="91"/>
      <c r="I814" s="88"/>
      <c r="J814" s="91"/>
      <c r="K814" s="88"/>
      <c r="L814" s="88"/>
      <c r="M814" s="91"/>
      <c r="N814" s="88"/>
      <c r="O814" s="91"/>
      <c r="P814" s="91"/>
      <c r="Q814" s="88"/>
      <c r="R814" s="91"/>
      <c r="S814" s="91"/>
      <c r="T814" s="88"/>
      <c r="U814" s="88"/>
      <c r="V814" s="88"/>
      <c r="Y814" s="91"/>
      <c r="Z814" s="88"/>
    </row>
    <row r="815" spans="6:26" ht="12.5" x14ac:dyDescent="0.25">
      <c r="F815" s="88"/>
      <c r="G815" s="91"/>
      <c r="H815" s="91"/>
      <c r="I815" s="88"/>
      <c r="J815" s="91"/>
      <c r="K815" s="88"/>
      <c r="L815" s="88"/>
      <c r="M815" s="91"/>
      <c r="N815" s="88"/>
      <c r="O815" s="91"/>
      <c r="P815" s="91"/>
      <c r="Q815" s="88"/>
      <c r="R815" s="91"/>
      <c r="S815" s="91"/>
      <c r="T815" s="88"/>
      <c r="U815" s="88"/>
      <c r="V815" s="88"/>
      <c r="Y815" s="91"/>
      <c r="Z815" s="88"/>
    </row>
    <row r="816" spans="6:26" ht="12.5" x14ac:dyDescent="0.25">
      <c r="F816" s="88"/>
      <c r="G816" s="91"/>
      <c r="H816" s="91"/>
      <c r="I816" s="88"/>
      <c r="J816" s="91"/>
      <c r="K816" s="88"/>
      <c r="L816" s="88"/>
      <c r="M816" s="91"/>
      <c r="N816" s="88"/>
      <c r="O816" s="91"/>
      <c r="P816" s="91"/>
      <c r="Q816" s="88"/>
      <c r="R816" s="91"/>
      <c r="S816" s="91"/>
      <c r="T816" s="88"/>
      <c r="U816" s="88"/>
      <c r="V816" s="88"/>
      <c r="Y816" s="91"/>
      <c r="Z816" s="88"/>
    </row>
    <row r="817" spans="6:26" ht="12.5" x14ac:dyDescent="0.25">
      <c r="F817" s="88"/>
      <c r="G817" s="91"/>
      <c r="H817" s="91"/>
      <c r="I817" s="88"/>
      <c r="J817" s="91"/>
      <c r="K817" s="88"/>
      <c r="L817" s="88"/>
      <c r="M817" s="91"/>
      <c r="N817" s="88"/>
      <c r="O817" s="91"/>
      <c r="P817" s="91"/>
      <c r="Q817" s="88"/>
      <c r="R817" s="91"/>
      <c r="S817" s="91"/>
      <c r="T817" s="88"/>
      <c r="U817" s="88"/>
      <c r="V817" s="88"/>
      <c r="Y817" s="91"/>
      <c r="Z817" s="88"/>
    </row>
    <row r="818" spans="6:26" ht="12.5" x14ac:dyDescent="0.25">
      <c r="F818" s="88"/>
      <c r="G818" s="91"/>
      <c r="H818" s="91"/>
      <c r="I818" s="88"/>
      <c r="J818" s="91"/>
      <c r="K818" s="88"/>
      <c r="L818" s="88"/>
      <c r="M818" s="91"/>
      <c r="N818" s="88"/>
      <c r="O818" s="91"/>
      <c r="P818" s="91"/>
      <c r="Q818" s="88"/>
      <c r="R818" s="91"/>
      <c r="S818" s="91"/>
      <c r="T818" s="88"/>
      <c r="U818" s="88"/>
      <c r="V818" s="88"/>
      <c r="Y818" s="91"/>
      <c r="Z818" s="88"/>
    </row>
    <row r="819" spans="6:26" ht="12.5" x14ac:dyDescent="0.25">
      <c r="F819" s="88"/>
      <c r="G819" s="91"/>
      <c r="H819" s="91"/>
      <c r="I819" s="88"/>
      <c r="J819" s="91"/>
      <c r="K819" s="88"/>
      <c r="L819" s="88"/>
      <c r="M819" s="91"/>
      <c r="N819" s="88"/>
      <c r="O819" s="91"/>
      <c r="P819" s="91"/>
      <c r="Q819" s="88"/>
      <c r="R819" s="91"/>
      <c r="S819" s="91"/>
      <c r="T819" s="88"/>
      <c r="U819" s="88"/>
      <c r="V819" s="88"/>
      <c r="Y819" s="91"/>
      <c r="Z819" s="88"/>
    </row>
    <row r="820" spans="6:26" ht="12.5" x14ac:dyDescent="0.25">
      <c r="F820" s="88"/>
      <c r="G820" s="91"/>
      <c r="H820" s="91"/>
      <c r="I820" s="88"/>
      <c r="J820" s="91"/>
      <c r="K820" s="88"/>
      <c r="L820" s="88"/>
      <c r="M820" s="91"/>
      <c r="N820" s="88"/>
      <c r="O820" s="91"/>
      <c r="P820" s="91"/>
      <c r="Q820" s="88"/>
      <c r="R820" s="91"/>
      <c r="S820" s="91"/>
      <c r="T820" s="88"/>
      <c r="U820" s="88"/>
      <c r="V820" s="88"/>
      <c r="Y820" s="91"/>
      <c r="Z820" s="88"/>
    </row>
    <row r="821" spans="6:26" ht="12.5" x14ac:dyDescent="0.25">
      <c r="F821" s="88"/>
      <c r="G821" s="91"/>
      <c r="H821" s="91"/>
      <c r="I821" s="88"/>
      <c r="J821" s="91"/>
      <c r="K821" s="88"/>
      <c r="L821" s="88"/>
      <c r="M821" s="91"/>
      <c r="N821" s="88"/>
      <c r="O821" s="91"/>
      <c r="P821" s="91"/>
      <c r="Q821" s="88"/>
      <c r="R821" s="91"/>
      <c r="S821" s="91"/>
      <c r="T821" s="88"/>
      <c r="U821" s="88"/>
      <c r="V821" s="88"/>
      <c r="Y821" s="91"/>
      <c r="Z821" s="88"/>
    </row>
    <row r="822" spans="6:26" ht="12.5" x14ac:dyDescent="0.25">
      <c r="F822" s="88"/>
      <c r="G822" s="91"/>
      <c r="H822" s="91"/>
      <c r="I822" s="88"/>
      <c r="J822" s="91"/>
      <c r="K822" s="88"/>
      <c r="L822" s="88"/>
      <c r="M822" s="91"/>
      <c r="N822" s="88"/>
      <c r="O822" s="91"/>
      <c r="P822" s="91"/>
      <c r="Q822" s="88"/>
      <c r="R822" s="91"/>
      <c r="S822" s="91"/>
      <c r="T822" s="88"/>
      <c r="U822" s="88"/>
      <c r="V822" s="88"/>
      <c r="Y822" s="91"/>
      <c r="Z822" s="88"/>
    </row>
    <row r="823" spans="6:26" ht="12.5" x14ac:dyDescent="0.25">
      <c r="F823" s="88"/>
      <c r="G823" s="91"/>
      <c r="H823" s="91"/>
      <c r="I823" s="88"/>
      <c r="J823" s="91"/>
      <c r="K823" s="88"/>
      <c r="L823" s="88"/>
      <c r="M823" s="91"/>
      <c r="N823" s="88"/>
      <c r="O823" s="91"/>
      <c r="P823" s="91"/>
      <c r="Q823" s="88"/>
      <c r="R823" s="91"/>
      <c r="S823" s="91"/>
      <c r="T823" s="88"/>
      <c r="U823" s="88"/>
      <c r="V823" s="88"/>
      <c r="Y823" s="91"/>
      <c r="Z823" s="88"/>
    </row>
    <row r="824" spans="6:26" ht="12.5" x14ac:dyDescent="0.25">
      <c r="F824" s="88"/>
      <c r="G824" s="91"/>
      <c r="H824" s="91"/>
      <c r="I824" s="88"/>
      <c r="J824" s="91"/>
      <c r="K824" s="88"/>
      <c r="L824" s="88"/>
      <c r="M824" s="91"/>
      <c r="N824" s="88"/>
      <c r="O824" s="91"/>
      <c r="P824" s="91"/>
      <c r="Q824" s="88"/>
      <c r="R824" s="91"/>
      <c r="S824" s="91"/>
      <c r="T824" s="88"/>
      <c r="U824" s="88"/>
      <c r="V824" s="88"/>
      <c r="Y824" s="91"/>
      <c r="Z824" s="88"/>
    </row>
    <row r="825" spans="6:26" ht="12.5" x14ac:dyDescent="0.25">
      <c r="F825" s="88"/>
      <c r="G825" s="91"/>
      <c r="H825" s="91"/>
      <c r="I825" s="88"/>
      <c r="J825" s="91"/>
      <c r="K825" s="88"/>
      <c r="L825" s="88"/>
      <c r="M825" s="91"/>
      <c r="N825" s="88"/>
      <c r="O825" s="91"/>
      <c r="P825" s="91"/>
      <c r="Q825" s="88"/>
      <c r="R825" s="91"/>
      <c r="S825" s="91"/>
      <c r="T825" s="88"/>
      <c r="U825" s="88"/>
      <c r="V825" s="88"/>
      <c r="Y825" s="91"/>
      <c r="Z825" s="88"/>
    </row>
    <row r="826" spans="6:26" ht="12.5" x14ac:dyDescent="0.25">
      <c r="F826" s="88"/>
      <c r="G826" s="91"/>
      <c r="H826" s="91"/>
      <c r="I826" s="88"/>
      <c r="J826" s="91"/>
      <c r="K826" s="88"/>
      <c r="L826" s="88"/>
      <c r="M826" s="91"/>
      <c r="N826" s="88"/>
      <c r="O826" s="91"/>
      <c r="P826" s="91"/>
      <c r="Q826" s="88"/>
      <c r="R826" s="91"/>
      <c r="S826" s="91"/>
      <c r="T826" s="88"/>
      <c r="U826" s="88"/>
      <c r="V826" s="88"/>
      <c r="Y826" s="91"/>
      <c r="Z826" s="88"/>
    </row>
    <row r="827" spans="6:26" ht="12.5" x14ac:dyDescent="0.25">
      <c r="F827" s="88"/>
      <c r="G827" s="91"/>
      <c r="H827" s="91"/>
      <c r="I827" s="88"/>
      <c r="J827" s="91"/>
      <c r="K827" s="88"/>
      <c r="L827" s="88"/>
      <c r="M827" s="91"/>
      <c r="N827" s="88"/>
      <c r="O827" s="91"/>
      <c r="P827" s="91"/>
      <c r="Q827" s="88"/>
      <c r="R827" s="91"/>
      <c r="S827" s="91"/>
      <c r="T827" s="88"/>
      <c r="U827" s="88"/>
      <c r="V827" s="88"/>
      <c r="Y827" s="91"/>
      <c r="Z827" s="88"/>
    </row>
    <row r="828" spans="6:26" ht="12.5" x14ac:dyDescent="0.25">
      <c r="F828" s="88"/>
      <c r="G828" s="91"/>
      <c r="H828" s="91"/>
      <c r="I828" s="88"/>
      <c r="J828" s="91"/>
      <c r="K828" s="88"/>
      <c r="L828" s="88"/>
      <c r="M828" s="91"/>
      <c r="N828" s="88"/>
      <c r="O828" s="91"/>
      <c r="P828" s="91"/>
      <c r="Q828" s="88"/>
      <c r="R828" s="91"/>
      <c r="S828" s="91"/>
      <c r="T828" s="88"/>
      <c r="U828" s="88"/>
      <c r="V828" s="88"/>
      <c r="Y828" s="91"/>
      <c r="Z828" s="88"/>
    </row>
    <row r="829" spans="6:26" ht="12.5" x14ac:dyDescent="0.25">
      <c r="F829" s="88"/>
      <c r="G829" s="91"/>
      <c r="H829" s="91"/>
      <c r="I829" s="88"/>
      <c r="J829" s="91"/>
      <c r="K829" s="88"/>
      <c r="L829" s="88"/>
      <c r="M829" s="91"/>
      <c r="N829" s="88"/>
      <c r="O829" s="91"/>
      <c r="P829" s="91"/>
      <c r="Q829" s="88"/>
      <c r="R829" s="91"/>
      <c r="S829" s="91"/>
      <c r="T829" s="88"/>
      <c r="U829" s="88"/>
      <c r="V829" s="88"/>
      <c r="Y829" s="91"/>
      <c r="Z829" s="88"/>
    </row>
    <row r="830" spans="6:26" ht="12.5" x14ac:dyDescent="0.25">
      <c r="F830" s="88"/>
      <c r="G830" s="91"/>
      <c r="H830" s="91"/>
      <c r="I830" s="88"/>
      <c r="J830" s="91"/>
      <c r="K830" s="88"/>
      <c r="L830" s="88"/>
      <c r="M830" s="91"/>
      <c r="N830" s="88"/>
      <c r="O830" s="91"/>
      <c r="P830" s="91"/>
      <c r="Q830" s="88"/>
      <c r="R830" s="91"/>
      <c r="S830" s="91"/>
      <c r="T830" s="88"/>
      <c r="U830" s="88"/>
      <c r="V830" s="88"/>
      <c r="Y830" s="91"/>
      <c r="Z830" s="88"/>
    </row>
    <row r="831" spans="6:26" ht="12.5" x14ac:dyDescent="0.25">
      <c r="F831" s="88"/>
      <c r="G831" s="91"/>
      <c r="H831" s="91"/>
      <c r="I831" s="88"/>
      <c r="J831" s="91"/>
      <c r="K831" s="88"/>
      <c r="L831" s="88"/>
      <c r="M831" s="91"/>
      <c r="N831" s="88"/>
      <c r="O831" s="91"/>
      <c r="P831" s="91"/>
      <c r="Q831" s="88"/>
      <c r="R831" s="91"/>
      <c r="S831" s="91"/>
      <c r="T831" s="88"/>
      <c r="U831" s="88"/>
      <c r="V831" s="88"/>
      <c r="Y831" s="91"/>
      <c r="Z831" s="88"/>
    </row>
    <row r="832" spans="6:26" ht="12.5" x14ac:dyDescent="0.25">
      <c r="F832" s="88"/>
      <c r="G832" s="91"/>
      <c r="H832" s="91"/>
      <c r="I832" s="88"/>
      <c r="J832" s="91"/>
      <c r="K832" s="88"/>
      <c r="L832" s="88"/>
      <c r="M832" s="91"/>
      <c r="N832" s="88"/>
      <c r="O832" s="91"/>
      <c r="P832" s="91"/>
      <c r="Q832" s="88"/>
      <c r="R832" s="91"/>
      <c r="S832" s="91"/>
      <c r="T832" s="88"/>
      <c r="U832" s="88"/>
      <c r="V832" s="88"/>
      <c r="Y832" s="91"/>
      <c r="Z832" s="88"/>
    </row>
    <row r="833" spans="6:26" ht="12.5" x14ac:dyDescent="0.25">
      <c r="F833" s="88"/>
      <c r="G833" s="91"/>
      <c r="H833" s="91"/>
      <c r="I833" s="88"/>
      <c r="J833" s="91"/>
      <c r="K833" s="88"/>
      <c r="L833" s="88"/>
      <c r="M833" s="91"/>
      <c r="N833" s="88"/>
      <c r="O833" s="91"/>
      <c r="P833" s="91"/>
      <c r="Q833" s="88"/>
      <c r="R833" s="91"/>
      <c r="S833" s="91"/>
      <c r="T833" s="88"/>
      <c r="U833" s="88"/>
      <c r="V833" s="88"/>
      <c r="Y833" s="91"/>
      <c r="Z833" s="88"/>
    </row>
    <row r="834" spans="6:26" ht="12.5" x14ac:dyDescent="0.25">
      <c r="F834" s="88"/>
      <c r="G834" s="91"/>
      <c r="H834" s="91"/>
      <c r="I834" s="88"/>
      <c r="J834" s="91"/>
      <c r="K834" s="88"/>
      <c r="L834" s="88"/>
      <c r="M834" s="91"/>
      <c r="N834" s="88"/>
      <c r="O834" s="91"/>
      <c r="P834" s="91"/>
      <c r="Q834" s="88"/>
      <c r="R834" s="91"/>
      <c r="S834" s="91"/>
      <c r="T834" s="88"/>
      <c r="U834" s="88"/>
      <c r="V834" s="88"/>
      <c r="Y834" s="91"/>
      <c r="Z834" s="88"/>
    </row>
    <row r="835" spans="6:26" ht="12.5" x14ac:dyDescent="0.25">
      <c r="F835" s="88"/>
      <c r="G835" s="91"/>
      <c r="H835" s="91"/>
      <c r="I835" s="88"/>
      <c r="J835" s="91"/>
      <c r="K835" s="88"/>
      <c r="L835" s="88"/>
      <c r="M835" s="91"/>
      <c r="N835" s="88"/>
      <c r="O835" s="91"/>
      <c r="P835" s="91"/>
      <c r="Q835" s="88"/>
      <c r="R835" s="91"/>
      <c r="S835" s="91"/>
      <c r="T835" s="88"/>
      <c r="U835" s="88"/>
      <c r="V835" s="88"/>
      <c r="Y835" s="91"/>
      <c r="Z835" s="88"/>
    </row>
    <row r="836" spans="6:26" ht="12.5" x14ac:dyDescent="0.25">
      <c r="F836" s="88"/>
      <c r="G836" s="91"/>
      <c r="H836" s="91"/>
      <c r="I836" s="88"/>
      <c r="J836" s="91"/>
      <c r="K836" s="88"/>
      <c r="L836" s="88"/>
      <c r="M836" s="91"/>
      <c r="N836" s="88"/>
      <c r="O836" s="91"/>
      <c r="P836" s="91"/>
      <c r="Q836" s="88"/>
      <c r="R836" s="91"/>
      <c r="S836" s="91"/>
      <c r="T836" s="88"/>
      <c r="U836" s="88"/>
      <c r="V836" s="88"/>
      <c r="Y836" s="91"/>
      <c r="Z836" s="88"/>
    </row>
    <row r="837" spans="6:26" ht="12.5" x14ac:dyDescent="0.25">
      <c r="F837" s="88"/>
      <c r="G837" s="91"/>
      <c r="H837" s="91"/>
      <c r="I837" s="88"/>
      <c r="J837" s="91"/>
      <c r="K837" s="88"/>
      <c r="L837" s="88"/>
      <c r="M837" s="91"/>
      <c r="N837" s="88"/>
      <c r="O837" s="91"/>
      <c r="P837" s="91"/>
      <c r="Q837" s="88"/>
      <c r="R837" s="91"/>
      <c r="S837" s="91"/>
      <c r="T837" s="88"/>
      <c r="U837" s="88"/>
      <c r="V837" s="88"/>
      <c r="Y837" s="91"/>
      <c r="Z837" s="88"/>
    </row>
    <row r="838" spans="6:26" ht="12.5" x14ac:dyDescent="0.25">
      <c r="F838" s="88"/>
      <c r="G838" s="91"/>
      <c r="H838" s="91"/>
      <c r="I838" s="88"/>
      <c r="J838" s="91"/>
      <c r="K838" s="88"/>
      <c r="L838" s="88"/>
      <c r="M838" s="91"/>
      <c r="N838" s="88"/>
      <c r="O838" s="91"/>
      <c r="P838" s="91"/>
      <c r="Q838" s="88"/>
      <c r="R838" s="91"/>
      <c r="S838" s="91"/>
      <c r="T838" s="88"/>
      <c r="U838" s="88"/>
      <c r="V838" s="88"/>
      <c r="Y838" s="91"/>
      <c r="Z838" s="88"/>
    </row>
    <row r="839" spans="6:26" ht="12.5" x14ac:dyDescent="0.25">
      <c r="F839" s="88"/>
      <c r="G839" s="91"/>
      <c r="H839" s="91"/>
      <c r="I839" s="88"/>
      <c r="J839" s="91"/>
      <c r="K839" s="88"/>
      <c r="L839" s="88"/>
      <c r="M839" s="91"/>
      <c r="N839" s="88"/>
      <c r="O839" s="91"/>
      <c r="P839" s="91"/>
      <c r="Q839" s="88"/>
      <c r="R839" s="91"/>
      <c r="S839" s="91"/>
      <c r="T839" s="88"/>
      <c r="U839" s="88"/>
      <c r="V839" s="88"/>
      <c r="Y839" s="91"/>
      <c r="Z839" s="88"/>
    </row>
    <row r="840" spans="6:26" ht="12.5" x14ac:dyDescent="0.25">
      <c r="F840" s="88"/>
      <c r="G840" s="91"/>
      <c r="H840" s="91"/>
      <c r="I840" s="88"/>
      <c r="J840" s="91"/>
      <c r="K840" s="88"/>
      <c r="L840" s="88"/>
      <c r="M840" s="91"/>
      <c r="N840" s="88"/>
      <c r="O840" s="91"/>
      <c r="P840" s="91"/>
      <c r="Q840" s="88"/>
      <c r="R840" s="91"/>
      <c r="S840" s="91"/>
      <c r="T840" s="88"/>
      <c r="U840" s="88"/>
      <c r="V840" s="88"/>
      <c r="Y840" s="91"/>
      <c r="Z840" s="88"/>
    </row>
    <row r="841" spans="6:26" ht="12.5" x14ac:dyDescent="0.25">
      <c r="F841" s="88"/>
      <c r="G841" s="91"/>
      <c r="H841" s="91"/>
      <c r="I841" s="88"/>
      <c r="J841" s="91"/>
      <c r="K841" s="88"/>
      <c r="L841" s="88"/>
      <c r="M841" s="91"/>
      <c r="N841" s="88"/>
      <c r="O841" s="91"/>
      <c r="P841" s="91"/>
      <c r="Q841" s="88"/>
      <c r="R841" s="91"/>
      <c r="S841" s="91"/>
      <c r="T841" s="88"/>
      <c r="U841" s="88"/>
      <c r="V841" s="88"/>
      <c r="Y841" s="91"/>
      <c r="Z841" s="88"/>
    </row>
    <row r="842" spans="6:26" ht="12.5" x14ac:dyDescent="0.25">
      <c r="F842" s="88"/>
      <c r="G842" s="91"/>
      <c r="H842" s="91"/>
      <c r="I842" s="88"/>
      <c r="J842" s="91"/>
      <c r="K842" s="88"/>
      <c r="L842" s="88"/>
      <c r="M842" s="91"/>
      <c r="N842" s="88"/>
      <c r="O842" s="91"/>
      <c r="P842" s="91"/>
      <c r="Q842" s="88"/>
      <c r="R842" s="91"/>
      <c r="S842" s="91"/>
      <c r="T842" s="88"/>
      <c r="U842" s="88"/>
      <c r="V842" s="88"/>
      <c r="Y842" s="91"/>
      <c r="Z842" s="88"/>
    </row>
    <row r="843" spans="6:26" ht="12.5" x14ac:dyDescent="0.25">
      <c r="F843" s="88"/>
      <c r="G843" s="91"/>
      <c r="H843" s="91"/>
      <c r="I843" s="88"/>
      <c r="J843" s="91"/>
      <c r="K843" s="88"/>
      <c r="L843" s="88"/>
      <c r="M843" s="91"/>
      <c r="N843" s="88"/>
      <c r="O843" s="91"/>
      <c r="P843" s="91"/>
      <c r="Q843" s="88"/>
      <c r="R843" s="91"/>
      <c r="S843" s="91"/>
      <c r="T843" s="88"/>
      <c r="U843" s="88"/>
      <c r="V843" s="88"/>
      <c r="Y843" s="91"/>
      <c r="Z843" s="88"/>
    </row>
    <row r="844" spans="6:26" ht="12.5" x14ac:dyDescent="0.25">
      <c r="F844" s="88"/>
      <c r="G844" s="91"/>
      <c r="H844" s="91"/>
      <c r="I844" s="88"/>
      <c r="J844" s="91"/>
      <c r="K844" s="88"/>
      <c r="L844" s="88"/>
      <c r="M844" s="91"/>
      <c r="N844" s="88"/>
      <c r="O844" s="91"/>
      <c r="P844" s="91"/>
      <c r="Q844" s="88"/>
      <c r="R844" s="91"/>
      <c r="S844" s="91"/>
      <c r="T844" s="88"/>
      <c r="U844" s="88"/>
      <c r="V844" s="88"/>
      <c r="Y844" s="91"/>
      <c r="Z844" s="88"/>
    </row>
    <row r="845" spans="6:26" ht="12.5" x14ac:dyDescent="0.25">
      <c r="F845" s="88"/>
      <c r="G845" s="91"/>
      <c r="H845" s="91"/>
      <c r="I845" s="88"/>
      <c r="J845" s="91"/>
      <c r="K845" s="88"/>
      <c r="L845" s="88"/>
      <c r="M845" s="91"/>
      <c r="N845" s="88"/>
      <c r="O845" s="91"/>
      <c r="P845" s="91"/>
      <c r="Q845" s="88"/>
      <c r="R845" s="91"/>
      <c r="S845" s="91"/>
      <c r="T845" s="88"/>
      <c r="U845" s="88"/>
      <c r="V845" s="88"/>
      <c r="Y845" s="91"/>
      <c r="Z845" s="88"/>
    </row>
    <row r="846" spans="6:26" ht="12.5" x14ac:dyDescent="0.25">
      <c r="F846" s="88"/>
      <c r="G846" s="91"/>
      <c r="H846" s="91"/>
      <c r="I846" s="88"/>
      <c r="J846" s="91"/>
      <c r="K846" s="88"/>
      <c r="L846" s="88"/>
      <c r="M846" s="91"/>
      <c r="N846" s="88"/>
      <c r="O846" s="91"/>
      <c r="P846" s="91"/>
      <c r="Q846" s="88"/>
      <c r="R846" s="91"/>
      <c r="S846" s="91"/>
      <c r="T846" s="88"/>
      <c r="U846" s="88"/>
      <c r="V846" s="88"/>
      <c r="Y846" s="91"/>
      <c r="Z846" s="88"/>
    </row>
    <row r="847" spans="6:26" ht="12.5" x14ac:dyDescent="0.25">
      <c r="F847" s="88"/>
      <c r="G847" s="91"/>
      <c r="H847" s="91"/>
      <c r="I847" s="88"/>
      <c r="J847" s="91"/>
      <c r="K847" s="88"/>
      <c r="L847" s="88"/>
      <c r="M847" s="91"/>
      <c r="N847" s="88"/>
      <c r="O847" s="91"/>
      <c r="P847" s="91"/>
      <c r="Q847" s="88"/>
      <c r="R847" s="91"/>
      <c r="S847" s="91"/>
      <c r="T847" s="88"/>
      <c r="U847" s="88"/>
      <c r="V847" s="88"/>
      <c r="Y847" s="91"/>
      <c r="Z847" s="88"/>
    </row>
    <row r="848" spans="6:26" ht="12.5" x14ac:dyDescent="0.25">
      <c r="F848" s="88"/>
      <c r="G848" s="91"/>
      <c r="H848" s="91"/>
      <c r="I848" s="88"/>
      <c r="J848" s="91"/>
      <c r="K848" s="88"/>
      <c r="L848" s="88"/>
      <c r="M848" s="91"/>
      <c r="N848" s="88"/>
      <c r="O848" s="91"/>
      <c r="P848" s="91"/>
      <c r="Q848" s="88"/>
      <c r="R848" s="91"/>
      <c r="S848" s="91"/>
      <c r="T848" s="88"/>
      <c r="U848" s="88"/>
      <c r="V848" s="88"/>
      <c r="Y848" s="91"/>
      <c r="Z848" s="88"/>
    </row>
    <row r="849" spans="6:26" ht="12.5" x14ac:dyDescent="0.25">
      <c r="F849" s="88"/>
      <c r="G849" s="91"/>
      <c r="H849" s="91"/>
      <c r="I849" s="88"/>
      <c r="J849" s="91"/>
      <c r="K849" s="88"/>
      <c r="L849" s="88"/>
      <c r="M849" s="91"/>
      <c r="N849" s="88"/>
      <c r="O849" s="91"/>
      <c r="P849" s="91"/>
      <c r="Q849" s="88"/>
      <c r="R849" s="91"/>
      <c r="S849" s="91"/>
      <c r="T849" s="88"/>
      <c r="U849" s="88"/>
      <c r="V849" s="88"/>
      <c r="Y849" s="91"/>
      <c r="Z849" s="88"/>
    </row>
    <row r="850" spans="6:26" ht="12.5" x14ac:dyDescent="0.25">
      <c r="F850" s="88"/>
      <c r="G850" s="91"/>
      <c r="H850" s="91"/>
      <c r="I850" s="88"/>
      <c r="J850" s="91"/>
      <c r="K850" s="88"/>
      <c r="L850" s="88"/>
      <c r="M850" s="91"/>
      <c r="N850" s="88"/>
      <c r="O850" s="91"/>
      <c r="P850" s="91"/>
      <c r="Q850" s="88"/>
      <c r="R850" s="91"/>
      <c r="S850" s="91"/>
      <c r="T850" s="88"/>
      <c r="U850" s="88"/>
      <c r="V850" s="88"/>
      <c r="Y850" s="91"/>
      <c r="Z850" s="88"/>
    </row>
    <row r="851" spans="6:26" ht="12.5" x14ac:dyDescent="0.25">
      <c r="F851" s="88"/>
      <c r="G851" s="91"/>
      <c r="H851" s="91"/>
      <c r="I851" s="88"/>
      <c r="J851" s="91"/>
      <c r="K851" s="88"/>
      <c r="L851" s="88"/>
      <c r="M851" s="91"/>
      <c r="N851" s="88"/>
      <c r="O851" s="91"/>
      <c r="P851" s="91"/>
      <c r="Q851" s="88"/>
      <c r="R851" s="91"/>
      <c r="S851" s="91"/>
      <c r="T851" s="88"/>
      <c r="U851" s="88"/>
      <c r="V851" s="88"/>
      <c r="Y851" s="91"/>
      <c r="Z851" s="88"/>
    </row>
    <row r="852" spans="6:26" ht="12.5" x14ac:dyDescent="0.25">
      <c r="F852" s="88"/>
      <c r="G852" s="91"/>
      <c r="H852" s="91"/>
      <c r="I852" s="88"/>
      <c r="J852" s="91"/>
      <c r="K852" s="88"/>
      <c r="L852" s="88"/>
      <c r="M852" s="91"/>
      <c r="N852" s="88"/>
      <c r="O852" s="91"/>
      <c r="P852" s="91"/>
      <c r="Q852" s="88"/>
      <c r="R852" s="91"/>
      <c r="S852" s="91"/>
      <c r="T852" s="88"/>
      <c r="U852" s="88"/>
      <c r="V852" s="88"/>
      <c r="Y852" s="91"/>
      <c r="Z852" s="88"/>
    </row>
    <row r="853" spans="6:26" ht="12.5" x14ac:dyDescent="0.25">
      <c r="F853" s="88"/>
      <c r="G853" s="91"/>
      <c r="H853" s="91"/>
      <c r="I853" s="88"/>
      <c r="J853" s="91"/>
      <c r="K853" s="88"/>
      <c r="L853" s="88"/>
      <c r="M853" s="91"/>
      <c r="N853" s="88"/>
      <c r="O853" s="91"/>
      <c r="P853" s="91"/>
      <c r="Q853" s="88"/>
      <c r="R853" s="91"/>
      <c r="S853" s="91"/>
      <c r="T853" s="88"/>
      <c r="U853" s="88"/>
      <c r="V853" s="88"/>
      <c r="Y853" s="91"/>
      <c r="Z853" s="88"/>
    </row>
    <row r="854" spans="6:26" ht="12.5" x14ac:dyDescent="0.25">
      <c r="F854" s="88"/>
      <c r="G854" s="91"/>
      <c r="H854" s="91"/>
      <c r="I854" s="88"/>
      <c r="J854" s="91"/>
      <c r="K854" s="88"/>
      <c r="L854" s="88"/>
      <c r="M854" s="91"/>
      <c r="N854" s="88"/>
      <c r="O854" s="91"/>
      <c r="P854" s="91"/>
      <c r="Q854" s="88"/>
      <c r="R854" s="91"/>
      <c r="S854" s="91"/>
      <c r="T854" s="88"/>
      <c r="U854" s="88"/>
      <c r="V854" s="88"/>
      <c r="Y854" s="91"/>
      <c r="Z854" s="88"/>
    </row>
    <row r="855" spans="6:26" ht="12.5" x14ac:dyDescent="0.25">
      <c r="F855" s="88"/>
      <c r="G855" s="91"/>
      <c r="H855" s="91"/>
      <c r="I855" s="88"/>
      <c r="J855" s="91"/>
      <c r="K855" s="88"/>
      <c r="L855" s="88"/>
      <c r="M855" s="91"/>
      <c r="N855" s="88"/>
      <c r="O855" s="91"/>
      <c r="P855" s="91"/>
      <c r="Q855" s="88"/>
      <c r="R855" s="91"/>
      <c r="S855" s="91"/>
      <c r="T855" s="88"/>
      <c r="U855" s="88"/>
      <c r="V855" s="88"/>
      <c r="Y855" s="91"/>
      <c r="Z855" s="88"/>
    </row>
    <row r="856" spans="6:26" ht="12.5" x14ac:dyDescent="0.25">
      <c r="F856" s="88"/>
      <c r="G856" s="91"/>
      <c r="H856" s="91"/>
      <c r="I856" s="88"/>
      <c r="J856" s="91"/>
      <c r="K856" s="88"/>
      <c r="L856" s="88"/>
      <c r="M856" s="91"/>
      <c r="N856" s="88"/>
      <c r="O856" s="91"/>
      <c r="P856" s="91"/>
      <c r="Q856" s="88"/>
      <c r="R856" s="91"/>
      <c r="S856" s="91"/>
      <c r="T856" s="88"/>
      <c r="U856" s="88"/>
      <c r="V856" s="88"/>
      <c r="Y856" s="91"/>
      <c r="Z856" s="88"/>
    </row>
    <row r="857" spans="6:26" ht="12.5" x14ac:dyDescent="0.25">
      <c r="F857" s="88"/>
      <c r="G857" s="91"/>
      <c r="H857" s="91"/>
      <c r="I857" s="88"/>
      <c r="J857" s="91"/>
      <c r="K857" s="88"/>
      <c r="L857" s="88"/>
      <c r="M857" s="91"/>
      <c r="N857" s="88"/>
      <c r="O857" s="91"/>
      <c r="P857" s="91"/>
      <c r="Q857" s="88"/>
      <c r="R857" s="91"/>
      <c r="S857" s="91"/>
      <c r="T857" s="88"/>
      <c r="U857" s="88"/>
      <c r="V857" s="88"/>
      <c r="Y857" s="91"/>
      <c r="Z857" s="88"/>
    </row>
    <row r="858" spans="6:26" ht="12.5" x14ac:dyDescent="0.25">
      <c r="F858" s="88"/>
      <c r="G858" s="91"/>
      <c r="H858" s="91"/>
      <c r="I858" s="88"/>
      <c r="J858" s="91"/>
      <c r="K858" s="88"/>
      <c r="L858" s="88"/>
      <c r="M858" s="91"/>
      <c r="N858" s="88"/>
      <c r="O858" s="91"/>
      <c r="P858" s="91"/>
      <c r="Q858" s="88"/>
      <c r="R858" s="91"/>
      <c r="S858" s="91"/>
      <c r="T858" s="88"/>
      <c r="U858" s="88"/>
      <c r="V858" s="88"/>
      <c r="Y858" s="91"/>
      <c r="Z858" s="88"/>
    </row>
    <row r="859" spans="6:26" ht="12.5" x14ac:dyDescent="0.25">
      <c r="F859" s="88"/>
      <c r="G859" s="91"/>
      <c r="H859" s="91"/>
      <c r="I859" s="88"/>
      <c r="J859" s="91"/>
      <c r="K859" s="88"/>
      <c r="L859" s="88"/>
      <c r="M859" s="91"/>
      <c r="N859" s="88"/>
      <c r="O859" s="91"/>
      <c r="P859" s="91"/>
      <c r="Q859" s="88"/>
      <c r="R859" s="91"/>
      <c r="S859" s="91"/>
      <c r="T859" s="88"/>
      <c r="U859" s="88"/>
      <c r="V859" s="88"/>
      <c r="Y859" s="91"/>
      <c r="Z859" s="88"/>
    </row>
    <row r="860" spans="6:26" ht="12.5" x14ac:dyDescent="0.25">
      <c r="F860" s="88"/>
      <c r="G860" s="91"/>
      <c r="H860" s="91"/>
      <c r="I860" s="88"/>
      <c r="J860" s="91"/>
      <c r="K860" s="88"/>
      <c r="L860" s="88"/>
      <c r="M860" s="91"/>
      <c r="N860" s="88"/>
      <c r="O860" s="91"/>
      <c r="P860" s="91"/>
      <c r="Q860" s="88"/>
      <c r="R860" s="91"/>
      <c r="S860" s="91"/>
      <c r="T860" s="88"/>
      <c r="U860" s="88"/>
      <c r="V860" s="88"/>
      <c r="Y860" s="91"/>
      <c r="Z860" s="88"/>
    </row>
    <row r="861" spans="6:26" ht="12.5" x14ac:dyDescent="0.25">
      <c r="F861" s="88"/>
      <c r="G861" s="91"/>
      <c r="H861" s="91"/>
      <c r="I861" s="88"/>
      <c r="J861" s="91"/>
      <c r="K861" s="88"/>
      <c r="L861" s="88"/>
      <c r="M861" s="91"/>
      <c r="N861" s="88"/>
      <c r="O861" s="91"/>
      <c r="P861" s="91"/>
      <c r="Q861" s="88"/>
      <c r="R861" s="91"/>
      <c r="S861" s="91"/>
      <c r="T861" s="88"/>
      <c r="U861" s="88"/>
      <c r="V861" s="88"/>
      <c r="Y861" s="91"/>
      <c r="Z861" s="88"/>
    </row>
    <row r="862" spans="6:26" ht="12.5" x14ac:dyDescent="0.25">
      <c r="F862" s="88"/>
      <c r="G862" s="91"/>
      <c r="H862" s="91"/>
      <c r="I862" s="88"/>
      <c r="J862" s="91"/>
      <c r="K862" s="88"/>
      <c r="L862" s="88"/>
      <c r="M862" s="91"/>
      <c r="N862" s="88"/>
      <c r="O862" s="91"/>
      <c r="P862" s="91"/>
      <c r="Q862" s="88"/>
      <c r="R862" s="91"/>
      <c r="S862" s="91"/>
      <c r="T862" s="88"/>
      <c r="U862" s="88"/>
      <c r="V862" s="88"/>
      <c r="Y862" s="91"/>
      <c r="Z862" s="88"/>
    </row>
    <row r="863" spans="6:26" ht="12.5" x14ac:dyDescent="0.25">
      <c r="F863" s="88"/>
      <c r="G863" s="91"/>
      <c r="H863" s="91"/>
      <c r="I863" s="88"/>
      <c r="J863" s="91"/>
      <c r="K863" s="88"/>
      <c r="L863" s="88"/>
      <c r="M863" s="91"/>
      <c r="N863" s="88"/>
      <c r="O863" s="91"/>
      <c r="P863" s="91"/>
      <c r="Q863" s="88"/>
      <c r="R863" s="91"/>
      <c r="S863" s="91"/>
      <c r="T863" s="88"/>
      <c r="U863" s="88"/>
      <c r="V863" s="88"/>
      <c r="Y863" s="91"/>
      <c r="Z863" s="88"/>
    </row>
    <row r="864" spans="6:26" ht="12.5" x14ac:dyDescent="0.25">
      <c r="F864" s="88"/>
      <c r="G864" s="91"/>
      <c r="H864" s="91"/>
      <c r="I864" s="88"/>
      <c r="J864" s="91"/>
      <c r="K864" s="88"/>
      <c r="L864" s="88"/>
      <c r="M864" s="91"/>
      <c r="N864" s="88"/>
      <c r="O864" s="91"/>
      <c r="P864" s="91"/>
      <c r="Q864" s="88"/>
      <c r="R864" s="91"/>
      <c r="S864" s="91"/>
      <c r="T864" s="88"/>
      <c r="U864" s="88"/>
      <c r="V864" s="88"/>
      <c r="Y864" s="91"/>
      <c r="Z864" s="88"/>
    </row>
    <row r="865" spans="6:26" ht="12.5" x14ac:dyDescent="0.25">
      <c r="F865" s="88"/>
      <c r="G865" s="91"/>
      <c r="H865" s="91"/>
      <c r="I865" s="88"/>
      <c r="J865" s="91"/>
      <c r="K865" s="88"/>
      <c r="L865" s="88"/>
      <c r="M865" s="91"/>
      <c r="N865" s="88"/>
      <c r="O865" s="91"/>
      <c r="P865" s="91"/>
      <c r="Q865" s="88"/>
      <c r="R865" s="91"/>
      <c r="S865" s="91"/>
      <c r="T865" s="88"/>
      <c r="U865" s="88"/>
      <c r="V865" s="88"/>
      <c r="Y865" s="91"/>
      <c r="Z865" s="88"/>
    </row>
    <row r="866" spans="6:26" ht="12.5" x14ac:dyDescent="0.25">
      <c r="F866" s="88"/>
      <c r="G866" s="91"/>
      <c r="H866" s="91"/>
      <c r="I866" s="88"/>
      <c r="J866" s="91"/>
      <c r="K866" s="88"/>
      <c r="L866" s="88"/>
      <c r="M866" s="91"/>
      <c r="N866" s="88"/>
      <c r="O866" s="91"/>
      <c r="P866" s="91"/>
      <c r="Q866" s="88"/>
      <c r="R866" s="91"/>
      <c r="S866" s="91"/>
      <c r="T866" s="88"/>
      <c r="U866" s="88"/>
      <c r="V866" s="88"/>
      <c r="Y866" s="91"/>
      <c r="Z866" s="88"/>
    </row>
    <row r="867" spans="6:26" ht="12.5" x14ac:dyDescent="0.25">
      <c r="F867" s="88"/>
      <c r="G867" s="91"/>
      <c r="H867" s="91"/>
      <c r="I867" s="88"/>
      <c r="J867" s="91"/>
      <c r="K867" s="88"/>
      <c r="L867" s="88"/>
      <c r="M867" s="91"/>
      <c r="N867" s="88"/>
      <c r="O867" s="91"/>
      <c r="P867" s="91"/>
      <c r="Q867" s="88"/>
      <c r="R867" s="91"/>
      <c r="S867" s="91"/>
      <c r="T867" s="88"/>
      <c r="U867" s="88"/>
      <c r="V867" s="88"/>
      <c r="Y867" s="91"/>
      <c r="Z867" s="88"/>
    </row>
    <row r="868" spans="6:26" ht="12.5" x14ac:dyDescent="0.25">
      <c r="F868" s="88"/>
      <c r="G868" s="91"/>
      <c r="H868" s="91"/>
      <c r="I868" s="88"/>
      <c r="J868" s="91"/>
      <c r="K868" s="88"/>
      <c r="L868" s="88"/>
      <c r="M868" s="91"/>
      <c r="N868" s="88"/>
      <c r="O868" s="91"/>
      <c r="P868" s="91"/>
      <c r="Q868" s="88"/>
      <c r="R868" s="91"/>
      <c r="S868" s="91"/>
      <c r="T868" s="88"/>
      <c r="U868" s="88"/>
      <c r="V868" s="88"/>
      <c r="Y868" s="91"/>
      <c r="Z868" s="88"/>
    </row>
    <row r="869" spans="6:26" ht="12.5" x14ac:dyDescent="0.25">
      <c r="F869" s="88"/>
      <c r="G869" s="91"/>
      <c r="H869" s="91"/>
      <c r="I869" s="88"/>
      <c r="J869" s="91"/>
      <c r="K869" s="88"/>
      <c r="L869" s="88"/>
      <c r="M869" s="91"/>
      <c r="N869" s="88"/>
      <c r="O869" s="91"/>
      <c r="P869" s="91"/>
      <c r="Q869" s="88"/>
      <c r="R869" s="91"/>
      <c r="S869" s="91"/>
      <c r="T869" s="88"/>
      <c r="U869" s="88"/>
      <c r="V869" s="88"/>
      <c r="Y869" s="91"/>
      <c r="Z869" s="88"/>
    </row>
    <row r="870" spans="6:26" ht="12.5" x14ac:dyDescent="0.25">
      <c r="F870" s="88"/>
      <c r="G870" s="91"/>
      <c r="H870" s="91"/>
      <c r="I870" s="88"/>
      <c r="J870" s="91"/>
      <c r="K870" s="88"/>
      <c r="L870" s="88"/>
      <c r="M870" s="91"/>
      <c r="N870" s="88"/>
      <c r="O870" s="91"/>
      <c r="P870" s="91"/>
      <c r="Q870" s="88"/>
      <c r="R870" s="91"/>
      <c r="S870" s="91"/>
      <c r="T870" s="88"/>
      <c r="U870" s="88"/>
      <c r="V870" s="88"/>
      <c r="Y870" s="91"/>
      <c r="Z870" s="88"/>
    </row>
    <row r="871" spans="6:26" ht="12.5" x14ac:dyDescent="0.25">
      <c r="F871" s="88"/>
      <c r="G871" s="91"/>
      <c r="H871" s="91"/>
      <c r="I871" s="88"/>
      <c r="J871" s="91"/>
      <c r="K871" s="88"/>
      <c r="L871" s="88"/>
      <c r="M871" s="91"/>
      <c r="N871" s="88"/>
      <c r="O871" s="91"/>
      <c r="P871" s="91"/>
      <c r="Q871" s="88"/>
      <c r="R871" s="91"/>
      <c r="S871" s="91"/>
      <c r="T871" s="88"/>
      <c r="U871" s="88"/>
      <c r="V871" s="88"/>
      <c r="Y871" s="91"/>
      <c r="Z871" s="88"/>
    </row>
    <row r="872" spans="6:26" ht="12.5" x14ac:dyDescent="0.25">
      <c r="F872" s="88"/>
      <c r="G872" s="91"/>
      <c r="H872" s="91"/>
      <c r="I872" s="88"/>
      <c r="J872" s="91"/>
      <c r="K872" s="88"/>
      <c r="L872" s="88"/>
      <c r="M872" s="91"/>
      <c r="N872" s="88"/>
      <c r="O872" s="91"/>
      <c r="P872" s="91"/>
      <c r="Q872" s="88"/>
      <c r="R872" s="91"/>
      <c r="S872" s="91"/>
      <c r="T872" s="88"/>
      <c r="U872" s="88"/>
      <c r="V872" s="88"/>
      <c r="Y872" s="91"/>
      <c r="Z872" s="88"/>
    </row>
    <row r="873" spans="6:26" ht="12.5" x14ac:dyDescent="0.25">
      <c r="F873" s="88"/>
      <c r="G873" s="91"/>
      <c r="H873" s="91"/>
      <c r="I873" s="88"/>
      <c r="J873" s="91"/>
      <c r="K873" s="88"/>
      <c r="L873" s="88"/>
      <c r="M873" s="91"/>
      <c r="N873" s="88"/>
      <c r="O873" s="91"/>
      <c r="P873" s="91"/>
      <c r="Q873" s="88"/>
      <c r="R873" s="91"/>
      <c r="S873" s="91"/>
      <c r="T873" s="88"/>
      <c r="U873" s="88"/>
      <c r="V873" s="88"/>
      <c r="Y873" s="91"/>
      <c r="Z873" s="88"/>
    </row>
    <row r="874" spans="6:26" ht="12.5" x14ac:dyDescent="0.25">
      <c r="F874" s="88"/>
      <c r="G874" s="91"/>
      <c r="H874" s="91"/>
      <c r="I874" s="88"/>
      <c r="J874" s="91"/>
      <c r="K874" s="88"/>
      <c r="L874" s="88"/>
      <c r="M874" s="91"/>
      <c r="N874" s="88"/>
      <c r="O874" s="91"/>
      <c r="P874" s="91"/>
      <c r="Q874" s="88"/>
      <c r="R874" s="91"/>
      <c r="S874" s="91"/>
      <c r="T874" s="88"/>
      <c r="U874" s="88"/>
      <c r="V874" s="88"/>
      <c r="Y874" s="91"/>
      <c r="Z874" s="88"/>
    </row>
    <row r="875" spans="6:26" ht="12.5" x14ac:dyDescent="0.25">
      <c r="F875" s="88"/>
      <c r="G875" s="91"/>
      <c r="H875" s="91"/>
      <c r="I875" s="88"/>
      <c r="J875" s="91"/>
      <c r="K875" s="88"/>
      <c r="L875" s="88"/>
      <c r="M875" s="91"/>
      <c r="N875" s="88"/>
      <c r="O875" s="91"/>
      <c r="P875" s="91"/>
      <c r="Q875" s="88"/>
      <c r="R875" s="91"/>
      <c r="S875" s="91"/>
      <c r="T875" s="88"/>
      <c r="U875" s="88"/>
      <c r="V875" s="88"/>
      <c r="Y875" s="91"/>
      <c r="Z875" s="88"/>
    </row>
    <row r="876" spans="6:26" ht="12.5" x14ac:dyDescent="0.25">
      <c r="F876" s="88"/>
      <c r="G876" s="91"/>
      <c r="H876" s="91"/>
      <c r="I876" s="88"/>
      <c r="J876" s="91"/>
      <c r="K876" s="88"/>
      <c r="L876" s="88"/>
      <c r="M876" s="91"/>
      <c r="N876" s="88"/>
      <c r="O876" s="91"/>
      <c r="P876" s="91"/>
      <c r="Q876" s="88"/>
      <c r="R876" s="91"/>
      <c r="S876" s="91"/>
      <c r="T876" s="88"/>
      <c r="U876" s="88"/>
      <c r="V876" s="88"/>
      <c r="Y876" s="91"/>
      <c r="Z876" s="88"/>
    </row>
    <row r="877" spans="6:26" ht="12.5" x14ac:dyDescent="0.25">
      <c r="F877" s="88"/>
      <c r="G877" s="91"/>
      <c r="H877" s="91"/>
      <c r="I877" s="88"/>
      <c r="J877" s="91"/>
      <c r="K877" s="88"/>
      <c r="L877" s="88"/>
      <c r="M877" s="91"/>
      <c r="N877" s="88"/>
      <c r="O877" s="91"/>
      <c r="P877" s="91"/>
      <c r="Q877" s="88"/>
      <c r="R877" s="91"/>
      <c r="S877" s="91"/>
      <c r="T877" s="88"/>
      <c r="U877" s="88"/>
      <c r="V877" s="88"/>
      <c r="Y877" s="91"/>
      <c r="Z877" s="88"/>
    </row>
    <row r="878" spans="6:26" ht="12.5" x14ac:dyDescent="0.25">
      <c r="F878" s="88"/>
      <c r="G878" s="91"/>
      <c r="H878" s="91"/>
      <c r="I878" s="88"/>
      <c r="J878" s="91"/>
      <c r="K878" s="88"/>
      <c r="L878" s="88"/>
      <c r="M878" s="91"/>
      <c r="N878" s="88"/>
      <c r="O878" s="91"/>
      <c r="P878" s="91"/>
      <c r="Q878" s="88"/>
      <c r="R878" s="91"/>
      <c r="S878" s="91"/>
      <c r="T878" s="88"/>
      <c r="U878" s="88"/>
      <c r="V878" s="88"/>
      <c r="Y878" s="91"/>
      <c r="Z878" s="88"/>
    </row>
    <row r="879" spans="6:26" ht="12.5" x14ac:dyDescent="0.25">
      <c r="F879" s="88"/>
      <c r="G879" s="91"/>
      <c r="H879" s="91"/>
      <c r="I879" s="88"/>
      <c r="J879" s="91"/>
      <c r="K879" s="88"/>
      <c r="L879" s="88"/>
      <c r="M879" s="91"/>
      <c r="N879" s="88"/>
      <c r="O879" s="91"/>
      <c r="P879" s="91"/>
      <c r="Q879" s="88"/>
      <c r="R879" s="91"/>
      <c r="S879" s="91"/>
      <c r="T879" s="88"/>
      <c r="U879" s="88"/>
      <c r="V879" s="88"/>
      <c r="Y879" s="91"/>
      <c r="Z879" s="88"/>
    </row>
    <row r="880" spans="6:26" ht="12.5" x14ac:dyDescent="0.25">
      <c r="F880" s="88"/>
      <c r="G880" s="91"/>
      <c r="H880" s="91"/>
      <c r="I880" s="88"/>
      <c r="J880" s="91"/>
      <c r="K880" s="88"/>
      <c r="L880" s="88"/>
      <c r="M880" s="91"/>
      <c r="N880" s="88"/>
      <c r="O880" s="91"/>
      <c r="P880" s="91"/>
      <c r="Q880" s="88"/>
      <c r="R880" s="91"/>
      <c r="S880" s="91"/>
      <c r="T880" s="88"/>
      <c r="U880" s="88"/>
      <c r="V880" s="88"/>
      <c r="Y880" s="91"/>
      <c r="Z880" s="88"/>
    </row>
    <row r="881" spans="6:26" ht="12.5" x14ac:dyDescent="0.25">
      <c r="F881" s="88"/>
      <c r="G881" s="91"/>
      <c r="H881" s="91"/>
      <c r="I881" s="88"/>
      <c r="J881" s="91"/>
      <c r="K881" s="88"/>
      <c r="L881" s="88"/>
      <c r="M881" s="91"/>
      <c r="N881" s="88"/>
      <c r="O881" s="91"/>
      <c r="P881" s="91"/>
      <c r="Q881" s="88"/>
      <c r="R881" s="91"/>
      <c r="S881" s="91"/>
      <c r="T881" s="88"/>
      <c r="U881" s="88"/>
      <c r="V881" s="88"/>
      <c r="Y881" s="91"/>
      <c r="Z881" s="88"/>
    </row>
    <row r="882" spans="6:26" ht="12.5" x14ac:dyDescent="0.25">
      <c r="F882" s="88"/>
      <c r="G882" s="91"/>
      <c r="H882" s="91"/>
      <c r="I882" s="88"/>
      <c r="J882" s="91"/>
      <c r="K882" s="88"/>
      <c r="L882" s="88"/>
      <c r="M882" s="91"/>
      <c r="N882" s="88"/>
      <c r="O882" s="91"/>
      <c r="P882" s="91"/>
      <c r="Q882" s="88"/>
      <c r="R882" s="91"/>
      <c r="S882" s="91"/>
      <c r="T882" s="88"/>
      <c r="U882" s="88"/>
      <c r="V882" s="88"/>
      <c r="Y882" s="91"/>
      <c r="Z882" s="88"/>
    </row>
    <row r="883" spans="6:26" ht="12.5" x14ac:dyDescent="0.25">
      <c r="F883" s="88"/>
      <c r="G883" s="91"/>
      <c r="H883" s="91"/>
      <c r="I883" s="88"/>
      <c r="J883" s="91"/>
      <c r="K883" s="88"/>
      <c r="L883" s="88"/>
      <c r="M883" s="91"/>
      <c r="N883" s="88"/>
      <c r="O883" s="91"/>
      <c r="P883" s="91"/>
      <c r="Q883" s="88"/>
      <c r="R883" s="91"/>
      <c r="S883" s="91"/>
      <c r="T883" s="88"/>
      <c r="U883" s="88"/>
      <c r="V883" s="88"/>
      <c r="Y883" s="91"/>
      <c r="Z883" s="88"/>
    </row>
    <row r="884" spans="6:26" ht="12.5" x14ac:dyDescent="0.25">
      <c r="F884" s="88"/>
      <c r="G884" s="91"/>
      <c r="H884" s="91"/>
      <c r="I884" s="88"/>
      <c r="J884" s="91"/>
      <c r="K884" s="88"/>
      <c r="L884" s="88"/>
      <c r="M884" s="91"/>
      <c r="N884" s="88"/>
      <c r="O884" s="91"/>
      <c r="P884" s="91"/>
      <c r="Q884" s="88"/>
      <c r="R884" s="91"/>
      <c r="S884" s="91"/>
      <c r="T884" s="88"/>
      <c r="U884" s="88"/>
      <c r="V884" s="88"/>
      <c r="Y884" s="91"/>
      <c r="Z884" s="88"/>
    </row>
    <row r="885" spans="6:26" ht="12.5" x14ac:dyDescent="0.25">
      <c r="F885" s="88"/>
      <c r="G885" s="91"/>
      <c r="H885" s="91"/>
      <c r="I885" s="88"/>
      <c r="J885" s="91"/>
      <c r="K885" s="88"/>
      <c r="L885" s="88"/>
      <c r="M885" s="91"/>
      <c r="N885" s="88"/>
      <c r="O885" s="91"/>
      <c r="P885" s="91"/>
      <c r="Q885" s="88"/>
      <c r="R885" s="91"/>
      <c r="S885" s="91"/>
      <c r="T885" s="88"/>
      <c r="U885" s="88"/>
      <c r="V885" s="88"/>
      <c r="Y885" s="91"/>
      <c r="Z885" s="88"/>
    </row>
    <row r="886" spans="6:26" ht="12.5" x14ac:dyDescent="0.25">
      <c r="F886" s="88"/>
      <c r="G886" s="91"/>
      <c r="H886" s="91"/>
      <c r="I886" s="88"/>
      <c r="J886" s="91"/>
      <c r="K886" s="88"/>
      <c r="L886" s="88"/>
      <c r="M886" s="91"/>
      <c r="N886" s="88"/>
      <c r="O886" s="91"/>
      <c r="P886" s="91"/>
      <c r="Q886" s="88"/>
      <c r="R886" s="91"/>
      <c r="S886" s="91"/>
      <c r="T886" s="88"/>
      <c r="U886" s="88"/>
      <c r="V886" s="88"/>
      <c r="Y886" s="91"/>
      <c r="Z886" s="88"/>
    </row>
    <row r="887" spans="6:26" ht="12.5" x14ac:dyDescent="0.25">
      <c r="F887" s="88"/>
      <c r="G887" s="91"/>
      <c r="H887" s="91"/>
      <c r="I887" s="88"/>
      <c r="J887" s="91"/>
      <c r="K887" s="88"/>
      <c r="L887" s="88"/>
      <c r="M887" s="91"/>
      <c r="N887" s="88"/>
      <c r="O887" s="91"/>
      <c r="P887" s="91"/>
      <c r="Q887" s="88"/>
      <c r="R887" s="91"/>
      <c r="S887" s="91"/>
      <c r="T887" s="88"/>
      <c r="U887" s="88"/>
      <c r="V887" s="88"/>
      <c r="Y887" s="91"/>
      <c r="Z887" s="88"/>
    </row>
    <row r="888" spans="6:26" ht="12.5" x14ac:dyDescent="0.25">
      <c r="F888" s="88"/>
      <c r="G888" s="91"/>
      <c r="H888" s="91"/>
      <c r="I888" s="88"/>
      <c r="J888" s="91"/>
      <c r="K888" s="88"/>
      <c r="L888" s="88"/>
      <c r="M888" s="91"/>
      <c r="N888" s="88"/>
      <c r="O888" s="91"/>
      <c r="P888" s="91"/>
      <c r="Q888" s="88"/>
      <c r="R888" s="91"/>
      <c r="S888" s="91"/>
      <c r="T888" s="88"/>
      <c r="U888" s="88"/>
      <c r="V888" s="88"/>
      <c r="Y888" s="91"/>
      <c r="Z888" s="88"/>
    </row>
    <row r="889" spans="6:26" ht="12.5" x14ac:dyDescent="0.25">
      <c r="F889" s="88"/>
      <c r="G889" s="91"/>
      <c r="H889" s="91"/>
      <c r="I889" s="88"/>
      <c r="J889" s="91"/>
      <c r="K889" s="88"/>
      <c r="L889" s="88"/>
      <c r="M889" s="91"/>
      <c r="N889" s="88"/>
      <c r="O889" s="91"/>
      <c r="P889" s="91"/>
      <c r="Q889" s="88"/>
      <c r="R889" s="91"/>
      <c r="S889" s="91"/>
      <c r="T889" s="88"/>
      <c r="U889" s="88"/>
      <c r="V889" s="88"/>
      <c r="Y889" s="91"/>
      <c r="Z889" s="88"/>
    </row>
    <row r="890" spans="6:26" ht="12.5" x14ac:dyDescent="0.25">
      <c r="F890" s="88"/>
      <c r="G890" s="91"/>
      <c r="H890" s="91"/>
      <c r="I890" s="88"/>
      <c r="J890" s="91"/>
      <c r="K890" s="88"/>
      <c r="L890" s="88"/>
      <c r="M890" s="91"/>
      <c r="N890" s="88"/>
      <c r="O890" s="91"/>
      <c r="P890" s="91"/>
      <c r="Q890" s="88"/>
      <c r="R890" s="91"/>
      <c r="S890" s="91"/>
      <c r="T890" s="88"/>
      <c r="U890" s="88"/>
      <c r="V890" s="88"/>
      <c r="Y890" s="91"/>
      <c r="Z890" s="88"/>
    </row>
    <row r="891" spans="6:26" ht="12.5" x14ac:dyDescent="0.25">
      <c r="F891" s="88"/>
      <c r="G891" s="91"/>
      <c r="H891" s="91"/>
      <c r="I891" s="88"/>
      <c r="J891" s="91"/>
      <c r="K891" s="88"/>
      <c r="L891" s="88"/>
      <c r="M891" s="91"/>
      <c r="N891" s="88"/>
      <c r="O891" s="91"/>
      <c r="P891" s="91"/>
      <c r="Q891" s="88"/>
      <c r="R891" s="91"/>
      <c r="S891" s="91"/>
      <c r="T891" s="88"/>
      <c r="U891" s="88"/>
      <c r="V891" s="88"/>
      <c r="Y891" s="91"/>
      <c r="Z891" s="88"/>
    </row>
    <row r="892" spans="6:26" ht="12.5" x14ac:dyDescent="0.25">
      <c r="F892" s="88"/>
      <c r="G892" s="91"/>
      <c r="H892" s="91"/>
      <c r="I892" s="88"/>
      <c r="J892" s="91"/>
      <c r="K892" s="88"/>
      <c r="L892" s="88"/>
      <c r="M892" s="91"/>
      <c r="N892" s="88"/>
      <c r="O892" s="91"/>
      <c r="P892" s="91"/>
      <c r="Q892" s="88"/>
      <c r="R892" s="91"/>
      <c r="S892" s="91"/>
      <c r="T892" s="88"/>
      <c r="U892" s="88"/>
      <c r="V892" s="88"/>
      <c r="Y892" s="91"/>
      <c r="Z892" s="88"/>
    </row>
    <row r="893" spans="6:26" ht="12.5" x14ac:dyDescent="0.25">
      <c r="F893" s="88"/>
      <c r="G893" s="91"/>
      <c r="H893" s="91"/>
      <c r="I893" s="88"/>
      <c r="J893" s="91"/>
      <c r="K893" s="88"/>
      <c r="L893" s="88"/>
      <c r="M893" s="91"/>
      <c r="N893" s="88"/>
      <c r="O893" s="91"/>
      <c r="P893" s="91"/>
      <c r="Q893" s="88"/>
      <c r="R893" s="91"/>
      <c r="S893" s="91"/>
      <c r="T893" s="88"/>
      <c r="U893" s="88"/>
      <c r="V893" s="88"/>
      <c r="Y893" s="91"/>
      <c r="Z893" s="88"/>
    </row>
    <row r="894" spans="6:26" ht="12.5" x14ac:dyDescent="0.25">
      <c r="F894" s="88"/>
      <c r="G894" s="91"/>
      <c r="H894" s="91"/>
      <c r="I894" s="88"/>
      <c r="J894" s="91"/>
      <c r="K894" s="88"/>
      <c r="L894" s="88"/>
      <c r="M894" s="91"/>
      <c r="N894" s="88"/>
      <c r="O894" s="91"/>
      <c r="P894" s="91"/>
      <c r="Q894" s="88"/>
      <c r="R894" s="91"/>
      <c r="S894" s="91"/>
      <c r="T894" s="88"/>
      <c r="U894" s="88"/>
      <c r="V894" s="88"/>
      <c r="Y894" s="91"/>
      <c r="Z894" s="88"/>
    </row>
    <row r="895" spans="6:26" ht="12.5" x14ac:dyDescent="0.25">
      <c r="F895" s="88"/>
      <c r="G895" s="91"/>
      <c r="H895" s="91"/>
      <c r="I895" s="88"/>
      <c r="J895" s="91"/>
      <c r="K895" s="88"/>
      <c r="L895" s="88"/>
      <c r="M895" s="91"/>
      <c r="N895" s="88"/>
      <c r="O895" s="91"/>
      <c r="P895" s="91"/>
      <c r="Q895" s="88"/>
      <c r="R895" s="91"/>
      <c r="S895" s="91"/>
      <c r="T895" s="88"/>
      <c r="U895" s="88"/>
      <c r="V895" s="88"/>
      <c r="Y895" s="91"/>
      <c r="Z895" s="88"/>
    </row>
    <row r="896" spans="6:26" ht="12.5" x14ac:dyDescent="0.25">
      <c r="F896" s="88"/>
      <c r="G896" s="91"/>
      <c r="H896" s="91"/>
      <c r="I896" s="88"/>
      <c r="J896" s="91"/>
      <c r="K896" s="88"/>
      <c r="L896" s="88"/>
      <c r="M896" s="91"/>
      <c r="N896" s="88"/>
      <c r="O896" s="91"/>
      <c r="P896" s="91"/>
      <c r="Q896" s="88"/>
      <c r="R896" s="91"/>
      <c r="S896" s="91"/>
      <c r="T896" s="88"/>
      <c r="U896" s="88"/>
      <c r="V896" s="88"/>
      <c r="Y896" s="91"/>
      <c r="Z896" s="88"/>
    </row>
    <row r="897" spans="6:26" ht="12.5" x14ac:dyDescent="0.25">
      <c r="F897" s="88"/>
      <c r="G897" s="91"/>
      <c r="H897" s="91"/>
      <c r="I897" s="88"/>
      <c r="J897" s="91"/>
      <c r="K897" s="88"/>
      <c r="L897" s="88"/>
      <c r="M897" s="91"/>
      <c r="N897" s="88"/>
      <c r="O897" s="91"/>
      <c r="P897" s="91"/>
      <c r="Q897" s="88"/>
      <c r="R897" s="91"/>
      <c r="S897" s="91"/>
      <c r="T897" s="88"/>
      <c r="U897" s="88"/>
      <c r="V897" s="88"/>
      <c r="Y897" s="91"/>
      <c r="Z897" s="88"/>
    </row>
    <row r="898" spans="6:26" ht="12.5" x14ac:dyDescent="0.25">
      <c r="F898" s="88"/>
      <c r="G898" s="91"/>
      <c r="H898" s="91"/>
      <c r="I898" s="88"/>
      <c r="J898" s="91"/>
      <c r="K898" s="88"/>
      <c r="L898" s="88"/>
      <c r="M898" s="91"/>
      <c r="N898" s="88"/>
      <c r="O898" s="91"/>
      <c r="P898" s="91"/>
      <c r="Q898" s="88"/>
      <c r="R898" s="91"/>
      <c r="S898" s="91"/>
      <c r="T898" s="88"/>
      <c r="U898" s="88"/>
      <c r="V898" s="88"/>
      <c r="Y898" s="91"/>
      <c r="Z898" s="88"/>
    </row>
    <row r="899" spans="6:26" ht="12.5" x14ac:dyDescent="0.25">
      <c r="F899" s="88"/>
      <c r="G899" s="91"/>
      <c r="H899" s="91"/>
      <c r="I899" s="88"/>
      <c r="J899" s="91"/>
      <c r="K899" s="88"/>
      <c r="L899" s="88"/>
      <c r="M899" s="91"/>
      <c r="N899" s="88"/>
      <c r="O899" s="91"/>
      <c r="P899" s="91"/>
      <c r="Q899" s="88"/>
      <c r="R899" s="91"/>
      <c r="S899" s="91"/>
      <c r="T899" s="88"/>
      <c r="U899" s="88"/>
      <c r="V899" s="88"/>
      <c r="Y899" s="91"/>
      <c r="Z899" s="88"/>
    </row>
    <row r="900" spans="6:26" ht="12.5" x14ac:dyDescent="0.25">
      <c r="F900" s="88"/>
      <c r="G900" s="91"/>
      <c r="H900" s="91"/>
      <c r="I900" s="88"/>
      <c r="J900" s="91"/>
      <c r="K900" s="88"/>
      <c r="L900" s="88"/>
      <c r="M900" s="91"/>
      <c r="N900" s="88"/>
      <c r="O900" s="91"/>
      <c r="P900" s="91"/>
      <c r="Q900" s="88"/>
      <c r="R900" s="91"/>
      <c r="S900" s="91"/>
      <c r="T900" s="88"/>
      <c r="U900" s="88"/>
      <c r="V900" s="88"/>
      <c r="Y900" s="91"/>
      <c r="Z900" s="88"/>
    </row>
    <row r="901" spans="6:26" ht="12.5" x14ac:dyDescent="0.25">
      <c r="F901" s="88"/>
      <c r="G901" s="91"/>
      <c r="H901" s="91"/>
      <c r="I901" s="88"/>
      <c r="J901" s="91"/>
      <c r="K901" s="88"/>
      <c r="L901" s="88"/>
      <c r="M901" s="91"/>
      <c r="N901" s="88"/>
      <c r="O901" s="91"/>
      <c r="P901" s="91"/>
      <c r="Q901" s="88"/>
      <c r="R901" s="91"/>
      <c r="S901" s="91"/>
      <c r="T901" s="88"/>
      <c r="U901" s="88"/>
      <c r="V901" s="88"/>
      <c r="Y901" s="91"/>
      <c r="Z901" s="88"/>
    </row>
    <row r="902" spans="6:26" ht="12.5" x14ac:dyDescent="0.25">
      <c r="F902" s="88"/>
      <c r="G902" s="91"/>
      <c r="H902" s="91"/>
      <c r="I902" s="88"/>
      <c r="J902" s="91"/>
      <c r="K902" s="88"/>
      <c r="L902" s="88"/>
      <c r="M902" s="91"/>
      <c r="N902" s="88"/>
      <c r="O902" s="91"/>
      <c r="P902" s="91"/>
      <c r="Q902" s="88"/>
      <c r="R902" s="91"/>
      <c r="S902" s="91"/>
      <c r="T902" s="88"/>
      <c r="U902" s="88"/>
      <c r="V902" s="88"/>
      <c r="Y902" s="91"/>
      <c r="Z902" s="88"/>
    </row>
    <row r="903" spans="6:26" ht="12.5" x14ac:dyDescent="0.25">
      <c r="F903" s="88"/>
      <c r="G903" s="91"/>
      <c r="H903" s="91"/>
      <c r="I903" s="88"/>
      <c r="J903" s="91"/>
      <c r="K903" s="88"/>
      <c r="L903" s="88"/>
      <c r="M903" s="91"/>
      <c r="N903" s="88"/>
      <c r="O903" s="91"/>
      <c r="P903" s="91"/>
      <c r="Q903" s="88"/>
      <c r="R903" s="91"/>
      <c r="S903" s="91"/>
      <c r="T903" s="88"/>
      <c r="U903" s="88"/>
      <c r="V903" s="88"/>
      <c r="Y903" s="91"/>
      <c r="Z903" s="88"/>
    </row>
    <row r="904" spans="6:26" ht="12.5" x14ac:dyDescent="0.25">
      <c r="F904" s="88"/>
      <c r="G904" s="91"/>
      <c r="H904" s="91"/>
      <c r="I904" s="88"/>
      <c r="J904" s="91"/>
      <c r="K904" s="88"/>
      <c r="L904" s="88"/>
      <c r="M904" s="91"/>
      <c r="N904" s="88"/>
      <c r="O904" s="91"/>
      <c r="P904" s="91"/>
      <c r="Q904" s="88"/>
      <c r="R904" s="91"/>
      <c r="S904" s="91"/>
      <c r="T904" s="88"/>
      <c r="U904" s="88"/>
      <c r="V904" s="88"/>
      <c r="Y904" s="91"/>
      <c r="Z904" s="88"/>
    </row>
    <row r="905" spans="6:26" ht="12.5" x14ac:dyDescent="0.25">
      <c r="F905" s="88"/>
      <c r="G905" s="91"/>
      <c r="H905" s="91"/>
      <c r="I905" s="88"/>
      <c r="J905" s="91"/>
      <c r="K905" s="88"/>
      <c r="L905" s="88"/>
      <c r="M905" s="91"/>
      <c r="N905" s="88"/>
      <c r="O905" s="91"/>
      <c r="P905" s="91"/>
      <c r="Q905" s="88"/>
      <c r="R905" s="91"/>
      <c r="S905" s="91"/>
      <c r="T905" s="88"/>
      <c r="U905" s="88"/>
      <c r="V905" s="88"/>
      <c r="Y905" s="91"/>
      <c r="Z905" s="88"/>
    </row>
    <row r="906" spans="6:26" ht="12.5" x14ac:dyDescent="0.25">
      <c r="F906" s="88"/>
      <c r="G906" s="91"/>
      <c r="H906" s="91"/>
      <c r="I906" s="88"/>
      <c r="J906" s="91"/>
      <c r="K906" s="88"/>
      <c r="L906" s="88"/>
      <c r="M906" s="91"/>
      <c r="N906" s="88"/>
      <c r="O906" s="91"/>
      <c r="P906" s="91"/>
      <c r="Q906" s="88"/>
      <c r="R906" s="91"/>
      <c r="S906" s="91"/>
      <c r="T906" s="88"/>
      <c r="U906" s="88"/>
      <c r="V906" s="88"/>
      <c r="Y906" s="91"/>
      <c r="Z906" s="88"/>
    </row>
    <row r="907" spans="6:26" ht="12.5" x14ac:dyDescent="0.25">
      <c r="F907" s="88"/>
      <c r="G907" s="91"/>
      <c r="H907" s="91"/>
      <c r="I907" s="88"/>
      <c r="J907" s="91"/>
      <c r="K907" s="88"/>
      <c r="L907" s="88"/>
      <c r="M907" s="91"/>
      <c r="N907" s="88"/>
      <c r="O907" s="91"/>
      <c r="P907" s="91"/>
      <c r="Q907" s="88"/>
      <c r="R907" s="91"/>
      <c r="S907" s="91"/>
      <c r="T907" s="88"/>
      <c r="U907" s="88"/>
      <c r="V907" s="88"/>
      <c r="Y907" s="91"/>
      <c r="Z907" s="88"/>
    </row>
    <row r="908" spans="6:26" ht="12.5" x14ac:dyDescent="0.25">
      <c r="F908" s="88"/>
      <c r="G908" s="91"/>
      <c r="H908" s="91"/>
      <c r="I908" s="88"/>
      <c r="J908" s="91"/>
      <c r="K908" s="88"/>
      <c r="L908" s="88"/>
      <c r="M908" s="91"/>
      <c r="N908" s="88"/>
      <c r="O908" s="91"/>
      <c r="P908" s="91"/>
      <c r="Q908" s="88"/>
      <c r="R908" s="91"/>
      <c r="S908" s="91"/>
      <c r="T908" s="88"/>
      <c r="U908" s="88"/>
      <c r="V908" s="88"/>
      <c r="Y908" s="91"/>
      <c r="Z908" s="88"/>
    </row>
    <row r="909" spans="6:26" ht="12.5" x14ac:dyDescent="0.25">
      <c r="F909" s="88"/>
      <c r="G909" s="91"/>
      <c r="H909" s="91"/>
      <c r="I909" s="88"/>
      <c r="J909" s="91"/>
      <c r="K909" s="88"/>
      <c r="L909" s="88"/>
      <c r="M909" s="91"/>
      <c r="N909" s="88"/>
      <c r="O909" s="91"/>
      <c r="P909" s="91"/>
      <c r="Q909" s="88"/>
      <c r="R909" s="91"/>
      <c r="S909" s="91"/>
      <c r="T909" s="88"/>
      <c r="U909" s="88"/>
      <c r="V909" s="88"/>
      <c r="Y909" s="91"/>
      <c r="Z909" s="88"/>
    </row>
    <row r="910" spans="6:26" ht="12.5" x14ac:dyDescent="0.25">
      <c r="F910" s="88"/>
      <c r="G910" s="91"/>
      <c r="H910" s="91"/>
      <c r="I910" s="88"/>
      <c r="J910" s="91"/>
      <c r="K910" s="88"/>
      <c r="L910" s="88"/>
      <c r="M910" s="91"/>
      <c r="N910" s="88"/>
      <c r="O910" s="91"/>
      <c r="P910" s="91"/>
      <c r="Q910" s="88"/>
      <c r="R910" s="91"/>
      <c r="S910" s="91"/>
      <c r="T910" s="88"/>
      <c r="U910" s="88"/>
      <c r="V910" s="88"/>
      <c r="Y910" s="91"/>
      <c r="Z910" s="88"/>
    </row>
    <row r="911" spans="6:26" ht="12.5" x14ac:dyDescent="0.25">
      <c r="F911" s="88"/>
      <c r="G911" s="91"/>
      <c r="H911" s="91"/>
      <c r="I911" s="88"/>
      <c r="J911" s="91"/>
      <c r="K911" s="88"/>
      <c r="L911" s="88"/>
      <c r="M911" s="91"/>
      <c r="N911" s="88"/>
      <c r="O911" s="91"/>
      <c r="P911" s="91"/>
      <c r="Q911" s="88"/>
      <c r="R911" s="91"/>
      <c r="S911" s="91"/>
      <c r="T911" s="88"/>
      <c r="U911" s="88"/>
      <c r="V911" s="88"/>
      <c r="Y911" s="91"/>
      <c r="Z911" s="88"/>
    </row>
    <row r="912" spans="6:26" ht="12.5" x14ac:dyDescent="0.25">
      <c r="F912" s="88"/>
      <c r="G912" s="91"/>
      <c r="H912" s="91"/>
      <c r="I912" s="88"/>
      <c r="J912" s="91"/>
      <c r="K912" s="88"/>
      <c r="L912" s="88"/>
      <c r="M912" s="91"/>
      <c r="N912" s="88"/>
      <c r="O912" s="91"/>
      <c r="P912" s="91"/>
      <c r="Q912" s="88"/>
      <c r="R912" s="91"/>
      <c r="S912" s="91"/>
      <c r="T912" s="88"/>
      <c r="U912" s="88"/>
      <c r="V912" s="88"/>
      <c r="Y912" s="91"/>
      <c r="Z912" s="88"/>
    </row>
    <row r="913" spans="6:26" ht="12.5" x14ac:dyDescent="0.25">
      <c r="F913" s="88"/>
      <c r="G913" s="91"/>
      <c r="H913" s="91"/>
      <c r="I913" s="88"/>
      <c r="J913" s="91"/>
      <c r="K913" s="88"/>
      <c r="L913" s="88"/>
      <c r="M913" s="91"/>
      <c r="N913" s="88"/>
      <c r="O913" s="91"/>
      <c r="P913" s="91"/>
      <c r="Q913" s="88"/>
      <c r="R913" s="91"/>
      <c r="S913" s="91"/>
      <c r="T913" s="88"/>
      <c r="U913" s="88"/>
      <c r="V913" s="88"/>
      <c r="Y913" s="91"/>
      <c r="Z913" s="88"/>
    </row>
    <row r="914" spans="6:26" ht="12.5" x14ac:dyDescent="0.25">
      <c r="F914" s="88"/>
      <c r="G914" s="91"/>
      <c r="H914" s="91"/>
      <c r="I914" s="88"/>
      <c r="J914" s="91"/>
      <c r="K914" s="88"/>
      <c r="L914" s="88"/>
      <c r="M914" s="91"/>
      <c r="N914" s="88"/>
      <c r="O914" s="91"/>
      <c r="P914" s="91"/>
      <c r="Q914" s="88"/>
      <c r="R914" s="91"/>
      <c r="S914" s="91"/>
      <c r="T914" s="88"/>
      <c r="U914" s="88"/>
      <c r="V914" s="88"/>
      <c r="Y914" s="91"/>
      <c r="Z914" s="88"/>
    </row>
    <row r="915" spans="6:26" ht="12.5" x14ac:dyDescent="0.25">
      <c r="F915" s="88"/>
      <c r="G915" s="91"/>
      <c r="H915" s="91"/>
      <c r="I915" s="88"/>
      <c r="J915" s="91"/>
      <c r="K915" s="88"/>
      <c r="L915" s="88"/>
      <c r="M915" s="91"/>
      <c r="N915" s="88"/>
      <c r="O915" s="91"/>
      <c r="P915" s="91"/>
      <c r="Q915" s="88"/>
      <c r="R915" s="91"/>
      <c r="S915" s="91"/>
      <c r="T915" s="88"/>
      <c r="U915" s="88"/>
      <c r="V915" s="88"/>
      <c r="Y915" s="91"/>
      <c r="Z915" s="88"/>
    </row>
    <row r="916" spans="6:26" ht="12.5" x14ac:dyDescent="0.25">
      <c r="F916" s="88"/>
      <c r="G916" s="91"/>
      <c r="H916" s="91"/>
      <c r="I916" s="88"/>
      <c r="J916" s="91"/>
      <c r="K916" s="88"/>
      <c r="L916" s="88"/>
      <c r="M916" s="91"/>
      <c r="N916" s="88"/>
      <c r="O916" s="91"/>
      <c r="P916" s="91"/>
      <c r="Q916" s="88"/>
      <c r="R916" s="91"/>
      <c r="S916" s="91"/>
      <c r="T916" s="88"/>
      <c r="U916" s="88"/>
      <c r="V916" s="88"/>
      <c r="Y916" s="91"/>
      <c r="Z916" s="88"/>
    </row>
    <row r="917" spans="6:26" ht="12.5" x14ac:dyDescent="0.25">
      <c r="F917" s="88"/>
      <c r="G917" s="91"/>
      <c r="H917" s="91"/>
      <c r="I917" s="88"/>
      <c r="J917" s="91"/>
      <c r="K917" s="88"/>
      <c r="L917" s="88"/>
      <c r="M917" s="91"/>
      <c r="N917" s="88"/>
      <c r="O917" s="91"/>
      <c r="P917" s="91"/>
      <c r="Q917" s="88"/>
      <c r="R917" s="91"/>
      <c r="S917" s="91"/>
      <c r="T917" s="88"/>
      <c r="U917" s="88"/>
      <c r="V917" s="88"/>
      <c r="Y917" s="91"/>
      <c r="Z917" s="88"/>
    </row>
    <row r="918" spans="6:26" ht="12.5" x14ac:dyDescent="0.25">
      <c r="F918" s="88"/>
      <c r="G918" s="91"/>
      <c r="H918" s="91"/>
      <c r="I918" s="88"/>
      <c r="J918" s="91"/>
      <c r="K918" s="88"/>
      <c r="L918" s="88"/>
      <c r="M918" s="91"/>
      <c r="N918" s="88"/>
      <c r="O918" s="91"/>
      <c r="P918" s="91"/>
      <c r="Q918" s="88"/>
      <c r="R918" s="91"/>
      <c r="S918" s="91"/>
      <c r="T918" s="88"/>
      <c r="U918" s="88"/>
      <c r="V918" s="88"/>
      <c r="Y918" s="91"/>
      <c r="Z918" s="88"/>
    </row>
    <row r="919" spans="6:26" ht="12.5" x14ac:dyDescent="0.25">
      <c r="F919" s="88"/>
      <c r="G919" s="91"/>
      <c r="H919" s="91"/>
      <c r="I919" s="88"/>
      <c r="J919" s="91"/>
      <c r="K919" s="88"/>
      <c r="L919" s="88"/>
      <c r="M919" s="91"/>
      <c r="N919" s="88"/>
      <c r="O919" s="91"/>
      <c r="P919" s="91"/>
      <c r="Q919" s="88"/>
      <c r="R919" s="91"/>
      <c r="S919" s="91"/>
      <c r="T919" s="88"/>
      <c r="U919" s="88"/>
      <c r="V919" s="88"/>
      <c r="Y919" s="91"/>
      <c r="Z919" s="88"/>
    </row>
    <row r="920" spans="6:26" ht="12.5" x14ac:dyDescent="0.25">
      <c r="F920" s="88"/>
      <c r="G920" s="91"/>
      <c r="H920" s="91"/>
      <c r="I920" s="88"/>
      <c r="J920" s="91"/>
      <c r="K920" s="88"/>
      <c r="L920" s="88"/>
      <c r="M920" s="91"/>
      <c r="N920" s="88"/>
      <c r="O920" s="91"/>
      <c r="P920" s="91"/>
      <c r="Q920" s="88"/>
      <c r="R920" s="91"/>
      <c r="S920" s="91"/>
      <c r="T920" s="88"/>
      <c r="U920" s="88"/>
      <c r="V920" s="88"/>
      <c r="Y920" s="91"/>
      <c r="Z920" s="88"/>
    </row>
    <row r="921" spans="6:26" ht="12.5" x14ac:dyDescent="0.25">
      <c r="F921" s="88"/>
      <c r="G921" s="91"/>
      <c r="H921" s="91"/>
      <c r="I921" s="88"/>
      <c r="J921" s="91"/>
      <c r="K921" s="88"/>
      <c r="L921" s="88"/>
      <c r="M921" s="91"/>
      <c r="N921" s="88"/>
      <c r="O921" s="91"/>
      <c r="P921" s="91"/>
      <c r="Q921" s="88"/>
      <c r="R921" s="91"/>
      <c r="S921" s="91"/>
      <c r="T921" s="88"/>
      <c r="U921" s="88"/>
      <c r="V921" s="88"/>
      <c r="Y921" s="91"/>
      <c r="Z921" s="88"/>
    </row>
    <row r="922" spans="6:26" ht="12.5" x14ac:dyDescent="0.25">
      <c r="F922" s="88"/>
      <c r="G922" s="91"/>
      <c r="H922" s="91"/>
      <c r="I922" s="88"/>
      <c r="J922" s="91"/>
      <c r="K922" s="88"/>
      <c r="L922" s="88"/>
      <c r="M922" s="91"/>
      <c r="N922" s="88"/>
      <c r="O922" s="91"/>
      <c r="P922" s="91"/>
      <c r="Q922" s="88"/>
      <c r="R922" s="91"/>
      <c r="S922" s="91"/>
      <c r="T922" s="88"/>
      <c r="U922" s="88"/>
      <c r="V922" s="88"/>
      <c r="Y922" s="91"/>
      <c r="Z922" s="88"/>
    </row>
    <row r="923" spans="6:26" ht="12.5" x14ac:dyDescent="0.25">
      <c r="F923" s="88"/>
      <c r="G923" s="91"/>
      <c r="H923" s="91"/>
      <c r="I923" s="88"/>
      <c r="J923" s="91"/>
      <c r="K923" s="88"/>
      <c r="L923" s="88"/>
      <c r="M923" s="91"/>
      <c r="N923" s="88"/>
      <c r="O923" s="91"/>
      <c r="P923" s="91"/>
      <c r="Q923" s="88"/>
      <c r="R923" s="91"/>
      <c r="S923" s="91"/>
      <c r="T923" s="88"/>
      <c r="U923" s="88"/>
      <c r="V923" s="88"/>
      <c r="Y923" s="91"/>
      <c r="Z923" s="88"/>
    </row>
    <row r="924" spans="6:26" ht="12.5" x14ac:dyDescent="0.25">
      <c r="F924" s="88"/>
      <c r="G924" s="91"/>
      <c r="H924" s="91"/>
      <c r="I924" s="88"/>
      <c r="J924" s="91"/>
      <c r="K924" s="88"/>
      <c r="L924" s="88"/>
      <c r="M924" s="91"/>
      <c r="N924" s="88"/>
      <c r="O924" s="91"/>
      <c r="P924" s="91"/>
      <c r="Q924" s="88"/>
      <c r="R924" s="91"/>
      <c r="S924" s="91"/>
      <c r="T924" s="88"/>
      <c r="U924" s="88"/>
      <c r="V924" s="88"/>
      <c r="Y924" s="91"/>
      <c r="Z924" s="88"/>
    </row>
    <row r="925" spans="6:26" ht="12.5" x14ac:dyDescent="0.25">
      <c r="F925" s="88"/>
      <c r="G925" s="91"/>
      <c r="H925" s="91"/>
      <c r="I925" s="88"/>
      <c r="J925" s="91"/>
      <c r="K925" s="88"/>
      <c r="L925" s="88"/>
      <c r="M925" s="91"/>
      <c r="N925" s="88"/>
      <c r="O925" s="91"/>
      <c r="P925" s="91"/>
      <c r="Q925" s="88"/>
      <c r="R925" s="91"/>
      <c r="S925" s="91"/>
      <c r="T925" s="88"/>
      <c r="U925" s="88"/>
      <c r="V925" s="88"/>
      <c r="Y925" s="91"/>
      <c r="Z925" s="88"/>
    </row>
    <row r="926" spans="6:26" ht="12.5" x14ac:dyDescent="0.25">
      <c r="F926" s="88"/>
      <c r="G926" s="91"/>
      <c r="H926" s="91"/>
      <c r="I926" s="88"/>
      <c r="J926" s="91"/>
      <c r="K926" s="88"/>
      <c r="L926" s="88"/>
      <c r="M926" s="91"/>
      <c r="N926" s="88"/>
      <c r="O926" s="91"/>
      <c r="P926" s="91"/>
      <c r="Q926" s="88"/>
      <c r="R926" s="91"/>
      <c r="S926" s="91"/>
      <c r="T926" s="88"/>
      <c r="U926" s="88"/>
      <c r="V926" s="88"/>
      <c r="Y926" s="91"/>
      <c r="Z926" s="88"/>
    </row>
    <row r="927" spans="6:26" ht="12.5" x14ac:dyDescent="0.25">
      <c r="F927" s="88"/>
      <c r="G927" s="91"/>
      <c r="H927" s="91"/>
      <c r="I927" s="88"/>
      <c r="J927" s="91"/>
      <c r="K927" s="88"/>
      <c r="L927" s="88"/>
      <c r="M927" s="91"/>
      <c r="N927" s="88"/>
      <c r="O927" s="91"/>
      <c r="P927" s="91"/>
      <c r="Q927" s="88"/>
      <c r="R927" s="91"/>
      <c r="S927" s="91"/>
      <c r="T927" s="88"/>
      <c r="U927" s="88"/>
      <c r="V927" s="88"/>
      <c r="Y927" s="91"/>
      <c r="Z927" s="88"/>
    </row>
    <row r="928" spans="6:26" ht="12.5" x14ac:dyDescent="0.25">
      <c r="F928" s="88"/>
      <c r="G928" s="91"/>
      <c r="H928" s="91"/>
      <c r="I928" s="88"/>
      <c r="J928" s="91"/>
      <c r="K928" s="88"/>
      <c r="L928" s="88"/>
      <c r="M928" s="91"/>
      <c r="N928" s="88"/>
      <c r="O928" s="91"/>
      <c r="P928" s="91"/>
      <c r="Q928" s="88"/>
      <c r="R928" s="91"/>
      <c r="S928" s="91"/>
      <c r="T928" s="88"/>
      <c r="U928" s="88"/>
      <c r="V928" s="88"/>
      <c r="Y928" s="91"/>
      <c r="Z928" s="88"/>
    </row>
    <row r="929" spans="6:26" ht="12.5" x14ac:dyDescent="0.25">
      <c r="F929" s="88"/>
      <c r="G929" s="91"/>
      <c r="H929" s="91"/>
      <c r="I929" s="88"/>
      <c r="J929" s="91"/>
      <c r="K929" s="88"/>
      <c r="L929" s="88"/>
      <c r="M929" s="91"/>
      <c r="N929" s="88"/>
      <c r="O929" s="91"/>
      <c r="P929" s="91"/>
      <c r="Q929" s="88"/>
      <c r="R929" s="91"/>
      <c r="S929" s="91"/>
      <c r="T929" s="88"/>
      <c r="U929" s="88"/>
      <c r="V929" s="88"/>
      <c r="Y929" s="91"/>
      <c r="Z929" s="88"/>
    </row>
    <row r="930" spans="6:26" ht="12.5" x14ac:dyDescent="0.25">
      <c r="F930" s="88"/>
      <c r="G930" s="91"/>
      <c r="H930" s="91"/>
      <c r="I930" s="88"/>
      <c r="J930" s="91"/>
      <c r="K930" s="88"/>
      <c r="L930" s="88"/>
      <c r="M930" s="91"/>
      <c r="N930" s="88"/>
      <c r="O930" s="91"/>
      <c r="P930" s="91"/>
      <c r="Q930" s="88"/>
      <c r="R930" s="91"/>
      <c r="S930" s="91"/>
      <c r="T930" s="88"/>
      <c r="U930" s="88"/>
      <c r="V930" s="88"/>
      <c r="Y930" s="91"/>
      <c r="Z930" s="88"/>
    </row>
    <row r="931" spans="6:26" ht="12.5" x14ac:dyDescent="0.25">
      <c r="F931" s="88"/>
      <c r="G931" s="91"/>
      <c r="H931" s="91"/>
      <c r="I931" s="88"/>
      <c r="J931" s="91"/>
      <c r="K931" s="88"/>
      <c r="L931" s="88"/>
      <c r="M931" s="91"/>
      <c r="N931" s="88"/>
      <c r="O931" s="91"/>
      <c r="P931" s="91"/>
      <c r="Q931" s="88"/>
      <c r="R931" s="91"/>
      <c r="S931" s="91"/>
      <c r="T931" s="88"/>
      <c r="U931" s="88"/>
      <c r="V931" s="88"/>
      <c r="Y931" s="91"/>
      <c r="Z931" s="88"/>
    </row>
    <row r="932" spans="6:26" ht="12.5" x14ac:dyDescent="0.25">
      <c r="F932" s="88"/>
      <c r="G932" s="91"/>
      <c r="H932" s="91"/>
      <c r="I932" s="88"/>
      <c r="J932" s="91"/>
      <c r="K932" s="88"/>
      <c r="L932" s="88"/>
      <c r="M932" s="91"/>
      <c r="N932" s="88"/>
      <c r="O932" s="91"/>
      <c r="P932" s="91"/>
      <c r="Q932" s="88"/>
      <c r="R932" s="91"/>
      <c r="S932" s="91"/>
      <c r="T932" s="88"/>
      <c r="U932" s="88"/>
      <c r="V932" s="88"/>
      <c r="Y932" s="91"/>
      <c r="Z932" s="88"/>
    </row>
    <row r="933" spans="6:26" ht="12.5" x14ac:dyDescent="0.25">
      <c r="F933" s="88"/>
      <c r="G933" s="91"/>
      <c r="H933" s="91"/>
      <c r="I933" s="88"/>
      <c r="J933" s="91"/>
      <c r="K933" s="88"/>
      <c r="L933" s="88"/>
      <c r="M933" s="91"/>
      <c r="N933" s="88"/>
      <c r="O933" s="91"/>
      <c r="P933" s="91"/>
      <c r="Q933" s="88"/>
      <c r="R933" s="91"/>
      <c r="S933" s="91"/>
      <c r="T933" s="88"/>
      <c r="U933" s="88"/>
      <c r="V933" s="88"/>
      <c r="Y933" s="91"/>
      <c r="Z933" s="88"/>
    </row>
    <row r="934" spans="6:26" ht="12.5" x14ac:dyDescent="0.25">
      <c r="F934" s="88"/>
      <c r="G934" s="91"/>
      <c r="H934" s="91"/>
      <c r="I934" s="88"/>
      <c r="J934" s="91"/>
      <c r="K934" s="88"/>
      <c r="L934" s="88"/>
      <c r="M934" s="91"/>
      <c r="N934" s="88"/>
      <c r="O934" s="91"/>
      <c r="P934" s="91"/>
      <c r="Q934" s="88"/>
      <c r="R934" s="91"/>
      <c r="S934" s="91"/>
      <c r="T934" s="88"/>
      <c r="U934" s="88"/>
      <c r="V934" s="88"/>
      <c r="Y934" s="91"/>
      <c r="Z934" s="88"/>
    </row>
    <row r="935" spans="6:26" ht="12.5" x14ac:dyDescent="0.25">
      <c r="F935" s="88"/>
      <c r="G935" s="91"/>
      <c r="H935" s="91"/>
      <c r="I935" s="88"/>
      <c r="J935" s="91"/>
      <c r="K935" s="88"/>
      <c r="L935" s="88"/>
      <c r="M935" s="91"/>
      <c r="N935" s="88"/>
      <c r="O935" s="91"/>
      <c r="P935" s="91"/>
      <c r="Q935" s="88"/>
      <c r="R935" s="91"/>
      <c r="S935" s="91"/>
      <c r="T935" s="88"/>
      <c r="U935" s="88"/>
      <c r="V935" s="88"/>
      <c r="Y935" s="91"/>
      <c r="Z935" s="88"/>
    </row>
    <row r="936" spans="6:26" ht="12.5" x14ac:dyDescent="0.25">
      <c r="F936" s="88"/>
      <c r="G936" s="91"/>
      <c r="H936" s="91"/>
      <c r="I936" s="88"/>
      <c r="J936" s="91"/>
      <c r="K936" s="88"/>
      <c r="L936" s="88"/>
      <c r="M936" s="91"/>
      <c r="N936" s="88"/>
      <c r="O936" s="91"/>
      <c r="P936" s="91"/>
      <c r="Q936" s="88"/>
      <c r="R936" s="91"/>
      <c r="S936" s="91"/>
      <c r="T936" s="88"/>
      <c r="U936" s="88"/>
      <c r="V936" s="88"/>
      <c r="Y936" s="91"/>
      <c r="Z936" s="88"/>
    </row>
    <row r="937" spans="6:26" ht="12.5" x14ac:dyDescent="0.25">
      <c r="F937" s="88"/>
      <c r="G937" s="91"/>
      <c r="H937" s="91"/>
      <c r="I937" s="88"/>
      <c r="J937" s="91"/>
      <c r="K937" s="88"/>
      <c r="L937" s="88"/>
      <c r="M937" s="91"/>
      <c r="N937" s="88"/>
      <c r="O937" s="91"/>
      <c r="P937" s="91"/>
      <c r="Q937" s="88"/>
      <c r="R937" s="91"/>
      <c r="S937" s="91"/>
      <c r="T937" s="88"/>
      <c r="U937" s="88"/>
      <c r="V937" s="88"/>
      <c r="Y937" s="91"/>
      <c r="Z937" s="88"/>
    </row>
    <row r="938" spans="6:26" ht="12.5" x14ac:dyDescent="0.25">
      <c r="F938" s="88"/>
      <c r="G938" s="91"/>
      <c r="H938" s="91"/>
      <c r="I938" s="88"/>
      <c r="J938" s="91"/>
      <c r="K938" s="88"/>
      <c r="L938" s="88"/>
      <c r="M938" s="91"/>
      <c r="N938" s="88"/>
      <c r="O938" s="91"/>
      <c r="P938" s="91"/>
      <c r="Q938" s="88"/>
      <c r="R938" s="91"/>
      <c r="S938" s="91"/>
      <c r="T938" s="88"/>
      <c r="U938" s="88"/>
      <c r="V938" s="88"/>
      <c r="Y938" s="91"/>
      <c r="Z938" s="88"/>
    </row>
    <row r="939" spans="6:26" ht="12.5" x14ac:dyDescent="0.25">
      <c r="F939" s="88"/>
      <c r="G939" s="91"/>
      <c r="H939" s="91"/>
      <c r="I939" s="88"/>
      <c r="J939" s="91"/>
      <c r="K939" s="88"/>
      <c r="L939" s="88"/>
      <c r="M939" s="91"/>
      <c r="N939" s="88"/>
      <c r="O939" s="91"/>
      <c r="P939" s="91"/>
      <c r="Q939" s="88"/>
      <c r="R939" s="91"/>
      <c r="S939" s="91"/>
      <c r="T939" s="88"/>
      <c r="U939" s="88"/>
      <c r="V939" s="88"/>
      <c r="Y939" s="91"/>
      <c r="Z939" s="88"/>
    </row>
    <row r="940" spans="6:26" ht="12.5" x14ac:dyDescent="0.25">
      <c r="F940" s="88"/>
      <c r="G940" s="91"/>
      <c r="H940" s="91"/>
      <c r="I940" s="88"/>
      <c r="J940" s="91"/>
      <c r="K940" s="88"/>
      <c r="L940" s="88"/>
      <c r="M940" s="91"/>
      <c r="N940" s="88"/>
      <c r="O940" s="91"/>
      <c r="P940" s="91"/>
      <c r="Q940" s="88"/>
      <c r="R940" s="91"/>
      <c r="S940" s="91"/>
      <c r="T940" s="88"/>
      <c r="U940" s="88"/>
      <c r="V940" s="88"/>
      <c r="Y940" s="91"/>
      <c r="Z940" s="88"/>
    </row>
    <row r="941" spans="6:26" ht="12.5" x14ac:dyDescent="0.25">
      <c r="F941" s="88"/>
      <c r="G941" s="91"/>
      <c r="H941" s="91"/>
      <c r="I941" s="88"/>
      <c r="J941" s="91"/>
      <c r="K941" s="88"/>
      <c r="L941" s="88"/>
      <c r="M941" s="91"/>
      <c r="N941" s="88"/>
      <c r="O941" s="91"/>
      <c r="P941" s="91"/>
      <c r="Q941" s="88"/>
      <c r="R941" s="91"/>
      <c r="S941" s="91"/>
      <c r="T941" s="88"/>
      <c r="U941" s="88"/>
      <c r="V941" s="88"/>
      <c r="Y941" s="91"/>
      <c r="Z941" s="88"/>
    </row>
    <row r="942" spans="6:26" ht="12.5" x14ac:dyDescent="0.25">
      <c r="F942" s="88"/>
      <c r="G942" s="91"/>
      <c r="H942" s="91"/>
      <c r="I942" s="88"/>
      <c r="J942" s="91"/>
      <c r="K942" s="88"/>
      <c r="L942" s="88"/>
      <c r="M942" s="91"/>
      <c r="N942" s="88"/>
      <c r="O942" s="91"/>
      <c r="P942" s="91"/>
      <c r="Q942" s="88"/>
      <c r="R942" s="91"/>
      <c r="S942" s="91"/>
      <c r="T942" s="88"/>
      <c r="U942" s="88"/>
      <c r="V942" s="88"/>
      <c r="Y942" s="91"/>
      <c r="Z942" s="88"/>
    </row>
    <row r="943" spans="6:26" ht="12.5" x14ac:dyDescent="0.25">
      <c r="F943" s="88"/>
      <c r="G943" s="91"/>
      <c r="H943" s="91"/>
      <c r="I943" s="88"/>
      <c r="J943" s="91"/>
      <c r="K943" s="88"/>
      <c r="L943" s="88"/>
      <c r="M943" s="91"/>
      <c r="N943" s="88"/>
      <c r="O943" s="91"/>
      <c r="P943" s="91"/>
      <c r="Q943" s="88"/>
      <c r="R943" s="91"/>
      <c r="S943" s="91"/>
      <c r="T943" s="88"/>
      <c r="U943" s="88"/>
      <c r="V943" s="88"/>
      <c r="Y943" s="91"/>
      <c r="Z943" s="88"/>
    </row>
    <row r="944" spans="6:26" ht="12.5" x14ac:dyDescent="0.25">
      <c r="F944" s="88"/>
      <c r="G944" s="91"/>
      <c r="H944" s="91"/>
      <c r="I944" s="88"/>
      <c r="J944" s="91"/>
      <c r="K944" s="88"/>
      <c r="L944" s="88"/>
      <c r="M944" s="91"/>
      <c r="N944" s="88"/>
      <c r="O944" s="91"/>
      <c r="P944" s="91"/>
      <c r="Q944" s="88"/>
      <c r="R944" s="91"/>
      <c r="S944" s="91"/>
      <c r="T944" s="88"/>
      <c r="U944" s="88"/>
      <c r="V944" s="88"/>
      <c r="Y944" s="91"/>
      <c r="Z944" s="88"/>
    </row>
    <row r="945" spans="6:26" ht="12.5" x14ac:dyDescent="0.25">
      <c r="F945" s="88"/>
      <c r="G945" s="91"/>
      <c r="H945" s="91"/>
      <c r="I945" s="88"/>
      <c r="J945" s="91"/>
      <c r="K945" s="88"/>
      <c r="L945" s="88"/>
      <c r="M945" s="91"/>
      <c r="N945" s="88"/>
      <c r="O945" s="91"/>
      <c r="P945" s="91"/>
      <c r="Q945" s="88"/>
      <c r="R945" s="91"/>
      <c r="S945" s="91"/>
      <c r="T945" s="88"/>
      <c r="U945" s="88"/>
      <c r="V945" s="88"/>
      <c r="Y945" s="91"/>
      <c r="Z945" s="88"/>
    </row>
    <row r="946" spans="6:26" ht="12.5" x14ac:dyDescent="0.25">
      <c r="F946" s="88"/>
      <c r="G946" s="91"/>
      <c r="H946" s="91"/>
      <c r="I946" s="88"/>
      <c r="J946" s="91"/>
      <c r="K946" s="88"/>
      <c r="L946" s="88"/>
      <c r="M946" s="91"/>
      <c r="N946" s="88"/>
      <c r="O946" s="91"/>
      <c r="P946" s="91"/>
      <c r="Q946" s="88"/>
      <c r="R946" s="91"/>
      <c r="S946" s="91"/>
      <c r="T946" s="88"/>
      <c r="U946" s="88"/>
      <c r="V946" s="88"/>
      <c r="Y946" s="91"/>
      <c r="Z946" s="88"/>
    </row>
    <row r="947" spans="6:26" ht="12.5" x14ac:dyDescent="0.25">
      <c r="F947" s="88"/>
      <c r="G947" s="91"/>
      <c r="H947" s="91"/>
      <c r="I947" s="88"/>
      <c r="J947" s="91"/>
      <c r="K947" s="88"/>
      <c r="L947" s="88"/>
      <c r="M947" s="91"/>
      <c r="N947" s="88"/>
      <c r="O947" s="91"/>
      <c r="P947" s="91"/>
      <c r="Q947" s="88"/>
      <c r="R947" s="91"/>
      <c r="S947" s="91"/>
      <c r="T947" s="88"/>
      <c r="U947" s="88"/>
      <c r="V947" s="88"/>
      <c r="Y947" s="91"/>
      <c r="Z947" s="88"/>
    </row>
    <row r="948" spans="6:26" ht="12.5" x14ac:dyDescent="0.25">
      <c r="F948" s="88"/>
      <c r="G948" s="91"/>
      <c r="H948" s="91"/>
      <c r="I948" s="88"/>
      <c r="J948" s="91"/>
      <c r="K948" s="88"/>
      <c r="L948" s="88"/>
      <c r="M948" s="91"/>
      <c r="N948" s="88"/>
      <c r="O948" s="91"/>
      <c r="P948" s="91"/>
      <c r="Q948" s="88"/>
      <c r="R948" s="91"/>
      <c r="S948" s="91"/>
      <c r="T948" s="88"/>
      <c r="U948" s="88"/>
      <c r="V948" s="88"/>
      <c r="Y948" s="91"/>
      <c r="Z948" s="88"/>
    </row>
    <row r="949" spans="6:26" ht="12.5" x14ac:dyDescent="0.25">
      <c r="F949" s="88"/>
      <c r="G949" s="91"/>
      <c r="H949" s="91"/>
      <c r="I949" s="88"/>
      <c r="J949" s="91"/>
      <c r="K949" s="88"/>
      <c r="L949" s="88"/>
      <c r="M949" s="91"/>
      <c r="N949" s="88"/>
      <c r="O949" s="91"/>
      <c r="P949" s="91"/>
      <c r="Q949" s="88"/>
      <c r="R949" s="91"/>
      <c r="S949" s="91"/>
      <c r="T949" s="88"/>
      <c r="U949" s="88"/>
      <c r="V949" s="88"/>
      <c r="Y949" s="91"/>
      <c r="Z949" s="88"/>
    </row>
    <row r="950" spans="6:26" ht="12.5" x14ac:dyDescent="0.25">
      <c r="F950" s="88"/>
      <c r="G950" s="91"/>
      <c r="H950" s="91"/>
      <c r="I950" s="88"/>
      <c r="J950" s="91"/>
      <c r="K950" s="88"/>
      <c r="L950" s="88"/>
      <c r="M950" s="91"/>
      <c r="N950" s="88"/>
      <c r="O950" s="91"/>
      <c r="P950" s="91"/>
      <c r="Q950" s="88"/>
      <c r="R950" s="91"/>
      <c r="S950" s="91"/>
      <c r="T950" s="88"/>
      <c r="U950" s="88"/>
      <c r="V950" s="88"/>
      <c r="Y950" s="91"/>
      <c r="Z950" s="88"/>
    </row>
    <row r="951" spans="6:26" ht="12.5" x14ac:dyDescent="0.25">
      <c r="F951" s="88"/>
      <c r="G951" s="91"/>
      <c r="H951" s="91"/>
      <c r="I951" s="88"/>
      <c r="J951" s="91"/>
      <c r="K951" s="88"/>
      <c r="L951" s="88"/>
      <c r="M951" s="91"/>
      <c r="N951" s="88"/>
      <c r="O951" s="91"/>
      <c r="P951" s="91"/>
      <c r="Q951" s="88"/>
      <c r="R951" s="91"/>
      <c r="S951" s="91"/>
      <c r="T951" s="88"/>
      <c r="U951" s="88"/>
      <c r="V951" s="88"/>
      <c r="Y951" s="91"/>
      <c r="Z951" s="88"/>
    </row>
    <row r="952" spans="6:26" ht="12.5" x14ac:dyDescent="0.25">
      <c r="F952" s="88"/>
      <c r="G952" s="91"/>
      <c r="H952" s="91"/>
      <c r="I952" s="88"/>
      <c r="J952" s="91"/>
      <c r="K952" s="88"/>
      <c r="L952" s="88"/>
      <c r="M952" s="91"/>
      <c r="N952" s="88"/>
      <c r="O952" s="91"/>
      <c r="P952" s="91"/>
      <c r="Q952" s="88"/>
      <c r="R952" s="91"/>
      <c r="S952" s="91"/>
      <c r="T952" s="88"/>
      <c r="U952" s="88"/>
      <c r="V952" s="88"/>
      <c r="Y952" s="91"/>
      <c r="Z952" s="88"/>
    </row>
    <row r="953" spans="6:26" ht="12.5" x14ac:dyDescent="0.25">
      <c r="F953" s="88"/>
      <c r="G953" s="91"/>
      <c r="H953" s="91"/>
      <c r="I953" s="88"/>
      <c r="J953" s="91"/>
      <c r="K953" s="88"/>
      <c r="L953" s="88"/>
      <c r="M953" s="91"/>
      <c r="N953" s="88"/>
      <c r="O953" s="91"/>
      <c r="P953" s="91"/>
      <c r="Q953" s="88"/>
      <c r="R953" s="91"/>
      <c r="S953" s="91"/>
      <c r="T953" s="88"/>
      <c r="U953" s="88"/>
      <c r="V953" s="88"/>
      <c r="Y953" s="91"/>
      <c r="Z953" s="88"/>
    </row>
    <row r="954" spans="6:26" ht="12.5" x14ac:dyDescent="0.25">
      <c r="F954" s="88"/>
      <c r="G954" s="91"/>
      <c r="H954" s="91"/>
      <c r="I954" s="88"/>
      <c r="J954" s="91"/>
      <c r="K954" s="88"/>
      <c r="L954" s="88"/>
      <c r="M954" s="91"/>
      <c r="N954" s="88"/>
      <c r="O954" s="91"/>
      <c r="P954" s="91"/>
      <c r="Q954" s="88"/>
      <c r="R954" s="91"/>
      <c r="S954" s="91"/>
      <c r="T954" s="88"/>
      <c r="U954" s="88"/>
      <c r="V954" s="88"/>
      <c r="Y954" s="91"/>
      <c r="Z954" s="88"/>
    </row>
    <row r="955" spans="6:26" ht="12.5" x14ac:dyDescent="0.25">
      <c r="F955" s="88"/>
      <c r="G955" s="91"/>
      <c r="H955" s="91"/>
      <c r="I955" s="88"/>
      <c r="J955" s="91"/>
      <c r="K955" s="88"/>
      <c r="L955" s="88"/>
      <c r="M955" s="91"/>
      <c r="N955" s="88"/>
      <c r="O955" s="91"/>
      <c r="P955" s="91"/>
      <c r="Q955" s="88"/>
      <c r="R955" s="91"/>
      <c r="S955" s="91"/>
      <c r="T955" s="88"/>
      <c r="U955" s="88"/>
      <c r="V955" s="88"/>
      <c r="Y955" s="91"/>
      <c r="Z955" s="88"/>
    </row>
    <row r="956" spans="6:26" ht="12.5" x14ac:dyDescent="0.25">
      <c r="F956" s="88"/>
      <c r="G956" s="91"/>
      <c r="H956" s="91"/>
      <c r="I956" s="88"/>
      <c r="J956" s="91"/>
      <c r="K956" s="88"/>
      <c r="L956" s="88"/>
      <c r="M956" s="91"/>
      <c r="N956" s="88"/>
      <c r="O956" s="91"/>
      <c r="P956" s="91"/>
      <c r="Q956" s="88"/>
      <c r="R956" s="91"/>
      <c r="S956" s="91"/>
      <c r="T956" s="88"/>
      <c r="U956" s="88"/>
      <c r="V956" s="88"/>
      <c r="Y956" s="91"/>
      <c r="Z956" s="88"/>
    </row>
    <row r="957" spans="6:26" ht="12.5" x14ac:dyDescent="0.25">
      <c r="F957" s="88"/>
      <c r="G957" s="91"/>
      <c r="H957" s="91"/>
      <c r="I957" s="88"/>
      <c r="J957" s="91"/>
      <c r="K957" s="88"/>
      <c r="L957" s="88"/>
      <c r="M957" s="91"/>
      <c r="N957" s="88"/>
      <c r="O957" s="91"/>
      <c r="P957" s="91"/>
      <c r="Q957" s="88"/>
      <c r="R957" s="91"/>
      <c r="S957" s="91"/>
      <c r="T957" s="88"/>
      <c r="U957" s="88"/>
      <c r="V957" s="88"/>
      <c r="Y957" s="91"/>
      <c r="Z957" s="88"/>
    </row>
    <row r="958" spans="6:26" ht="12.5" x14ac:dyDescent="0.25">
      <c r="F958" s="88"/>
      <c r="G958" s="91"/>
      <c r="H958" s="91"/>
      <c r="I958" s="88"/>
      <c r="J958" s="91"/>
      <c r="K958" s="88"/>
      <c r="L958" s="88"/>
      <c r="M958" s="91"/>
      <c r="N958" s="88"/>
      <c r="O958" s="91"/>
      <c r="P958" s="91"/>
      <c r="Q958" s="88"/>
      <c r="R958" s="91"/>
      <c r="S958" s="91"/>
      <c r="T958" s="88"/>
      <c r="U958" s="88"/>
      <c r="V958" s="88"/>
      <c r="Y958" s="91"/>
      <c r="Z958" s="88"/>
    </row>
    <row r="959" spans="6:26" ht="12.5" x14ac:dyDescent="0.25">
      <c r="F959" s="88"/>
      <c r="G959" s="91"/>
      <c r="H959" s="91"/>
      <c r="I959" s="88"/>
      <c r="J959" s="91"/>
      <c r="K959" s="88"/>
      <c r="L959" s="88"/>
      <c r="M959" s="91"/>
      <c r="N959" s="88"/>
      <c r="O959" s="91"/>
      <c r="P959" s="91"/>
      <c r="Q959" s="88"/>
      <c r="R959" s="91"/>
      <c r="S959" s="91"/>
      <c r="T959" s="88"/>
      <c r="U959" s="88"/>
      <c r="V959" s="88"/>
      <c r="Y959" s="91"/>
      <c r="Z959" s="88"/>
    </row>
    <row r="960" spans="6:26" ht="12.5" x14ac:dyDescent="0.25">
      <c r="F960" s="88"/>
      <c r="G960" s="91"/>
      <c r="H960" s="91"/>
      <c r="I960" s="88"/>
      <c r="J960" s="91"/>
      <c r="K960" s="88"/>
      <c r="L960" s="88"/>
      <c r="M960" s="91"/>
      <c r="N960" s="88"/>
      <c r="O960" s="91"/>
      <c r="P960" s="91"/>
      <c r="Q960" s="88"/>
      <c r="R960" s="91"/>
      <c r="S960" s="91"/>
      <c r="T960" s="88"/>
      <c r="U960" s="88"/>
      <c r="V960" s="88"/>
      <c r="Y960" s="91"/>
      <c r="Z960" s="88"/>
    </row>
    <row r="961" spans="6:26" ht="12.5" x14ac:dyDescent="0.25">
      <c r="F961" s="88"/>
      <c r="G961" s="91"/>
      <c r="H961" s="91"/>
      <c r="I961" s="88"/>
      <c r="J961" s="91"/>
      <c r="K961" s="88"/>
      <c r="L961" s="88"/>
      <c r="M961" s="91"/>
      <c r="N961" s="88"/>
      <c r="O961" s="91"/>
      <c r="P961" s="91"/>
      <c r="Q961" s="88"/>
      <c r="R961" s="91"/>
      <c r="S961" s="91"/>
      <c r="T961" s="88"/>
      <c r="U961" s="88"/>
      <c r="V961" s="88"/>
      <c r="Y961" s="91"/>
      <c r="Z961" s="88"/>
    </row>
    <row r="962" spans="6:26" ht="12.5" x14ac:dyDescent="0.25">
      <c r="F962" s="88"/>
      <c r="G962" s="91"/>
      <c r="H962" s="91"/>
      <c r="I962" s="88"/>
      <c r="J962" s="91"/>
      <c r="K962" s="88"/>
      <c r="L962" s="88"/>
      <c r="M962" s="91"/>
      <c r="N962" s="88"/>
      <c r="O962" s="91"/>
      <c r="P962" s="91"/>
      <c r="Q962" s="88"/>
      <c r="R962" s="91"/>
      <c r="S962" s="91"/>
      <c r="T962" s="88"/>
      <c r="U962" s="88"/>
      <c r="V962" s="88"/>
      <c r="Y962" s="91"/>
      <c r="Z962" s="88"/>
    </row>
    <row r="963" spans="6:26" ht="12.5" x14ac:dyDescent="0.25">
      <c r="F963" s="88"/>
      <c r="G963" s="91"/>
      <c r="H963" s="91"/>
      <c r="I963" s="88"/>
      <c r="J963" s="91"/>
      <c r="K963" s="88"/>
      <c r="L963" s="88"/>
      <c r="M963" s="91"/>
      <c r="N963" s="88"/>
      <c r="O963" s="91"/>
      <c r="P963" s="91"/>
      <c r="Q963" s="88"/>
      <c r="R963" s="91"/>
      <c r="S963" s="91"/>
      <c r="T963" s="88"/>
      <c r="U963" s="88"/>
      <c r="V963" s="88"/>
      <c r="Y963" s="91"/>
      <c r="Z963" s="88"/>
    </row>
    <row r="964" spans="6:26" ht="12.5" x14ac:dyDescent="0.25">
      <c r="F964" s="88"/>
      <c r="G964" s="91"/>
      <c r="H964" s="91"/>
      <c r="I964" s="88"/>
      <c r="J964" s="91"/>
      <c r="K964" s="88"/>
      <c r="L964" s="88"/>
      <c r="M964" s="91"/>
      <c r="N964" s="88"/>
      <c r="O964" s="91"/>
      <c r="P964" s="91"/>
      <c r="Q964" s="88"/>
      <c r="R964" s="91"/>
      <c r="S964" s="91"/>
      <c r="T964" s="88"/>
      <c r="U964" s="88"/>
      <c r="V964" s="88"/>
      <c r="Y964" s="91"/>
      <c r="Z964" s="88"/>
    </row>
    <row r="965" spans="6:26" ht="12.5" x14ac:dyDescent="0.25">
      <c r="F965" s="88"/>
      <c r="G965" s="91"/>
      <c r="H965" s="91"/>
      <c r="I965" s="88"/>
      <c r="J965" s="91"/>
      <c r="K965" s="88"/>
      <c r="L965" s="88"/>
      <c r="M965" s="91"/>
      <c r="N965" s="88"/>
      <c r="O965" s="91"/>
      <c r="P965" s="91"/>
      <c r="Q965" s="88"/>
      <c r="R965" s="91"/>
      <c r="S965" s="91"/>
      <c r="T965" s="88"/>
      <c r="U965" s="88"/>
      <c r="V965" s="88"/>
      <c r="Y965" s="91"/>
      <c r="Z965" s="88"/>
    </row>
    <row r="966" spans="6:26" ht="12.5" x14ac:dyDescent="0.25">
      <c r="F966" s="88"/>
      <c r="G966" s="91"/>
      <c r="H966" s="91"/>
      <c r="I966" s="88"/>
      <c r="J966" s="91"/>
      <c r="K966" s="88"/>
      <c r="L966" s="88"/>
      <c r="M966" s="91"/>
      <c r="N966" s="88"/>
      <c r="O966" s="91"/>
      <c r="P966" s="91"/>
      <c r="Q966" s="88"/>
      <c r="R966" s="91"/>
      <c r="S966" s="91"/>
      <c r="T966" s="88"/>
      <c r="U966" s="88"/>
      <c r="V966" s="88"/>
      <c r="Y966" s="91"/>
      <c r="Z966" s="88"/>
    </row>
    <row r="967" spans="6:26" ht="12.5" x14ac:dyDescent="0.25">
      <c r="F967" s="88"/>
      <c r="G967" s="91"/>
      <c r="H967" s="91"/>
      <c r="I967" s="88"/>
      <c r="J967" s="91"/>
      <c r="K967" s="88"/>
      <c r="L967" s="88"/>
      <c r="M967" s="91"/>
      <c r="N967" s="88"/>
      <c r="O967" s="91"/>
      <c r="P967" s="91"/>
      <c r="Q967" s="88"/>
      <c r="R967" s="91"/>
      <c r="S967" s="91"/>
      <c r="T967" s="88"/>
      <c r="U967" s="88"/>
      <c r="V967" s="88"/>
      <c r="Y967" s="91"/>
      <c r="Z967" s="88"/>
    </row>
    <row r="968" spans="6:26" ht="12.5" x14ac:dyDescent="0.25">
      <c r="F968" s="88"/>
      <c r="G968" s="91"/>
      <c r="H968" s="91"/>
      <c r="I968" s="88"/>
      <c r="J968" s="91"/>
      <c r="K968" s="88"/>
      <c r="L968" s="88"/>
      <c r="M968" s="91"/>
      <c r="N968" s="88"/>
      <c r="O968" s="91"/>
      <c r="P968" s="91"/>
      <c r="Q968" s="88"/>
      <c r="R968" s="91"/>
      <c r="S968" s="91"/>
      <c r="T968" s="88"/>
      <c r="U968" s="88"/>
      <c r="V968" s="88"/>
      <c r="Y968" s="91"/>
      <c r="Z968" s="88"/>
    </row>
    <row r="969" spans="6:26" ht="12.5" x14ac:dyDescent="0.25">
      <c r="F969" s="88"/>
      <c r="G969" s="91"/>
      <c r="H969" s="91"/>
      <c r="I969" s="88"/>
      <c r="J969" s="91"/>
      <c r="K969" s="88"/>
      <c r="L969" s="88"/>
      <c r="M969" s="91"/>
      <c r="N969" s="88"/>
      <c r="O969" s="91"/>
      <c r="P969" s="91"/>
      <c r="Q969" s="88"/>
      <c r="R969" s="91"/>
      <c r="S969" s="91"/>
      <c r="T969" s="88"/>
      <c r="U969" s="88"/>
      <c r="V969" s="88"/>
      <c r="Y969" s="91"/>
      <c r="Z969" s="88"/>
    </row>
    <row r="970" spans="6:26" ht="12.5" x14ac:dyDescent="0.25">
      <c r="F970" s="88"/>
      <c r="G970" s="91"/>
      <c r="H970" s="91"/>
      <c r="I970" s="88"/>
      <c r="J970" s="91"/>
      <c r="K970" s="88"/>
      <c r="L970" s="88"/>
      <c r="M970" s="91"/>
      <c r="N970" s="88"/>
      <c r="O970" s="91"/>
      <c r="P970" s="91"/>
      <c r="Q970" s="88"/>
      <c r="R970" s="91"/>
      <c r="S970" s="91"/>
      <c r="T970" s="88"/>
      <c r="U970" s="88"/>
      <c r="V970" s="88"/>
      <c r="Y970" s="91"/>
      <c r="Z970" s="88"/>
    </row>
    <row r="971" spans="6:26" ht="12.5" x14ac:dyDescent="0.25">
      <c r="F971" s="88"/>
      <c r="G971" s="91"/>
      <c r="H971" s="91"/>
      <c r="I971" s="88"/>
      <c r="J971" s="91"/>
      <c r="K971" s="88"/>
      <c r="L971" s="88"/>
      <c r="M971" s="91"/>
      <c r="N971" s="88"/>
      <c r="O971" s="91"/>
      <c r="P971" s="91"/>
      <c r="Q971" s="88"/>
      <c r="R971" s="91"/>
      <c r="S971" s="91"/>
      <c r="T971" s="88"/>
      <c r="U971" s="88"/>
      <c r="V971" s="88"/>
      <c r="Y971" s="91"/>
      <c r="Z971" s="88"/>
    </row>
    <row r="972" spans="6:26" ht="12.5" x14ac:dyDescent="0.25">
      <c r="F972" s="88"/>
      <c r="G972" s="91"/>
      <c r="H972" s="91"/>
      <c r="I972" s="88"/>
      <c r="J972" s="91"/>
      <c r="K972" s="88"/>
      <c r="L972" s="88"/>
      <c r="M972" s="91"/>
      <c r="N972" s="88"/>
      <c r="O972" s="91"/>
      <c r="P972" s="91"/>
      <c r="Q972" s="88"/>
      <c r="R972" s="91"/>
      <c r="S972" s="91"/>
      <c r="T972" s="88"/>
      <c r="U972" s="88"/>
      <c r="V972" s="88"/>
      <c r="Y972" s="91"/>
      <c r="Z972" s="88"/>
    </row>
    <row r="973" spans="6:26" ht="12.5" x14ac:dyDescent="0.25">
      <c r="F973" s="88"/>
      <c r="G973" s="91"/>
      <c r="H973" s="91"/>
      <c r="I973" s="88"/>
      <c r="J973" s="91"/>
      <c r="K973" s="88"/>
      <c r="L973" s="88"/>
      <c r="M973" s="91"/>
      <c r="N973" s="88"/>
      <c r="O973" s="91"/>
      <c r="P973" s="91"/>
      <c r="Q973" s="88"/>
      <c r="R973" s="91"/>
      <c r="S973" s="91"/>
      <c r="T973" s="88"/>
      <c r="U973" s="88"/>
      <c r="V973" s="88"/>
      <c r="Y973" s="91"/>
      <c r="Z973" s="88"/>
    </row>
    <row r="974" spans="6:26" ht="12.5" x14ac:dyDescent="0.25">
      <c r="F974" s="88"/>
      <c r="G974" s="91"/>
      <c r="H974" s="91"/>
      <c r="I974" s="88"/>
      <c r="J974" s="91"/>
      <c r="K974" s="88"/>
      <c r="L974" s="88"/>
      <c r="M974" s="91"/>
      <c r="N974" s="88"/>
      <c r="O974" s="91"/>
      <c r="P974" s="91"/>
      <c r="Q974" s="88"/>
      <c r="R974" s="91"/>
      <c r="S974" s="91"/>
      <c r="T974" s="88"/>
      <c r="U974" s="88"/>
      <c r="V974" s="88"/>
      <c r="Y974" s="91"/>
      <c r="Z974" s="88"/>
    </row>
    <row r="975" spans="6:26" ht="12.5" x14ac:dyDescent="0.25">
      <c r="F975" s="88"/>
      <c r="G975" s="91"/>
      <c r="H975" s="91"/>
      <c r="I975" s="88"/>
      <c r="J975" s="91"/>
      <c r="K975" s="88"/>
      <c r="L975" s="88"/>
      <c r="M975" s="91"/>
      <c r="N975" s="88"/>
      <c r="O975" s="91"/>
      <c r="P975" s="91"/>
      <c r="Q975" s="88"/>
      <c r="R975" s="91"/>
      <c r="S975" s="91"/>
      <c r="T975" s="88"/>
      <c r="U975" s="88"/>
      <c r="V975" s="88"/>
      <c r="Y975" s="91"/>
      <c r="Z975" s="88"/>
    </row>
    <row r="976" spans="6:26" ht="12.5" x14ac:dyDescent="0.25">
      <c r="F976" s="88"/>
      <c r="G976" s="91"/>
      <c r="H976" s="91"/>
      <c r="I976" s="88"/>
      <c r="J976" s="91"/>
      <c r="K976" s="88"/>
      <c r="L976" s="88"/>
      <c r="M976" s="91"/>
      <c r="N976" s="88"/>
      <c r="O976" s="91"/>
      <c r="P976" s="91"/>
      <c r="Q976" s="88"/>
      <c r="R976" s="91"/>
      <c r="S976" s="91"/>
      <c r="T976" s="88"/>
      <c r="U976" s="88"/>
      <c r="V976" s="88"/>
      <c r="Y976" s="91"/>
      <c r="Z976" s="88"/>
    </row>
    <row r="977" spans="6:26" ht="12.5" x14ac:dyDescent="0.25">
      <c r="F977" s="88"/>
      <c r="G977" s="91"/>
      <c r="H977" s="91"/>
      <c r="I977" s="88"/>
      <c r="J977" s="91"/>
      <c r="K977" s="88"/>
      <c r="L977" s="88"/>
      <c r="M977" s="91"/>
      <c r="N977" s="88"/>
      <c r="O977" s="91"/>
      <c r="P977" s="91"/>
      <c r="Q977" s="88"/>
      <c r="R977" s="91"/>
      <c r="S977" s="91"/>
      <c r="T977" s="88"/>
      <c r="U977" s="88"/>
      <c r="V977" s="88"/>
      <c r="Y977" s="91"/>
      <c r="Z977" s="88"/>
    </row>
    <row r="978" spans="6:26" ht="12.5" x14ac:dyDescent="0.25">
      <c r="F978" s="88"/>
      <c r="G978" s="91"/>
      <c r="H978" s="91"/>
      <c r="I978" s="88"/>
      <c r="J978" s="91"/>
      <c r="K978" s="88"/>
      <c r="L978" s="88"/>
      <c r="M978" s="91"/>
      <c r="N978" s="88"/>
      <c r="O978" s="91"/>
      <c r="P978" s="91"/>
      <c r="Q978" s="88"/>
      <c r="R978" s="91"/>
      <c r="S978" s="91"/>
      <c r="T978" s="88"/>
      <c r="U978" s="88"/>
      <c r="V978" s="88"/>
      <c r="Y978" s="91"/>
      <c r="Z978" s="88"/>
    </row>
    <row r="979" spans="6:26" ht="12.5" x14ac:dyDescent="0.25">
      <c r="F979" s="88"/>
      <c r="G979" s="91"/>
      <c r="H979" s="91"/>
      <c r="I979" s="88"/>
      <c r="J979" s="91"/>
      <c r="K979" s="88"/>
      <c r="L979" s="88"/>
      <c r="M979" s="91"/>
      <c r="N979" s="88"/>
      <c r="O979" s="91"/>
      <c r="P979" s="91"/>
      <c r="Q979" s="88"/>
      <c r="R979" s="91"/>
      <c r="S979" s="91"/>
      <c r="T979" s="88"/>
      <c r="U979" s="88"/>
      <c r="V979" s="88"/>
      <c r="Y979" s="91"/>
      <c r="Z979" s="88"/>
    </row>
    <row r="980" spans="6:26" ht="12.5" x14ac:dyDescent="0.25">
      <c r="F980" s="88"/>
      <c r="G980" s="91"/>
      <c r="H980" s="91"/>
      <c r="I980" s="88"/>
      <c r="J980" s="91"/>
      <c r="K980" s="88"/>
      <c r="L980" s="88"/>
      <c r="M980" s="91"/>
      <c r="N980" s="88"/>
      <c r="O980" s="91"/>
      <c r="P980" s="91"/>
      <c r="Q980" s="88"/>
      <c r="R980" s="91"/>
      <c r="S980" s="91"/>
      <c r="T980" s="88"/>
      <c r="U980" s="88"/>
      <c r="V980" s="88"/>
      <c r="Y980" s="91"/>
      <c r="Z980" s="88"/>
    </row>
    <row r="981" spans="6:26" ht="12.5" x14ac:dyDescent="0.25">
      <c r="F981" s="88"/>
      <c r="G981" s="91"/>
      <c r="H981" s="91"/>
      <c r="I981" s="88"/>
      <c r="J981" s="91"/>
      <c r="K981" s="88"/>
      <c r="L981" s="88"/>
      <c r="M981" s="91"/>
      <c r="N981" s="88"/>
      <c r="O981" s="91"/>
      <c r="P981" s="91"/>
      <c r="Q981" s="88"/>
      <c r="R981" s="91"/>
      <c r="S981" s="91"/>
      <c r="T981" s="88"/>
      <c r="U981" s="88"/>
      <c r="V981" s="88"/>
      <c r="Y981" s="91"/>
      <c r="Z981" s="88"/>
    </row>
    <row r="982" spans="6:26" ht="12.5" x14ac:dyDescent="0.25">
      <c r="F982" s="88"/>
      <c r="G982" s="91"/>
      <c r="H982" s="91"/>
      <c r="I982" s="88"/>
      <c r="J982" s="91"/>
      <c r="K982" s="88"/>
      <c r="L982" s="88"/>
      <c r="M982" s="91"/>
      <c r="N982" s="88"/>
      <c r="O982" s="91"/>
      <c r="P982" s="91"/>
      <c r="Q982" s="88"/>
      <c r="R982" s="91"/>
      <c r="S982" s="91"/>
      <c r="T982" s="88"/>
      <c r="U982" s="88"/>
      <c r="V982" s="88"/>
      <c r="Y982" s="91"/>
      <c r="Z982" s="88"/>
    </row>
    <row r="983" spans="6:26" ht="12.5" x14ac:dyDescent="0.25">
      <c r="F983" s="88"/>
      <c r="G983" s="91"/>
      <c r="H983" s="91"/>
      <c r="I983" s="88"/>
      <c r="J983" s="91"/>
      <c r="K983" s="88"/>
      <c r="L983" s="88"/>
      <c r="M983" s="91"/>
      <c r="N983" s="88"/>
      <c r="O983" s="91"/>
      <c r="P983" s="91"/>
      <c r="Q983" s="88"/>
      <c r="R983" s="91"/>
      <c r="S983" s="91"/>
      <c r="T983" s="88"/>
      <c r="U983" s="88"/>
      <c r="V983" s="88"/>
      <c r="Y983" s="91"/>
      <c r="Z983" s="88"/>
    </row>
    <row r="984" spans="6:26" ht="12.5" x14ac:dyDescent="0.25">
      <c r="F984" s="88"/>
      <c r="G984" s="91"/>
      <c r="H984" s="91"/>
      <c r="I984" s="88"/>
      <c r="J984" s="91"/>
      <c r="K984" s="88"/>
      <c r="L984" s="88"/>
      <c r="M984" s="91"/>
      <c r="N984" s="88"/>
      <c r="O984" s="91"/>
      <c r="P984" s="91"/>
      <c r="Q984" s="88"/>
      <c r="R984" s="91"/>
      <c r="S984" s="91"/>
      <c r="T984" s="88"/>
      <c r="U984" s="88"/>
      <c r="V984" s="88"/>
      <c r="Y984" s="91"/>
      <c r="Z984" s="88"/>
    </row>
    <row r="985" spans="6:26" ht="12.5" x14ac:dyDescent="0.25">
      <c r="F985" s="88"/>
      <c r="G985" s="91"/>
      <c r="H985" s="91"/>
      <c r="I985" s="88"/>
      <c r="J985" s="91"/>
      <c r="K985" s="88"/>
      <c r="L985" s="88"/>
      <c r="M985" s="91"/>
      <c r="N985" s="88"/>
      <c r="O985" s="91"/>
      <c r="P985" s="91"/>
      <c r="Q985" s="88"/>
      <c r="R985" s="91"/>
      <c r="S985" s="91"/>
      <c r="T985" s="88"/>
      <c r="U985" s="88"/>
      <c r="V985" s="88"/>
      <c r="Y985" s="91"/>
      <c r="Z985" s="88"/>
    </row>
    <row r="986" spans="6:26" ht="12.5" x14ac:dyDescent="0.25">
      <c r="F986" s="88"/>
      <c r="G986" s="91"/>
      <c r="H986" s="91"/>
      <c r="I986" s="88"/>
      <c r="J986" s="91"/>
      <c r="K986" s="88"/>
      <c r="L986" s="88"/>
      <c r="M986" s="91"/>
      <c r="N986" s="88"/>
      <c r="O986" s="91"/>
      <c r="P986" s="91"/>
      <c r="Q986" s="88"/>
      <c r="R986" s="91"/>
      <c r="S986" s="91"/>
      <c r="T986" s="88"/>
      <c r="U986" s="88"/>
      <c r="V986" s="88"/>
      <c r="Y986" s="91"/>
      <c r="Z986" s="88"/>
    </row>
    <row r="987" spans="6:26" ht="12.5" x14ac:dyDescent="0.25">
      <c r="F987" s="88"/>
      <c r="G987" s="91"/>
      <c r="H987" s="91"/>
      <c r="I987" s="88"/>
      <c r="J987" s="91"/>
      <c r="K987" s="88"/>
      <c r="L987" s="88"/>
      <c r="M987" s="91"/>
      <c r="N987" s="88"/>
      <c r="O987" s="91"/>
      <c r="P987" s="91"/>
      <c r="Q987" s="88"/>
      <c r="R987" s="91"/>
      <c r="S987" s="91"/>
      <c r="T987" s="88"/>
      <c r="U987" s="88"/>
      <c r="V987" s="88"/>
      <c r="Y987" s="91"/>
      <c r="Z987" s="88"/>
    </row>
    <row r="988" spans="6:26" ht="12.5" x14ac:dyDescent="0.25">
      <c r="F988" s="88"/>
      <c r="G988" s="91"/>
      <c r="H988" s="91"/>
      <c r="I988" s="88"/>
      <c r="J988" s="91"/>
      <c r="K988" s="88"/>
      <c r="L988" s="88"/>
      <c r="M988" s="91"/>
      <c r="N988" s="88"/>
      <c r="O988" s="91"/>
      <c r="P988" s="91"/>
      <c r="Q988" s="88"/>
      <c r="R988" s="91"/>
      <c r="S988" s="91"/>
      <c r="T988" s="88"/>
      <c r="U988" s="88"/>
      <c r="V988" s="88"/>
      <c r="Y988" s="91"/>
      <c r="Z988" s="88"/>
    </row>
    <row r="989" spans="6:26" ht="12.5" x14ac:dyDescent="0.25">
      <c r="F989" s="88"/>
      <c r="G989" s="91"/>
      <c r="H989" s="91"/>
      <c r="I989" s="88"/>
      <c r="J989" s="91"/>
      <c r="K989" s="88"/>
      <c r="L989" s="88"/>
      <c r="M989" s="91"/>
      <c r="N989" s="88"/>
      <c r="O989" s="91"/>
      <c r="P989" s="91"/>
      <c r="Q989" s="88"/>
      <c r="R989" s="91"/>
      <c r="S989" s="91"/>
      <c r="T989" s="88"/>
      <c r="U989" s="88"/>
      <c r="V989" s="88"/>
      <c r="Y989" s="91"/>
      <c r="Z989" s="88"/>
    </row>
    <row r="990" spans="6:26" ht="12.5" x14ac:dyDescent="0.25">
      <c r="F990" s="88"/>
      <c r="G990" s="91"/>
      <c r="H990" s="91"/>
      <c r="I990" s="88"/>
      <c r="J990" s="91"/>
      <c r="K990" s="88"/>
      <c r="L990" s="88"/>
      <c r="M990" s="91"/>
      <c r="N990" s="88"/>
      <c r="O990" s="91"/>
      <c r="P990" s="91"/>
      <c r="Q990" s="88"/>
      <c r="R990" s="91"/>
      <c r="S990" s="91"/>
      <c r="T990" s="88"/>
      <c r="U990" s="88"/>
      <c r="V990" s="88"/>
      <c r="Y990" s="91"/>
      <c r="Z990" s="88"/>
    </row>
    <row r="991" spans="6:26" ht="12.5" x14ac:dyDescent="0.25">
      <c r="F991" s="88"/>
      <c r="G991" s="91"/>
      <c r="H991" s="91"/>
      <c r="I991" s="88"/>
      <c r="J991" s="91"/>
      <c r="K991" s="88"/>
      <c r="L991" s="88"/>
      <c r="M991" s="91"/>
      <c r="N991" s="88"/>
      <c r="O991" s="91"/>
      <c r="P991" s="91"/>
      <c r="Q991" s="88"/>
      <c r="R991" s="91"/>
      <c r="S991" s="91"/>
      <c r="T991" s="88"/>
      <c r="U991" s="88"/>
      <c r="V991" s="88"/>
      <c r="Y991" s="91"/>
      <c r="Z991" s="88"/>
    </row>
    <row r="992" spans="6:26" ht="12.5" x14ac:dyDescent="0.25">
      <c r="F992" s="88"/>
      <c r="G992" s="91"/>
      <c r="H992" s="91"/>
      <c r="I992" s="88"/>
      <c r="J992" s="91"/>
      <c r="K992" s="88"/>
      <c r="L992" s="88"/>
      <c r="M992" s="91"/>
      <c r="N992" s="88"/>
      <c r="O992" s="91"/>
      <c r="P992" s="91"/>
      <c r="Q992" s="88"/>
      <c r="R992" s="91"/>
      <c r="S992" s="91"/>
      <c r="T992" s="88"/>
      <c r="U992" s="88"/>
      <c r="V992" s="88"/>
      <c r="Y992" s="91"/>
      <c r="Z992" s="88"/>
    </row>
    <row r="993" spans="6:26" ht="12.5" x14ac:dyDescent="0.25">
      <c r="F993" s="88"/>
      <c r="G993" s="91"/>
      <c r="H993" s="91"/>
      <c r="I993" s="88"/>
      <c r="J993" s="91"/>
      <c r="K993" s="88"/>
      <c r="L993" s="88"/>
      <c r="M993" s="91"/>
      <c r="N993" s="88"/>
      <c r="O993" s="91"/>
      <c r="P993" s="91"/>
      <c r="Q993" s="88"/>
      <c r="R993" s="91"/>
      <c r="S993" s="91"/>
      <c r="T993" s="88"/>
      <c r="U993" s="88"/>
      <c r="V993" s="88"/>
      <c r="Y993" s="91"/>
      <c r="Z993" s="88"/>
    </row>
    <row r="994" spans="6:26" ht="12.5" x14ac:dyDescent="0.25">
      <c r="F994" s="88"/>
      <c r="G994" s="91"/>
      <c r="H994" s="91"/>
      <c r="I994" s="88"/>
      <c r="J994" s="91"/>
      <c r="K994" s="88"/>
      <c r="L994" s="88"/>
      <c r="M994" s="91"/>
      <c r="N994" s="88"/>
      <c r="O994" s="91"/>
      <c r="P994" s="91"/>
      <c r="Q994" s="88"/>
      <c r="R994" s="91"/>
      <c r="S994" s="91"/>
      <c r="T994" s="88"/>
      <c r="U994" s="88"/>
      <c r="V994" s="88"/>
      <c r="Y994" s="91"/>
      <c r="Z994" s="88"/>
    </row>
    <row r="995" spans="6:26" ht="12.5" x14ac:dyDescent="0.25">
      <c r="F995" s="88"/>
      <c r="G995" s="91"/>
      <c r="H995" s="91"/>
      <c r="I995" s="88"/>
      <c r="J995" s="91"/>
      <c r="K995" s="88"/>
      <c r="L995" s="88"/>
      <c r="M995" s="91"/>
      <c r="N995" s="88"/>
      <c r="O995" s="91"/>
      <c r="P995" s="91"/>
      <c r="Q995" s="88"/>
      <c r="R995" s="91"/>
      <c r="S995" s="91"/>
      <c r="T995" s="88"/>
      <c r="U995" s="88"/>
      <c r="V995" s="88"/>
      <c r="Y995" s="91"/>
      <c r="Z995" s="88"/>
    </row>
    <row r="996" spans="6:26" ht="12.5" x14ac:dyDescent="0.25">
      <c r="F996" s="88"/>
      <c r="G996" s="91"/>
      <c r="H996" s="91"/>
      <c r="I996" s="88"/>
      <c r="J996" s="91"/>
      <c r="K996" s="88"/>
      <c r="L996" s="88"/>
      <c r="M996" s="91"/>
      <c r="N996" s="88"/>
      <c r="O996" s="91"/>
      <c r="P996" s="91"/>
      <c r="Q996" s="88"/>
      <c r="R996" s="91"/>
      <c r="S996" s="91"/>
      <c r="T996" s="88"/>
      <c r="U996" s="88"/>
      <c r="V996" s="88"/>
      <c r="Y996" s="91"/>
      <c r="Z996" s="88"/>
    </row>
    <row r="997" spans="6:26" ht="12.5" x14ac:dyDescent="0.25">
      <c r="F997" s="88"/>
      <c r="G997" s="91"/>
      <c r="H997" s="91"/>
      <c r="I997" s="88"/>
      <c r="J997" s="91"/>
      <c r="K997" s="88"/>
      <c r="L997" s="88"/>
      <c r="M997" s="91"/>
      <c r="N997" s="88"/>
      <c r="O997" s="91"/>
      <c r="P997" s="91"/>
      <c r="Q997" s="88"/>
      <c r="R997" s="91"/>
      <c r="S997" s="91"/>
      <c r="T997" s="88"/>
      <c r="U997" s="88"/>
      <c r="V997" s="88"/>
      <c r="Y997" s="91"/>
      <c r="Z997" s="88"/>
    </row>
    <row r="998" spans="6:26" ht="12.5" x14ac:dyDescent="0.25">
      <c r="F998" s="88"/>
      <c r="G998" s="91"/>
      <c r="H998" s="91"/>
      <c r="I998" s="88"/>
      <c r="J998" s="91"/>
      <c r="K998" s="88"/>
      <c r="L998" s="88"/>
      <c r="M998" s="91"/>
      <c r="N998" s="88"/>
      <c r="O998" s="91"/>
      <c r="P998" s="91"/>
      <c r="Q998" s="88"/>
      <c r="R998" s="91"/>
      <c r="S998" s="91"/>
      <c r="T998" s="88"/>
      <c r="U998" s="88"/>
      <c r="V998" s="88"/>
      <c r="Y998" s="91"/>
      <c r="Z998" s="88"/>
    </row>
    <row r="999" spans="6:26" ht="12.5" x14ac:dyDescent="0.25">
      <c r="F999" s="88"/>
      <c r="G999" s="91"/>
      <c r="H999" s="91"/>
      <c r="I999" s="88"/>
      <c r="J999" s="91"/>
      <c r="K999" s="88"/>
      <c r="L999" s="88"/>
      <c r="M999" s="91"/>
      <c r="N999" s="88"/>
      <c r="O999" s="91"/>
      <c r="P999" s="91"/>
      <c r="Q999" s="88"/>
      <c r="R999" s="91"/>
      <c r="S999" s="91"/>
      <c r="T999" s="88"/>
      <c r="U999" s="88"/>
      <c r="V999" s="88"/>
      <c r="Y999" s="91"/>
      <c r="Z999" s="88"/>
    </row>
    <row r="1000" spans="6:26" ht="12.5" x14ac:dyDescent="0.25">
      <c r="F1000" s="88"/>
      <c r="G1000" s="91"/>
      <c r="H1000" s="91"/>
      <c r="I1000" s="88"/>
      <c r="J1000" s="91"/>
      <c r="K1000" s="88"/>
      <c r="L1000" s="88"/>
      <c r="M1000" s="91"/>
      <c r="N1000" s="88"/>
      <c r="O1000" s="91"/>
      <c r="P1000" s="91"/>
      <c r="Q1000" s="88"/>
      <c r="R1000" s="91"/>
      <c r="S1000" s="91"/>
      <c r="T1000" s="88"/>
      <c r="U1000" s="88"/>
      <c r="V1000" s="88"/>
      <c r="Y1000" s="91"/>
      <c r="Z1000" s="88"/>
    </row>
    <row r="1001" spans="6:26" ht="12.5" x14ac:dyDescent="0.25">
      <c r="F1001" s="88"/>
      <c r="G1001" s="91"/>
      <c r="H1001" s="91"/>
      <c r="I1001" s="88"/>
      <c r="J1001" s="91"/>
      <c r="K1001" s="88"/>
      <c r="L1001" s="88"/>
      <c r="M1001" s="91"/>
      <c r="N1001" s="88"/>
      <c r="O1001" s="91"/>
      <c r="P1001" s="91"/>
      <c r="Q1001" s="88"/>
      <c r="R1001" s="91"/>
      <c r="S1001" s="91"/>
      <c r="T1001" s="88"/>
      <c r="U1001" s="88"/>
      <c r="V1001" s="88"/>
      <c r="Y1001" s="91"/>
      <c r="Z1001" s="88"/>
    </row>
  </sheetData>
  <conditionalFormatting sqref="W1 K2:K267 W55:W1001">
    <cfRule type="cellIs" dxfId="1" priority="1" operator="equal">
      <formula>"TRUE"</formula>
    </cfRule>
  </conditionalFormatting>
  <conditionalFormatting sqref="N4:N267">
    <cfRule type="colorScale" priority="2">
      <colorScale>
        <cfvo type="formula" val="0"/>
        <cfvo type="percent" val="85"/>
        <cfvo type="formula" val="330"/>
        <color rgb="FFD9EAD3"/>
        <color rgb="FFFFF2CC"/>
        <color rgb="FFF4CCCC"/>
      </colorScale>
    </cfRule>
  </conditionalFormatting>
  <conditionalFormatting sqref="S2:S267">
    <cfRule type="colorScale" priority="3">
      <colorScale>
        <cfvo type="min"/>
        <cfvo type="formula" val="0"/>
        <cfvo type="max"/>
        <color rgb="FFF4CCCC"/>
        <color rgb="FFFFFFFF"/>
        <color rgb="FFD9EAD3"/>
      </colorScale>
    </cfRule>
  </conditionalFormatting>
  <conditionalFormatting sqref="J4:J267">
    <cfRule type="colorScale" priority="4">
      <colorScale>
        <cfvo type="formula" val="0"/>
        <cfvo type="percentile" val="50"/>
        <cfvo type="formula" val="100"/>
        <color rgb="FFF4CCCC"/>
        <color rgb="FFFFF2CC"/>
        <color rgb="FFD9EAD3"/>
      </colorScale>
    </cfRule>
  </conditionalFormatting>
  <conditionalFormatting sqref="Q4:Q267">
    <cfRule type="colorScale" priority="5">
      <colorScale>
        <cfvo type="formula" val="0"/>
        <cfvo type="formula" val="100"/>
        <color rgb="FFFFFFFF"/>
        <color rgb="FFD9EAD3"/>
      </colorScale>
    </cfRule>
  </conditionalFormatting>
  <conditionalFormatting sqref="R4:R267">
    <cfRule type="colorScale" priority="6">
      <colorScale>
        <cfvo type="min"/>
        <cfvo type="formula" val="0"/>
        <cfvo type="max"/>
        <color rgb="FFF4CCCC"/>
        <color rgb="FFFFFFFF"/>
        <color rgb="FFD9EAD3"/>
      </colorScale>
    </cfRule>
  </conditionalFormatting>
  <conditionalFormatting sqref="O4:O267">
    <cfRule type="colorScale" priority="7">
      <colorScale>
        <cfvo type="min"/>
        <cfvo type="max"/>
        <color rgb="FFFFFFFF"/>
        <color rgb="FFF4CCCC"/>
      </colorScale>
    </cfRule>
  </conditionalFormatting>
  <printOptions horizontalCentered="1" gridLines="1"/>
  <pageMargins left="0.7" right="0.7" top="0.75" bottom="0.75" header="0" footer="0"/>
  <pageSetup fitToHeight="0" pageOrder="overThenDown" orientation="portrait" cellComments="atEnd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A1:AQ1001"/>
  <sheetViews>
    <sheetView workbookViewId="0"/>
  </sheetViews>
  <sheetFormatPr baseColWidth="10" defaultColWidth="12.6328125" defaultRowHeight="15.75" customHeight="1" x14ac:dyDescent="0.25"/>
  <cols>
    <col min="7" max="7" width="12.6328125" hidden="1"/>
    <col min="9" max="9" width="12.6328125" hidden="1"/>
    <col min="12" max="13" width="12.6328125" hidden="1"/>
    <col min="16" max="16" width="12.6328125" hidden="1"/>
    <col min="19" max="19" width="12.6328125" hidden="1"/>
    <col min="22" max="22" width="12.6328125" hidden="1"/>
  </cols>
  <sheetData>
    <row r="1" spans="1:43" ht="15.75" customHeight="1" x14ac:dyDescent="0.25">
      <c r="A1" s="102" t="s">
        <v>116</v>
      </c>
      <c r="B1" s="103"/>
      <c r="C1" s="103"/>
      <c r="D1" s="104"/>
      <c r="E1" s="105" t="s">
        <v>117</v>
      </c>
      <c r="F1" s="106"/>
      <c r="G1" s="107"/>
      <c r="H1" s="108" t="s">
        <v>118</v>
      </c>
      <c r="I1" s="109"/>
      <c r="J1" s="110"/>
      <c r="K1" s="111"/>
      <c r="L1" s="112"/>
      <c r="M1" s="113"/>
      <c r="N1" s="114" t="s">
        <v>119</v>
      </c>
      <c r="O1" s="113"/>
      <c r="P1" s="113"/>
      <c r="Q1" s="115"/>
      <c r="R1" s="116" t="s">
        <v>120</v>
      </c>
      <c r="S1" s="117"/>
      <c r="T1" s="118"/>
      <c r="U1" s="119"/>
      <c r="V1" s="118"/>
      <c r="W1" s="120" t="s">
        <v>121</v>
      </c>
      <c r="X1" s="121"/>
      <c r="Y1" s="122"/>
      <c r="Z1" s="123"/>
      <c r="AA1" s="124"/>
      <c r="AB1" s="125"/>
      <c r="AE1" s="126"/>
      <c r="AF1" s="126"/>
      <c r="AG1" s="126"/>
      <c r="AN1" s="126"/>
      <c r="AO1" s="126"/>
      <c r="AP1" s="126"/>
      <c r="AQ1" s="126"/>
    </row>
    <row r="2" spans="1:43" ht="15.75" customHeight="1" x14ac:dyDescent="0.25">
      <c r="A2" s="127" t="s">
        <v>122</v>
      </c>
      <c r="B2" s="128"/>
      <c r="C2" s="128"/>
      <c r="D2" s="76"/>
      <c r="E2" s="129" t="s">
        <v>123</v>
      </c>
      <c r="F2" s="130" t="s">
        <v>124</v>
      </c>
      <c r="G2" s="130" t="s">
        <v>125</v>
      </c>
      <c r="H2" s="131" t="s">
        <v>126</v>
      </c>
      <c r="I2" s="132" t="s">
        <v>127</v>
      </c>
      <c r="J2" s="131" t="s">
        <v>128</v>
      </c>
      <c r="K2" s="133" t="s">
        <v>129</v>
      </c>
      <c r="L2" s="134" t="s">
        <v>130</v>
      </c>
      <c r="M2" s="135" t="s">
        <v>131</v>
      </c>
      <c r="N2" s="134" t="s">
        <v>95</v>
      </c>
      <c r="O2" s="134" t="s">
        <v>60</v>
      </c>
      <c r="P2" s="135" t="s">
        <v>132</v>
      </c>
      <c r="Q2" s="134" t="s">
        <v>133</v>
      </c>
      <c r="R2" s="136" t="s">
        <v>134</v>
      </c>
      <c r="S2" s="136" t="s">
        <v>135</v>
      </c>
      <c r="T2" s="137" t="s">
        <v>136</v>
      </c>
      <c r="U2" s="137" t="s">
        <v>137</v>
      </c>
      <c r="V2" s="137" t="s">
        <v>138</v>
      </c>
      <c r="W2" s="138" t="s">
        <v>139</v>
      </c>
      <c r="X2" s="138" t="s">
        <v>140</v>
      </c>
      <c r="Y2" s="138" t="s">
        <v>141</v>
      </c>
      <c r="Z2" s="138" t="s">
        <v>142</v>
      </c>
      <c r="AA2" s="139" t="s">
        <v>143</v>
      </c>
      <c r="AB2" s="139" t="s">
        <v>144</v>
      </c>
      <c r="AC2" s="140"/>
      <c r="AD2" s="101"/>
      <c r="AF2" s="126"/>
      <c r="AG2" s="126"/>
      <c r="AN2" s="126"/>
      <c r="AO2" s="126"/>
      <c r="AP2" s="126"/>
      <c r="AQ2" s="126"/>
    </row>
    <row r="3" spans="1:43" ht="15.75" customHeight="1" x14ac:dyDescent="0.25">
      <c r="A3" s="141" t="s">
        <v>5</v>
      </c>
      <c r="B3" s="141" t="s">
        <v>145</v>
      </c>
      <c r="C3" s="141" t="s">
        <v>146</v>
      </c>
      <c r="D3" s="141" t="s">
        <v>147</v>
      </c>
      <c r="E3" s="142" t="s">
        <v>148</v>
      </c>
      <c r="F3" s="143" t="s">
        <v>149</v>
      </c>
      <c r="G3" s="143" t="s">
        <v>149</v>
      </c>
      <c r="H3" s="144" t="s">
        <v>150</v>
      </c>
      <c r="I3" s="145" t="s">
        <v>151</v>
      </c>
      <c r="J3" s="144" t="s">
        <v>152</v>
      </c>
      <c r="K3" s="146" t="s">
        <v>153</v>
      </c>
      <c r="L3" s="147" t="s">
        <v>154</v>
      </c>
      <c r="M3" s="148" t="s">
        <v>154</v>
      </c>
      <c r="N3" s="149" t="s">
        <v>154</v>
      </c>
      <c r="O3" s="147" t="s">
        <v>73</v>
      </c>
      <c r="P3" s="150" t="s">
        <v>149</v>
      </c>
      <c r="Q3" s="147" t="s">
        <v>152</v>
      </c>
      <c r="R3" s="151" t="s">
        <v>155</v>
      </c>
      <c r="S3" s="151" t="s">
        <v>156</v>
      </c>
      <c r="T3" s="152" t="s">
        <v>157</v>
      </c>
      <c r="U3" s="152" t="s">
        <v>69</v>
      </c>
      <c r="V3" s="152"/>
      <c r="W3" s="153" t="s">
        <v>157</v>
      </c>
      <c r="X3" s="153" t="s">
        <v>76</v>
      </c>
      <c r="Y3" s="138" t="s">
        <v>76</v>
      </c>
      <c r="Z3" s="153" t="s">
        <v>152</v>
      </c>
      <c r="AA3" s="154" t="s">
        <v>79</v>
      </c>
      <c r="AB3" s="153" t="s">
        <v>76</v>
      </c>
      <c r="AC3" s="155"/>
      <c r="AD3" s="155"/>
      <c r="AN3" s="126"/>
      <c r="AO3" s="126"/>
      <c r="AP3" s="126"/>
      <c r="AQ3" s="126"/>
    </row>
    <row r="4" spans="1:43" ht="15.75" customHeight="1" x14ac:dyDescent="0.25">
      <c r="A4" s="156">
        <v>390</v>
      </c>
      <c r="B4" s="157">
        <v>4590</v>
      </c>
      <c r="C4" s="158">
        <f>A4*(B4/1000000)</f>
        <v>1.7901</v>
      </c>
      <c r="D4" s="159">
        <f>C4 * A4 * 0.5</f>
        <v>349.06950000000001</v>
      </c>
      <c r="E4" s="160">
        <v>0</v>
      </c>
      <c r="F4" s="161">
        <f t="shared" ref="F4:F254" si="0">E4*$A$16</f>
        <v>0</v>
      </c>
      <c r="G4" s="162">
        <f t="shared" ref="G4:G254" si="1">F4+P4</f>
        <v>0.6232558139534885</v>
      </c>
      <c r="H4" s="163">
        <f t="shared" ref="H4:H254" si="2">I4/($B$4/1000000)</f>
        <v>390</v>
      </c>
      <c r="I4" s="164">
        <f>(B4/1000000)*$A$4</f>
        <v>1.7901</v>
      </c>
      <c r="J4" s="165">
        <f>100</f>
        <v>100</v>
      </c>
      <c r="K4" s="166" t="b">
        <f t="shared" ref="K4:K254" si="3">AND(F4&gt;($A$13-$A$16),F4&lt;($B$13+$A$16))</f>
        <v>1</v>
      </c>
      <c r="L4" s="167">
        <f>(A4/$A$7)*K4</f>
        <v>453.48837209302326</v>
      </c>
      <c r="M4" s="168">
        <f>(L4*0.63)</f>
        <v>285.69767441860466</v>
      </c>
      <c r="N4" s="169">
        <v>0</v>
      </c>
      <c r="O4" s="170">
        <f>IF(ABS(U4)&gt;80,$B$7, LOOKUP(V4,'Force mapping'!$B$7:$B$167,'Force mapping'!$E$7:$E$167))</f>
        <v>536</v>
      </c>
      <c r="P4" s="171">
        <f t="shared" ref="P4:P254" si="4">IF((K4*1) = 1, ((O4/1000000)/$A$7)*1000, $C$7)</f>
        <v>0.6232558139534885</v>
      </c>
      <c r="Q4" s="165">
        <f t="shared" ref="Q4:Q254" si="5">(N4/($A$4/$A$7))*100</f>
        <v>0</v>
      </c>
      <c r="R4" s="172">
        <f>IF(ABS(U4)&gt;80, 0, LOOKUP(V4,'Force mapping'!$B$7:$B$167,'Force mapping'!$D$7:$D$167) * (N4/5) * SIGN(U4))</f>
        <v>0</v>
      </c>
      <c r="S4" s="173">
        <f t="shared" ref="S4:S254" si="6">(R4/($A$10/1000))</f>
        <v>0</v>
      </c>
      <c r="T4" s="174">
        <f>$B$10</f>
        <v>27.98</v>
      </c>
      <c r="U4" s="175">
        <f>C10</f>
        <v>81</v>
      </c>
      <c r="V4" s="176">
        <f t="shared" ref="V4:V254" si="7">(ROUND(ABS(U4)*2,0))/2</f>
        <v>81</v>
      </c>
      <c r="W4" s="174">
        <f>T254</f>
        <v>32.399883813688163</v>
      </c>
      <c r="X4" s="177">
        <f>0.5 * (A10 / 1000) * W4^2</f>
        <v>9.0278712518082322</v>
      </c>
      <c r="Y4" s="178">
        <f>((100 - J254) / 100) * ((((B4 / 1000000) * A4) * A4) / 2)</f>
        <v>210.01973004534062</v>
      </c>
      <c r="Z4" s="179">
        <f>(X5 / Y4)</f>
        <v>1.0928020007038141E-2</v>
      </c>
      <c r="AA4" s="180">
        <f>50/W4</f>
        <v>1.5432154105094726</v>
      </c>
      <c r="AB4" s="181">
        <f>((LOOKUP(B13,F4:F254,O4:O254)/1000000) * LOOKUP(B13,F4:F254,N4:N254)^2) / 2</f>
        <v>99.579155844569186</v>
      </c>
      <c r="AC4" s="182"/>
    </row>
    <row r="5" spans="1:43" ht="15.75" customHeight="1" x14ac:dyDescent="0.25">
      <c r="A5" s="183" t="s">
        <v>158</v>
      </c>
      <c r="B5" s="184"/>
      <c r="C5" s="184"/>
      <c r="D5" s="185"/>
      <c r="E5" s="186">
        <f t="shared" ref="E5:E254" si="8">E4+1</f>
        <v>1</v>
      </c>
      <c r="F5" s="187">
        <f t="shared" si="0"/>
        <v>0.05</v>
      </c>
      <c r="G5" s="188">
        <f t="shared" si="1"/>
        <v>0.67325581395348855</v>
      </c>
      <c r="H5" s="189">
        <f t="shared" si="2"/>
        <v>390</v>
      </c>
      <c r="I5" s="190">
        <f t="shared" ref="I5:I254" si="9">IF((K4*1)=1,I4-((N4/1000)*$A$16),I4)</f>
        <v>1.7901</v>
      </c>
      <c r="J5" s="191">
        <f t="shared" ref="J5:J254" si="10">(((I5*H5)/2)/$D$4)*100</f>
        <v>100</v>
      </c>
      <c r="K5" s="192" t="b">
        <f t="shared" si="3"/>
        <v>1</v>
      </c>
      <c r="L5" s="193">
        <f t="shared" ref="L5:L254" si="11">(H4/$A$7)*K5</f>
        <v>453.48837209302326</v>
      </c>
      <c r="M5" s="194">
        <f t="shared" ref="M5:M254" si="12">M4+(L5-M4)*0.63</f>
        <v>391.4058139534884</v>
      </c>
      <c r="N5" s="194">
        <f t="shared" ref="N5:N254" si="13">N4+((M4-N4)/((G4-F4)/$A$16))</f>
        <v>22.919776119402982</v>
      </c>
      <c r="O5" s="195">
        <f>IF(ABS(U5)&gt;80,$B$7, LOOKUP(V5,'Force mapping'!$B$7:$B$167,'Force mapping'!$E$7:$E$167))</f>
        <v>536</v>
      </c>
      <c r="P5" s="196">
        <f t="shared" si="4"/>
        <v>0.6232558139534885</v>
      </c>
      <c r="Q5" s="191">
        <f t="shared" si="5"/>
        <v>5.0541044776119399</v>
      </c>
      <c r="R5" s="197">
        <f>IF(ABS(U5)&gt;80, 0, LOOKUP(V5,'Force mapping'!$B$7:$B$167,'Force mapping'!$D$7:$D$167) * (N5/5) * SIGN(U5))</f>
        <v>0</v>
      </c>
      <c r="S5" s="198">
        <f t="shared" si="6"/>
        <v>0</v>
      </c>
      <c r="T5" s="199">
        <f t="shared" ref="T5:T254" si="14">T4+(S4/1000)*$A$16</f>
        <v>27.98</v>
      </c>
      <c r="U5" s="200">
        <f t="shared" ref="U5:U254" si="15">U4-((T4*$A$16) + (0.5 * (T5-T4)))</f>
        <v>79.600999999999999</v>
      </c>
      <c r="V5" s="176">
        <f t="shared" si="7"/>
        <v>79.5</v>
      </c>
      <c r="W5" s="201">
        <f>W4 - B10</f>
        <v>4.4198838136881626</v>
      </c>
      <c r="X5" s="202">
        <f>(0.5 * (A10 / 1000) * T204^2) - (0.5 * (A10 / 1000) * B10^2)</f>
        <v>2.2950998118082317</v>
      </c>
      <c r="Y5" s="203">
        <f>Y4/D4</f>
        <v>0.60165591678832042</v>
      </c>
      <c r="Z5" s="204"/>
      <c r="AA5" s="101"/>
      <c r="AF5" s="91"/>
    </row>
    <row r="6" spans="1:43" ht="15.75" customHeight="1" x14ac:dyDescent="0.25">
      <c r="A6" s="73" t="s">
        <v>59</v>
      </c>
      <c r="B6" s="73" t="s">
        <v>60</v>
      </c>
      <c r="C6" s="73" t="s">
        <v>132</v>
      </c>
      <c r="D6" s="185"/>
      <c r="E6" s="186">
        <f t="shared" si="8"/>
        <v>2</v>
      </c>
      <c r="F6" s="187">
        <f t="shared" si="0"/>
        <v>0.1</v>
      </c>
      <c r="G6" s="188">
        <f t="shared" si="1"/>
        <v>0.72325581395348848</v>
      </c>
      <c r="H6" s="189">
        <f t="shared" si="2"/>
        <v>389.75032923617204</v>
      </c>
      <c r="I6" s="190">
        <f t="shared" si="9"/>
        <v>1.7889540111940299</v>
      </c>
      <c r="J6" s="191">
        <f t="shared" si="10"/>
        <v>99.872004694085803</v>
      </c>
      <c r="K6" s="192" t="b">
        <f t="shared" si="3"/>
        <v>1</v>
      </c>
      <c r="L6" s="193">
        <f t="shared" si="11"/>
        <v>453.48837209302326</v>
      </c>
      <c r="M6" s="194">
        <f t="shared" si="12"/>
        <v>430.51782558139536</v>
      </c>
      <c r="N6" s="194">
        <f t="shared" si="13"/>
        <v>52.481156020271769</v>
      </c>
      <c r="O6" s="195">
        <f>IF(ABS(U6)&gt;80,$B$7, LOOKUP(V6,'Force mapping'!$B$7:$B$167,'Force mapping'!$E$7:$E$167))</f>
        <v>536</v>
      </c>
      <c r="P6" s="196">
        <f t="shared" si="4"/>
        <v>0.6232558139534885</v>
      </c>
      <c r="Q6" s="191">
        <f t="shared" si="5"/>
        <v>11.572767737803519</v>
      </c>
      <c r="R6" s="197">
        <f>IF(ABS(U6)&gt;80, 0, LOOKUP(V6,'Force mapping'!$B$7:$B$167,'Force mapping'!$D$7:$D$167) * (N6/5) * SIGN(U6))</f>
        <v>0</v>
      </c>
      <c r="S6" s="198">
        <f t="shared" si="6"/>
        <v>0</v>
      </c>
      <c r="T6" s="199">
        <f t="shared" si="14"/>
        <v>27.98</v>
      </c>
      <c r="U6" s="200">
        <f t="shared" si="15"/>
        <v>78.201999999999998</v>
      </c>
      <c r="V6" s="176">
        <f t="shared" si="7"/>
        <v>78</v>
      </c>
      <c r="W6" s="204"/>
      <c r="X6" s="204"/>
      <c r="Y6" s="204"/>
      <c r="Z6" s="204"/>
    </row>
    <row r="7" spans="1:43" ht="15.75" customHeight="1" x14ac:dyDescent="0.25">
      <c r="A7" s="205">
        <v>0.86</v>
      </c>
      <c r="B7" s="206">
        <v>536</v>
      </c>
      <c r="C7" s="207">
        <v>0.623</v>
      </c>
      <c r="D7" s="208"/>
      <c r="E7" s="186">
        <f t="shared" si="8"/>
        <v>3</v>
      </c>
      <c r="F7" s="187">
        <f t="shared" si="0"/>
        <v>0.15000000000000002</v>
      </c>
      <c r="G7" s="188">
        <f t="shared" si="1"/>
        <v>0.77325581395348852</v>
      </c>
      <c r="H7" s="189">
        <f t="shared" si="2"/>
        <v>389.17863908344583</v>
      </c>
      <c r="I7" s="190">
        <f t="shared" si="9"/>
        <v>1.7863299533930164</v>
      </c>
      <c r="J7" s="191">
        <f t="shared" si="10"/>
        <v>99.579232819752121</v>
      </c>
      <c r="K7" s="192" t="b">
        <f t="shared" si="3"/>
        <v>1</v>
      </c>
      <c r="L7" s="193">
        <f t="shared" si="11"/>
        <v>453.19805725136285</v>
      </c>
      <c r="M7" s="194">
        <f t="shared" si="12"/>
        <v>444.80637153347487</v>
      </c>
      <c r="N7" s="194">
        <f t="shared" si="13"/>
        <v>82.808724660436525</v>
      </c>
      <c r="O7" s="195">
        <f>IF(ABS(U7)&gt;80,$B$7, LOOKUP(V7,'Force mapping'!$B$7:$B$167,'Force mapping'!$E$7:$E$167))</f>
        <v>536</v>
      </c>
      <c r="P7" s="196">
        <f t="shared" si="4"/>
        <v>0.6232558139534885</v>
      </c>
      <c r="Q7" s="191">
        <f t="shared" si="5"/>
        <v>18.260385437942414</v>
      </c>
      <c r="R7" s="197">
        <f>IF(ABS(U7)&gt;80, 0, LOOKUP(V7,'Force mapping'!$B$7:$B$167,'Force mapping'!$D$7:$D$167) * (N7/5) * SIGN(U7))</f>
        <v>0</v>
      </c>
      <c r="S7" s="198">
        <f t="shared" si="6"/>
        <v>0</v>
      </c>
      <c r="T7" s="199">
        <f t="shared" si="14"/>
        <v>27.98</v>
      </c>
      <c r="U7" s="200">
        <f t="shared" si="15"/>
        <v>76.802999999999997</v>
      </c>
      <c r="V7" s="176">
        <f t="shared" si="7"/>
        <v>77</v>
      </c>
      <c r="W7" s="204"/>
      <c r="X7" s="204"/>
      <c r="Y7" s="204"/>
      <c r="Z7" s="204"/>
    </row>
    <row r="8" spans="1:43" ht="15.75" customHeight="1" x14ac:dyDescent="0.25">
      <c r="A8" s="183" t="s">
        <v>159</v>
      </c>
      <c r="B8" s="184"/>
      <c r="C8" s="184"/>
      <c r="D8" s="185"/>
      <c r="E8" s="186">
        <f t="shared" si="8"/>
        <v>4</v>
      </c>
      <c r="F8" s="187">
        <f t="shared" si="0"/>
        <v>0.2</v>
      </c>
      <c r="G8" s="188">
        <f t="shared" si="1"/>
        <v>0.82325581395348846</v>
      </c>
      <c r="H8" s="189">
        <f t="shared" si="2"/>
        <v>388.27658325925808</v>
      </c>
      <c r="I8" s="190">
        <f t="shared" si="9"/>
        <v>1.7821895171599946</v>
      </c>
      <c r="J8" s="191">
        <f t="shared" si="10"/>
        <v>99.118149314584869</v>
      </c>
      <c r="K8" s="192" t="b">
        <f t="shared" si="3"/>
        <v>1</v>
      </c>
      <c r="L8" s="193">
        <f t="shared" si="11"/>
        <v>452.53330125982075</v>
      </c>
      <c r="M8" s="194">
        <f t="shared" si="12"/>
        <v>449.67433726107276</v>
      </c>
      <c r="N8" s="194">
        <f t="shared" si="13"/>
        <v>111.84958065957952</v>
      </c>
      <c r="O8" s="195">
        <f>IF(ABS(U8)&gt;80,$B$7, LOOKUP(V8,'Force mapping'!$B$7:$B$167,'Force mapping'!$E$7:$E$167))</f>
        <v>536</v>
      </c>
      <c r="P8" s="196">
        <f t="shared" si="4"/>
        <v>0.6232558139534885</v>
      </c>
      <c r="Q8" s="191">
        <f t="shared" si="5"/>
        <v>24.664266504420098</v>
      </c>
      <c r="R8" s="197">
        <f>IF(ABS(U8)&gt;80, 0, LOOKUP(V8,'Force mapping'!$B$7:$B$167,'Force mapping'!$D$7:$D$167) * (N8/5) * SIGN(U8))</f>
        <v>0</v>
      </c>
      <c r="S8" s="198">
        <f t="shared" si="6"/>
        <v>0</v>
      </c>
      <c r="T8" s="199">
        <f t="shared" si="14"/>
        <v>27.98</v>
      </c>
      <c r="U8" s="200">
        <f t="shared" si="15"/>
        <v>75.403999999999996</v>
      </c>
      <c r="V8" s="176">
        <f t="shared" si="7"/>
        <v>75.5</v>
      </c>
      <c r="W8" s="204"/>
      <c r="X8" s="204"/>
      <c r="Y8" s="204"/>
      <c r="Z8" s="204"/>
    </row>
    <row r="9" spans="1:43" ht="15.75" customHeight="1" x14ac:dyDescent="0.25">
      <c r="A9" s="73" t="s">
        <v>160</v>
      </c>
      <c r="B9" s="73" t="s">
        <v>161</v>
      </c>
      <c r="C9" s="73" t="s">
        <v>162</v>
      </c>
      <c r="D9" s="209"/>
      <c r="E9" s="186">
        <f t="shared" si="8"/>
        <v>5</v>
      </c>
      <c r="F9" s="187">
        <f t="shared" si="0"/>
        <v>0.25</v>
      </c>
      <c r="G9" s="188">
        <f t="shared" si="1"/>
        <v>0.8732558139534885</v>
      </c>
      <c r="H9" s="189">
        <f t="shared" si="2"/>
        <v>387.05817824117986</v>
      </c>
      <c r="I9" s="190">
        <f t="shared" si="9"/>
        <v>1.7765970381270157</v>
      </c>
      <c r="J9" s="191">
        <f t="shared" si="10"/>
        <v>98.497063342130815</v>
      </c>
      <c r="K9" s="192" t="b">
        <f t="shared" si="3"/>
        <v>1</v>
      </c>
      <c r="L9" s="193">
        <f t="shared" si="11"/>
        <v>451.48439913867219</v>
      </c>
      <c r="M9" s="194">
        <f t="shared" si="12"/>
        <v>450.81467624396038</v>
      </c>
      <c r="N9" s="194">
        <f t="shared" si="13"/>
        <v>138.95119359589333</v>
      </c>
      <c r="O9" s="195">
        <f>IF(ABS(U9)&gt;80,$B$7, LOOKUP(V9,'Force mapping'!$B$7:$B$167,'Force mapping'!$E$7:$E$167))</f>
        <v>536</v>
      </c>
      <c r="P9" s="196">
        <f t="shared" si="4"/>
        <v>0.6232558139534885</v>
      </c>
      <c r="Q9" s="191">
        <f t="shared" si="5"/>
        <v>30.640519613453399</v>
      </c>
      <c r="R9" s="197">
        <f>IF(ABS(U9)&gt;80, 0, LOOKUP(V9,'Force mapping'!$B$7:$B$167,'Force mapping'!$D$7:$D$167) * (N9/5) * SIGN(U9))</f>
        <v>0</v>
      </c>
      <c r="S9" s="198">
        <f t="shared" si="6"/>
        <v>0</v>
      </c>
      <c r="T9" s="199">
        <f t="shared" si="14"/>
        <v>27.98</v>
      </c>
      <c r="U9" s="200">
        <f t="shared" si="15"/>
        <v>74.004999999999995</v>
      </c>
      <c r="V9" s="176">
        <f t="shared" si="7"/>
        <v>74</v>
      </c>
      <c r="W9" s="204"/>
      <c r="X9" s="204"/>
      <c r="Y9" s="204"/>
      <c r="Z9" s="204"/>
      <c r="AA9" s="101"/>
    </row>
    <row r="10" spans="1:43" ht="15.75" customHeight="1" x14ac:dyDescent="0.25">
      <c r="A10" s="210">
        <v>17.2</v>
      </c>
      <c r="B10" s="211">
        <v>27.98</v>
      </c>
      <c r="C10" s="212">
        <v>81</v>
      </c>
      <c r="D10" s="213"/>
      <c r="E10" s="186">
        <f t="shared" si="8"/>
        <v>6</v>
      </c>
      <c r="F10" s="187">
        <f t="shared" si="0"/>
        <v>0.30000000000000004</v>
      </c>
      <c r="G10" s="188">
        <f t="shared" si="1"/>
        <v>0.92325581395348855</v>
      </c>
      <c r="H10" s="189">
        <f t="shared" si="2"/>
        <v>385.54454868131171</v>
      </c>
      <c r="I10" s="190">
        <f t="shared" si="9"/>
        <v>1.769649478447221</v>
      </c>
      <c r="J10" s="191">
        <f t="shared" si="10"/>
        <v>97.728204482495968</v>
      </c>
      <c r="K10" s="192" t="b">
        <f t="shared" si="3"/>
        <v>1</v>
      </c>
      <c r="L10" s="193">
        <f t="shared" si="11"/>
        <v>450.067649117651</v>
      </c>
      <c r="M10" s="194">
        <f t="shared" si="12"/>
        <v>450.34404915438546</v>
      </c>
      <c r="N10" s="194">
        <f t="shared" si="13"/>
        <v>163.97009239042109</v>
      </c>
      <c r="O10" s="195">
        <f>IF(ABS(U10)&gt;80,$B$7, LOOKUP(V10,'Force mapping'!$B$7:$B$167,'Force mapping'!$E$7:$E$167))</f>
        <v>536</v>
      </c>
      <c r="P10" s="196">
        <f t="shared" si="4"/>
        <v>0.6232558139534885</v>
      </c>
      <c r="Q10" s="191">
        <f t="shared" si="5"/>
        <v>36.157507552759519</v>
      </c>
      <c r="R10" s="197">
        <f>IF(ABS(U10)&gt;80, 0, LOOKUP(V10,'Force mapping'!$B$7:$B$167,'Force mapping'!$D$7:$D$167) * (N10/5) * SIGN(U10))</f>
        <v>0</v>
      </c>
      <c r="S10" s="198">
        <f t="shared" si="6"/>
        <v>0</v>
      </c>
      <c r="T10" s="199">
        <f t="shared" si="14"/>
        <v>27.98</v>
      </c>
      <c r="U10" s="200">
        <f t="shared" si="15"/>
        <v>72.605999999999995</v>
      </c>
      <c r="V10" s="176">
        <f t="shared" si="7"/>
        <v>72.5</v>
      </c>
      <c r="W10" s="204"/>
      <c r="X10" s="204"/>
      <c r="Y10" s="204"/>
      <c r="Z10" s="204"/>
    </row>
    <row r="11" spans="1:43" ht="15.75" customHeight="1" x14ac:dyDescent="0.25">
      <c r="A11" s="183" t="s">
        <v>163</v>
      </c>
      <c r="B11" s="184"/>
      <c r="C11" s="184"/>
      <c r="D11" s="185"/>
      <c r="E11" s="186">
        <f t="shared" si="8"/>
        <v>7</v>
      </c>
      <c r="F11" s="187">
        <f t="shared" si="0"/>
        <v>0.35000000000000003</v>
      </c>
      <c r="G11" s="188">
        <f t="shared" si="1"/>
        <v>0.97325581395348859</v>
      </c>
      <c r="H11" s="189">
        <f t="shared" si="2"/>
        <v>383.75838209753812</v>
      </c>
      <c r="I11" s="190">
        <f t="shared" si="9"/>
        <v>1.7614509738277</v>
      </c>
      <c r="J11" s="191">
        <f t="shared" si="10"/>
        <v>96.824783583247907</v>
      </c>
      <c r="K11" s="192" t="b">
        <f t="shared" si="3"/>
        <v>1</v>
      </c>
      <c r="L11" s="193">
        <f t="shared" si="11"/>
        <v>448.30761474571131</v>
      </c>
      <c r="M11" s="194">
        <f t="shared" si="12"/>
        <v>449.06109547692074</v>
      </c>
      <c r="N11" s="194">
        <f t="shared" si="13"/>
        <v>186.94412250394808</v>
      </c>
      <c r="O11" s="195">
        <f>IF(ABS(U11)&gt;80,$B$7, LOOKUP(V11,'Force mapping'!$B$7:$B$167,'Force mapping'!$E$7:$E$167))</f>
        <v>536</v>
      </c>
      <c r="P11" s="196">
        <f t="shared" si="4"/>
        <v>0.6232558139534885</v>
      </c>
      <c r="Q11" s="191">
        <f t="shared" si="5"/>
        <v>41.223575731639833</v>
      </c>
      <c r="R11" s="197">
        <f>IF(ABS(U11)&gt;80, 0, LOOKUP(V11,'Force mapping'!$B$7:$B$167,'Force mapping'!$D$7:$D$167) * (N11/5) * SIGN(U11))</f>
        <v>0</v>
      </c>
      <c r="S11" s="198">
        <f t="shared" si="6"/>
        <v>0</v>
      </c>
      <c r="T11" s="199">
        <f t="shared" si="14"/>
        <v>27.98</v>
      </c>
      <c r="U11" s="200">
        <f t="shared" si="15"/>
        <v>71.206999999999994</v>
      </c>
      <c r="V11" s="176">
        <f t="shared" si="7"/>
        <v>71</v>
      </c>
      <c r="W11" s="204"/>
      <c r="X11" s="204"/>
      <c r="Y11" s="204"/>
      <c r="Z11" s="204"/>
    </row>
    <row r="12" spans="1:43" ht="15.75" customHeight="1" x14ac:dyDescent="0.25">
      <c r="A12" s="73" t="s">
        <v>164</v>
      </c>
      <c r="B12" s="73" t="s">
        <v>165</v>
      </c>
      <c r="C12" s="73" t="s">
        <v>10</v>
      </c>
      <c r="D12" s="209"/>
      <c r="E12" s="186">
        <f t="shared" si="8"/>
        <v>8</v>
      </c>
      <c r="F12" s="187">
        <f t="shared" si="0"/>
        <v>0.4</v>
      </c>
      <c r="G12" s="188">
        <f t="shared" si="1"/>
        <v>1.0232558139534884</v>
      </c>
      <c r="H12" s="189">
        <f t="shared" si="2"/>
        <v>381.72195374782189</v>
      </c>
      <c r="I12" s="190">
        <f t="shared" si="9"/>
        <v>1.7521037677025026</v>
      </c>
      <c r="J12" s="191">
        <f t="shared" si="10"/>
        <v>95.799901362954827</v>
      </c>
      <c r="K12" s="192" t="b">
        <f t="shared" si="3"/>
        <v>1</v>
      </c>
      <c r="L12" s="193">
        <f t="shared" si="11"/>
        <v>446.23067685760248</v>
      </c>
      <c r="M12" s="194">
        <f t="shared" si="12"/>
        <v>447.27793174675026</v>
      </c>
      <c r="N12" s="194">
        <f t="shared" si="13"/>
        <v>207.97216324618282</v>
      </c>
      <c r="O12" s="195">
        <f>IF(ABS(U12)&gt;80,$B$7, LOOKUP(V12,'Force mapping'!$B$7:$B$167,'Force mapping'!$E$7:$E$167))</f>
        <v>536</v>
      </c>
      <c r="P12" s="196">
        <f t="shared" si="4"/>
        <v>0.6232558139534885</v>
      </c>
      <c r="Q12" s="191">
        <f t="shared" si="5"/>
        <v>45.860528305568522</v>
      </c>
      <c r="R12" s="197">
        <f>IF(ABS(U12)&gt;80, 0, LOOKUP(V12,'Force mapping'!$B$7:$B$167,'Force mapping'!$D$7:$D$167) * (N12/5) * SIGN(U12))</f>
        <v>0</v>
      </c>
      <c r="S12" s="198">
        <f t="shared" si="6"/>
        <v>0</v>
      </c>
      <c r="T12" s="199">
        <f t="shared" si="14"/>
        <v>27.98</v>
      </c>
      <c r="U12" s="200">
        <f t="shared" si="15"/>
        <v>69.807999999999993</v>
      </c>
      <c r="V12" s="176">
        <f t="shared" si="7"/>
        <v>70</v>
      </c>
      <c r="W12" s="204"/>
      <c r="X12" s="204"/>
      <c r="Y12" s="204"/>
      <c r="Z12" s="204"/>
    </row>
    <row r="13" spans="1:43" ht="15.75" customHeight="1" x14ac:dyDescent="0.25">
      <c r="A13" s="214">
        <v>0</v>
      </c>
      <c r="B13" s="215">
        <v>2.2000000000000002</v>
      </c>
      <c r="C13" s="213"/>
      <c r="D13" s="213"/>
      <c r="E13" s="186">
        <f t="shared" si="8"/>
        <v>9</v>
      </c>
      <c r="F13" s="187">
        <f t="shared" si="0"/>
        <v>0.45</v>
      </c>
      <c r="G13" s="188">
        <f t="shared" si="1"/>
        <v>1.0732558139534885</v>
      </c>
      <c r="H13" s="189">
        <f t="shared" si="2"/>
        <v>379.45646177346265</v>
      </c>
      <c r="I13" s="190">
        <f t="shared" si="9"/>
        <v>1.7417051595401936</v>
      </c>
      <c r="J13" s="191">
        <f t="shared" si="10"/>
        <v>94.666144892593906</v>
      </c>
      <c r="K13" s="192" t="b">
        <f t="shared" si="3"/>
        <v>1</v>
      </c>
      <c r="L13" s="193">
        <f t="shared" si="11"/>
        <v>443.86273691607198</v>
      </c>
      <c r="M13" s="194">
        <f t="shared" si="12"/>
        <v>445.12635900342292</v>
      </c>
      <c r="N13" s="194">
        <f t="shared" si="13"/>
        <v>227.17020064454923</v>
      </c>
      <c r="O13" s="195">
        <f>IF(ABS(U13)&gt;80,$B$7, LOOKUP(V13,'Force mapping'!$B$7:$B$167,'Force mapping'!$E$7:$E$167))</f>
        <v>536</v>
      </c>
      <c r="P13" s="196">
        <f t="shared" si="4"/>
        <v>0.6232558139534885</v>
      </c>
      <c r="Q13" s="191">
        <f t="shared" si="5"/>
        <v>50.093941680592899</v>
      </c>
      <c r="R13" s="197">
        <f>IF(ABS(U13)&gt;80, 0, LOOKUP(V13,'Force mapping'!$B$7:$B$167,'Force mapping'!$D$7:$D$167) * (N13/5) * SIGN(U13))</f>
        <v>0</v>
      </c>
      <c r="S13" s="198">
        <f t="shared" si="6"/>
        <v>0</v>
      </c>
      <c r="T13" s="199">
        <f t="shared" si="14"/>
        <v>27.98</v>
      </c>
      <c r="U13" s="200">
        <f t="shared" si="15"/>
        <v>68.408999999999992</v>
      </c>
      <c r="V13" s="176">
        <f t="shared" si="7"/>
        <v>68.5</v>
      </c>
      <c r="W13" s="204"/>
      <c r="X13" s="204"/>
      <c r="Y13" s="204"/>
      <c r="Z13" s="216"/>
    </row>
    <row r="14" spans="1:43" ht="15.75" customHeight="1" x14ac:dyDescent="0.25">
      <c r="A14" s="183" t="s">
        <v>166</v>
      </c>
      <c r="B14" s="184"/>
      <c r="C14" s="184"/>
      <c r="D14" s="185"/>
      <c r="E14" s="186">
        <f t="shared" si="8"/>
        <v>10</v>
      </c>
      <c r="F14" s="187">
        <f t="shared" si="0"/>
        <v>0.5</v>
      </c>
      <c r="G14" s="188">
        <f t="shared" si="1"/>
        <v>1.1232558139534885</v>
      </c>
      <c r="H14" s="189">
        <f t="shared" si="2"/>
        <v>376.98184085140872</v>
      </c>
      <c r="I14" s="190">
        <f t="shared" si="9"/>
        <v>1.730346649507966</v>
      </c>
      <c r="J14" s="191">
        <f t="shared" si="10"/>
        <v>93.435442690149145</v>
      </c>
      <c r="K14" s="192" t="b">
        <f t="shared" si="3"/>
        <v>1</v>
      </c>
      <c r="L14" s="193">
        <f t="shared" si="11"/>
        <v>441.22844392263102</v>
      </c>
      <c r="M14" s="194">
        <f t="shared" si="12"/>
        <v>442.67067250252404</v>
      </c>
      <c r="N14" s="194">
        <f t="shared" si="13"/>
        <v>244.65548946811558</v>
      </c>
      <c r="O14" s="195">
        <f>IF(ABS(U14)&gt;80,$B$7, LOOKUP(V14,'Force mapping'!$B$7:$B$167,'Force mapping'!$E$7:$E$167))</f>
        <v>536</v>
      </c>
      <c r="P14" s="196">
        <f t="shared" si="4"/>
        <v>0.6232558139534885</v>
      </c>
      <c r="Q14" s="191">
        <f t="shared" si="5"/>
        <v>53.949672036558816</v>
      </c>
      <c r="R14" s="197">
        <f>IF(ABS(U14)&gt;80, 0, LOOKUP(V14,'Force mapping'!$B$7:$B$167,'Force mapping'!$D$7:$D$167) * (N14/5) * SIGN(U14))</f>
        <v>0</v>
      </c>
      <c r="S14" s="198">
        <f t="shared" si="6"/>
        <v>0</v>
      </c>
      <c r="T14" s="199">
        <f t="shared" si="14"/>
        <v>27.98</v>
      </c>
      <c r="U14" s="200">
        <f t="shared" si="15"/>
        <v>67.009999999999991</v>
      </c>
      <c r="V14" s="176">
        <f t="shared" si="7"/>
        <v>67</v>
      </c>
      <c r="W14" s="204"/>
      <c r="X14" s="204"/>
      <c r="Y14" s="204"/>
      <c r="Z14" s="216"/>
    </row>
    <row r="15" spans="1:43" ht="15.75" customHeight="1" x14ac:dyDescent="0.25">
      <c r="A15" s="73" t="s">
        <v>167</v>
      </c>
      <c r="B15" s="209"/>
      <c r="C15" s="209"/>
      <c r="D15" s="209"/>
      <c r="E15" s="186">
        <f t="shared" si="8"/>
        <v>11</v>
      </c>
      <c r="F15" s="187">
        <f t="shared" si="0"/>
        <v>0.55000000000000004</v>
      </c>
      <c r="G15" s="188">
        <f t="shared" si="1"/>
        <v>1.1732558139534885</v>
      </c>
      <c r="H15" s="189">
        <f t="shared" si="2"/>
        <v>374.31674837354251</v>
      </c>
      <c r="I15" s="190">
        <f t="shared" si="9"/>
        <v>1.7181138750345601</v>
      </c>
      <c r="J15" s="191">
        <f t="shared" si="10"/>
        <v>92.119019140658736</v>
      </c>
      <c r="K15" s="192" t="b">
        <f t="shared" si="3"/>
        <v>1</v>
      </c>
      <c r="L15" s="193">
        <f t="shared" si="11"/>
        <v>438.35097773419619</v>
      </c>
      <c r="M15" s="194">
        <f t="shared" si="12"/>
        <v>439.94926479847749</v>
      </c>
      <c r="N15" s="194">
        <f t="shared" si="13"/>
        <v>260.54103586826403</v>
      </c>
      <c r="O15" s="195">
        <f>IF(ABS(U15)&gt;80,$B$7, LOOKUP(V15,'Force mapping'!$B$7:$B$167,'Force mapping'!$E$7:$E$167))</f>
        <v>536</v>
      </c>
      <c r="P15" s="196">
        <f t="shared" si="4"/>
        <v>0.6232558139534885</v>
      </c>
      <c r="Q15" s="191">
        <f t="shared" si="5"/>
        <v>57.452638678642842</v>
      </c>
      <c r="R15" s="197">
        <f>IF(ABS(U15)&gt;80, 0, LOOKUP(V15,'Force mapping'!$B$7:$B$167,'Force mapping'!$D$7:$D$167) * (N15/5) * SIGN(U15))</f>
        <v>0</v>
      </c>
      <c r="S15" s="198">
        <f t="shared" si="6"/>
        <v>0</v>
      </c>
      <c r="T15" s="199">
        <f t="shared" si="14"/>
        <v>27.98</v>
      </c>
      <c r="U15" s="200">
        <f t="shared" si="15"/>
        <v>65.61099999999999</v>
      </c>
      <c r="V15" s="176">
        <f t="shared" si="7"/>
        <v>65.5</v>
      </c>
      <c r="X15" s="101"/>
      <c r="Y15" s="91"/>
      <c r="Z15" s="88"/>
    </row>
    <row r="16" spans="1:43" ht="15.75" customHeight="1" x14ac:dyDescent="0.25">
      <c r="A16" s="207">
        <v>0.05</v>
      </c>
      <c r="B16" s="213"/>
      <c r="C16" s="213"/>
      <c r="D16" s="213"/>
      <c r="E16" s="186">
        <f t="shared" si="8"/>
        <v>12</v>
      </c>
      <c r="F16" s="187">
        <f t="shared" si="0"/>
        <v>0.60000000000000009</v>
      </c>
      <c r="G16" s="188">
        <f t="shared" si="1"/>
        <v>1.2232558139534886</v>
      </c>
      <c r="H16" s="189">
        <f t="shared" si="2"/>
        <v>371.47861072791869</v>
      </c>
      <c r="I16" s="190">
        <f t="shared" si="9"/>
        <v>1.7050868232411469</v>
      </c>
      <c r="J16" s="191">
        <f t="shared" si="10"/>
        <v>90.727388710285709</v>
      </c>
      <c r="K16" s="192" t="b">
        <f t="shared" si="3"/>
        <v>1</v>
      </c>
      <c r="L16" s="193">
        <f t="shared" si="11"/>
        <v>435.25203299249131</v>
      </c>
      <c r="M16" s="194">
        <f t="shared" si="12"/>
        <v>436.99000876070619</v>
      </c>
      <c r="N16" s="194">
        <f t="shared" si="13"/>
        <v>274.93386020408337</v>
      </c>
      <c r="O16" s="195">
        <f>IF(ABS(U16)&gt;80,$B$7, LOOKUP(V16,'Force mapping'!$B$7:$B$167,'Force mapping'!$E$7:$E$167))</f>
        <v>536</v>
      </c>
      <c r="P16" s="196">
        <f t="shared" si="4"/>
        <v>0.6232558139534885</v>
      </c>
      <c r="Q16" s="191">
        <f t="shared" si="5"/>
        <v>60.626440968079919</v>
      </c>
      <c r="R16" s="197">
        <f>IF(ABS(U16)&gt;80, 0, LOOKUP(V16,'Force mapping'!$B$7:$B$167,'Force mapping'!$D$7:$D$167) * (N16/5) * SIGN(U16))</f>
        <v>0</v>
      </c>
      <c r="S16" s="198">
        <f t="shared" si="6"/>
        <v>0</v>
      </c>
      <c r="T16" s="199">
        <f t="shared" si="14"/>
        <v>27.98</v>
      </c>
      <c r="U16" s="200">
        <f t="shared" si="15"/>
        <v>64.211999999999989</v>
      </c>
      <c r="V16" s="176">
        <f t="shared" si="7"/>
        <v>64</v>
      </c>
      <c r="X16" s="101"/>
      <c r="Y16" s="91"/>
      <c r="Z16" s="88"/>
    </row>
    <row r="17" spans="5:30" ht="15.75" customHeight="1" x14ac:dyDescent="0.25">
      <c r="E17" s="186">
        <f t="shared" si="8"/>
        <v>13</v>
      </c>
      <c r="F17" s="187">
        <f t="shared" si="0"/>
        <v>0.65</v>
      </c>
      <c r="G17" s="188">
        <f t="shared" si="1"/>
        <v>1.2732558139534884</v>
      </c>
      <c r="H17" s="189">
        <f t="shared" si="2"/>
        <v>368.48368850347333</v>
      </c>
      <c r="I17" s="190">
        <f t="shared" si="9"/>
        <v>1.6913401302309428</v>
      </c>
      <c r="J17" s="191">
        <f t="shared" si="10"/>
        <v>89.270367319608653</v>
      </c>
      <c r="K17" s="192" t="b">
        <f t="shared" si="3"/>
        <v>1</v>
      </c>
      <c r="L17" s="193">
        <f t="shared" si="11"/>
        <v>431.95187293944036</v>
      </c>
      <c r="M17" s="194">
        <f t="shared" si="12"/>
        <v>433.81598319330874</v>
      </c>
      <c r="N17" s="194">
        <f t="shared" si="13"/>
        <v>287.93463331590198</v>
      </c>
      <c r="O17" s="195">
        <f>IF(ABS(U17)&gt;80,$B$7, LOOKUP(V17,'Force mapping'!$B$7:$B$167,'Force mapping'!$E$7:$E$167))</f>
        <v>536</v>
      </c>
      <c r="P17" s="196">
        <f t="shared" si="4"/>
        <v>0.6232558139534885</v>
      </c>
      <c r="Q17" s="191">
        <f t="shared" si="5"/>
        <v>63.493278115814277</v>
      </c>
      <c r="R17" s="197">
        <f>IF(ABS(U17)&gt;80, 0, LOOKUP(V17,'Force mapping'!$B$7:$B$167,'Force mapping'!$D$7:$D$167) * (N17/5) * SIGN(U17))</f>
        <v>0</v>
      </c>
      <c r="S17" s="198">
        <f t="shared" si="6"/>
        <v>0</v>
      </c>
      <c r="T17" s="199">
        <f t="shared" si="14"/>
        <v>27.98</v>
      </c>
      <c r="U17" s="200">
        <f t="shared" si="15"/>
        <v>62.812999999999988</v>
      </c>
      <c r="V17" s="176">
        <f t="shared" si="7"/>
        <v>63</v>
      </c>
      <c r="X17" s="101"/>
      <c r="Y17" s="91"/>
      <c r="Z17" s="88"/>
    </row>
    <row r="18" spans="5:30" ht="15.75" customHeight="1" x14ac:dyDescent="0.25">
      <c r="E18" s="186">
        <f t="shared" si="8"/>
        <v>14</v>
      </c>
      <c r="F18" s="187">
        <f t="shared" si="0"/>
        <v>0.70000000000000007</v>
      </c>
      <c r="G18" s="188">
        <f t="shared" si="1"/>
        <v>1.3232558139534887</v>
      </c>
      <c r="H18" s="189">
        <f t="shared" si="2"/>
        <v>365.3471456568949</v>
      </c>
      <c r="I18" s="190">
        <f t="shared" si="9"/>
        <v>1.6769433985651476</v>
      </c>
      <c r="J18" s="191">
        <f t="shared" si="10"/>
        <v>87.757091939277032</v>
      </c>
      <c r="K18" s="192" t="b">
        <f t="shared" si="3"/>
        <v>1</v>
      </c>
      <c r="L18" s="193">
        <f t="shared" si="11"/>
        <v>428.46940523659691</v>
      </c>
      <c r="M18" s="194">
        <f t="shared" si="12"/>
        <v>430.4476390805803</v>
      </c>
      <c r="N18" s="194">
        <f t="shared" si="13"/>
        <v>299.63780130979842</v>
      </c>
      <c r="O18" s="195">
        <f>IF(ABS(U18)&gt;80,$B$7, LOOKUP(V18,'Force mapping'!$B$7:$B$167,'Force mapping'!$E$7:$E$167))</f>
        <v>536</v>
      </c>
      <c r="P18" s="196">
        <f t="shared" si="4"/>
        <v>0.6232558139534885</v>
      </c>
      <c r="Q18" s="191">
        <f t="shared" si="5"/>
        <v>66.073976699083758</v>
      </c>
      <c r="R18" s="197">
        <f>IF(ABS(U18)&gt;80, 0, LOOKUP(V18,'Force mapping'!$B$7:$B$167,'Force mapping'!$D$7:$D$167) * (N18/5) * SIGN(U18))</f>
        <v>0</v>
      </c>
      <c r="S18" s="198">
        <f t="shared" si="6"/>
        <v>0</v>
      </c>
      <c r="T18" s="199">
        <f t="shared" si="14"/>
        <v>27.98</v>
      </c>
      <c r="U18" s="200">
        <f t="shared" si="15"/>
        <v>61.413999999999987</v>
      </c>
      <c r="V18" s="176">
        <f t="shared" si="7"/>
        <v>61.5</v>
      </c>
      <c r="X18" s="101"/>
      <c r="Y18" s="91"/>
      <c r="Z18" s="88"/>
    </row>
    <row r="19" spans="5:30" ht="15.75" customHeight="1" x14ac:dyDescent="0.25">
      <c r="E19" s="186">
        <f t="shared" si="8"/>
        <v>15</v>
      </c>
      <c r="F19" s="187">
        <f t="shared" si="0"/>
        <v>0.75</v>
      </c>
      <c r="G19" s="188">
        <f t="shared" si="1"/>
        <v>1.3732558139534885</v>
      </c>
      <c r="H19" s="189">
        <f t="shared" si="2"/>
        <v>362.08311732018683</v>
      </c>
      <c r="I19" s="190">
        <f t="shared" si="9"/>
        <v>1.6619615084996577</v>
      </c>
      <c r="J19" s="191">
        <f t="shared" si="10"/>
        <v>86.196044607695072</v>
      </c>
      <c r="K19" s="192" t="b">
        <f t="shared" si="3"/>
        <v>1</v>
      </c>
      <c r="L19" s="193">
        <f t="shared" si="11"/>
        <v>424.82226239173826</v>
      </c>
      <c r="M19" s="194">
        <f t="shared" si="12"/>
        <v>426.90365176660981</v>
      </c>
      <c r="N19" s="194">
        <f t="shared" si="13"/>
        <v>310.1318741160365</v>
      </c>
      <c r="O19" s="195">
        <f>IF(ABS(U19)&gt;80,$B$7, LOOKUP(V19,'Force mapping'!$B$7:$B$167,'Force mapping'!$E$7:$E$167))</f>
        <v>536</v>
      </c>
      <c r="P19" s="196">
        <f t="shared" si="4"/>
        <v>0.6232558139534885</v>
      </c>
      <c r="Q19" s="191">
        <f t="shared" si="5"/>
        <v>68.388054292254196</v>
      </c>
      <c r="R19" s="197">
        <f>IF(ABS(U19)&gt;80, 0, LOOKUP(V19,'Force mapping'!$B$7:$B$167,'Force mapping'!$D$7:$D$167) * (N19/5) * SIGN(U19))</f>
        <v>0</v>
      </c>
      <c r="S19" s="198">
        <f t="shared" si="6"/>
        <v>0</v>
      </c>
      <c r="T19" s="199">
        <f t="shared" si="14"/>
        <v>27.98</v>
      </c>
      <c r="U19" s="200">
        <f t="shared" si="15"/>
        <v>60.014999999999986</v>
      </c>
      <c r="V19" s="176">
        <f t="shared" si="7"/>
        <v>60</v>
      </c>
      <c r="Z19" s="88"/>
    </row>
    <row r="20" spans="5:30" ht="15.75" customHeight="1" x14ac:dyDescent="0.25">
      <c r="E20" s="186">
        <f t="shared" si="8"/>
        <v>16</v>
      </c>
      <c r="F20" s="187">
        <f t="shared" si="0"/>
        <v>0.8</v>
      </c>
      <c r="G20" s="188">
        <f t="shared" si="1"/>
        <v>1.4232558139534885</v>
      </c>
      <c r="H20" s="189">
        <f t="shared" si="2"/>
        <v>358.7047744648923</v>
      </c>
      <c r="I20" s="190">
        <f t="shared" si="9"/>
        <v>1.6464549147938559</v>
      </c>
      <c r="J20" s="191">
        <f t="shared" si="10"/>
        <v>84.595079042675394</v>
      </c>
      <c r="K20" s="192" t="b">
        <f t="shared" si="3"/>
        <v>1</v>
      </c>
      <c r="L20" s="193">
        <f t="shared" si="11"/>
        <v>421.02688060486844</v>
      </c>
      <c r="M20" s="194">
        <f t="shared" si="12"/>
        <v>423.20128593471276</v>
      </c>
      <c r="N20" s="194">
        <f t="shared" si="13"/>
        <v>319.49975926337726</v>
      </c>
      <c r="O20" s="195">
        <f>IF(ABS(U20)&gt;80,$B$7, LOOKUP(V20,'Force mapping'!$B$7:$B$167,'Force mapping'!$E$7:$E$167))</f>
        <v>536</v>
      </c>
      <c r="P20" s="196">
        <f t="shared" si="4"/>
        <v>0.6232558139534885</v>
      </c>
      <c r="Q20" s="191">
        <f t="shared" si="5"/>
        <v>70.453793068334463</v>
      </c>
      <c r="R20" s="197">
        <f>IF(ABS(U20)&gt;80, 0, LOOKUP(V20,'Force mapping'!$B$7:$B$167,'Force mapping'!$D$7:$D$167) * (N20/5) * SIGN(U20))</f>
        <v>0</v>
      </c>
      <c r="S20" s="198">
        <f t="shared" si="6"/>
        <v>0</v>
      </c>
      <c r="T20" s="199">
        <f t="shared" si="14"/>
        <v>27.98</v>
      </c>
      <c r="U20" s="200">
        <f t="shared" si="15"/>
        <v>58.615999999999985</v>
      </c>
      <c r="V20" s="176">
        <f t="shared" si="7"/>
        <v>58.5</v>
      </c>
      <c r="Z20" s="88"/>
    </row>
    <row r="21" spans="5:30" ht="15.75" customHeight="1" x14ac:dyDescent="0.25">
      <c r="E21" s="186">
        <f t="shared" si="8"/>
        <v>17</v>
      </c>
      <c r="F21" s="187">
        <f t="shared" si="0"/>
        <v>0.85000000000000009</v>
      </c>
      <c r="G21" s="188">
        <f t="shared" si="1"/>
        <v>1.4732558139534886</v>
      </c>
      <c r="H21" s="189">
        <f t="shared" si="2"/>
        <v>355.2243849304329</v>
      </c>
      <c r="I21" s="190">
        <f t="shared" si="9"/>
        <v>1.6304799268306871</v>
      </c>
      <c r="J21" s="191">
        <f t="shared" si="10"/>
        <v>82.96144881604495</v>
      </c>
      <c r="K21" s="192" t="b">
        <f t="shared" si="3"/>
        <v>1</v>
      </c>
      <c r="L21" s="193">
        <f t="shared" si="11"/>
        <v>417.09857495917709</v>
      </c>
      <c r="M21" s="194">
        <f t="shared" si="12"/>
        <v>419.35657802012531</v>
      </c>
      <c r="N21" s="194">
        <f t="shared" si="13"/>
        <v>327.81909815678665</v>
      </c>
      <c r="O21" s="195">
        <f>IF(ABS(U21)&gt;80,$B$7, LOOKUP(V21,'Force mapping'!$B$7:$B$167,'Force mapping'!$E$7:$E$167))</f>
        <v>536</v>
      </c>
      <c r="P21" s="196">
        <f t="shared" si="4"/>
        <v>0.6232558139534885</v>
      </c>
      <c r="Q21" s="191">
        <f t="shared" si="5"/>
        <v>72.288313952522188</v>
      </c>
      <c r="R21" s="197">
        <f>IF(ABS(U21)&gt;80, 0, LOOKUP(V21,'Force mapping'!$B$7:$B$167,'Force mapping'!$D$7:$D$167) * (N21/5) * SIGN(U21))</f>
        <v>0.19275762971619056</v>
      </c>
      <c r="S21" s="198">
        <f t="shared" si="6"/>
        <v>11.206838936987824</v>
      </c>
      <c r="T21" s="199">
        <f t="shared" si="14"/>
        <v>27.98</v>
      </c>
      <c r="U21" s="200">
        <f t="shared" si="15"/>
        <v>57.216999999999985</v>
      </c>
      <c r="V21" s="176">
        <f t="shared" si="7"/>
        <v>57</v>
      </c>
      <c r="Z21" s="88"/>
    </row>
    <row r="22" spans="5:30" ht="15.75" customHeight="1" x14ac:dyDescent="0.25">
      <c r="E22" s="186">
        <f t="shared" si="8"/>
        <v>18</v>
      </c>
      <c r="F22" s="187">
        <f t="shared" si="0"/>
        <v>0.9</v>
      </c>
      <c r="G22" s="188">
        <f t="shared" si="1"/>
        <v>1.5244186046511627</v>
      </c>
      <c r="H22" s="189">
        <f t="shared" si="2"/>
        <v>351.65337078929144</v>
      </c>
      <c r="I22" s="190">
        <f t="shared" si="9"/>
        <v>1.6140889719228477</v>
      </c>
      <c r="J22" s="191">
        <f t="shared" si="10"/>
        <v>81.301836415168239</v>
      </c>
      <c r="K22" s="192" t="b">
        <f t="shared" si="3"/>
        <v>1</v>
      </c>
      <c r="L22" s="193">
        <f t="shared" si="11"/>
        <v>413.05161038422432</v>
      </c>
      <c r="M22" s="194">
        <f t="shared" si="12"/>
        <v>415.38444840950768</v>
      </c>
      <c r="N22" s="194">
        <f t="shared" si="13"/>
        <v>335.16259001149479</v>
      </c>
      <c r="O22" s="195">
        <f>IF(ABS(U22)&gt;80,$B$7, LOOKUP(V22,'Force mapping'!$B$7:$B$167,'Force mapping'!$E$7:$E$167))</f>
        <v>537</v>
      </c>
      <c r="P22" s="196">
        <f t="shared" si="4"/>
        <v>0.62441860465116283</v>
      </c>
      <c r="Q22" s="191">
        <f t="shared" si="5"/>
        <v>73.9076480538168</v>
      </c>
      <c r="R22" s="197">
        <f>IF(ABS(U22)&gt;80, 0, LOOKUP(V22,'Force mapping'!$B$7:$B$167,'Force mapping'!$D$7:$D$167) * (N22/5) * SIGN(U22))</f>
        <v>0.19707560292675894</v>
      </c>
      <c r="S22" s="198">
        <f t="shared" si="6"/>
        <v>11.457883891090637</v>
      </c>
      <c r="T22" s="199">
        <f t="shared" si="14"/>
        <v>27.980560341946848</v>
      </c>
      <c r="U22" s="200">
        <f t="shared" si="15"/>
        <v>55.817719829026558</v>
      </c>
      <c r="V22" s="176">
        <f t="shared" si="7"/>
        <v>56</v>
      </c>
      <c r="Z22" s="88"/>
      <c r="AA22" s="101"/>
      <c r="AB22" s="91"/>
      <c r="AC22" s="91"/>
      <c r="AD22" s="91"/>
    </row>
    <row r="23" spans="5:30" ht="15.75" customHeight="1" x14ac:dyDescent="0.25">
      <c r="E23" s="186">
        <f t="shared" si="8"/>
        <v>19</v>
      </c>
      <c r="F23" s="187">
        <f t="shared" si="0"/>
        <v>0.95000000000000007</v>
      </c>
      <c r="G23" s="188">
        <f t="shared" si="1"/>
        <v>1.5750000000000002</v>
      </c>
      <c r="H23" s="189">
        <f t="shared" si="2"/>
        <v>348.0023621835017</v>
      </c>
      <c r="I23" s="190">
        <f t="shared" si="9"/>
        <v>1.597330842422273</v>
      </c>
      <c r="J23" s="191">
        <f t="shared" si="10"/>
        <v>79.622382699077647</v>
      </c>
      <c r="K23" s="192" t="b">
        <f t="shared" si="3"/>
        <v>1</v>
      </c>
      <c r="L23" s="193">
        <f t="shared" si="11"/>
        <v>408.89926835964121</v>
      </c>
      <c r="M23" s="194">
        <f t="shared" si="12"/>
        <v>411.29878497809182</v>
      </c>
      <c r="N23" s="194">
        <f t="shared" si="13"/>
        <v>341.58631424075838</v>
      </c>
      <c r="O23" s="195">
        <f>IF(ABS(U23)&gt;80,$B$7, LOOKUP(V23,'Force mapping'!$B$7:$B$167,'Force mapping'!$E$7:$E$167))</f>
        <v>537.5</v>
      </c>
      <c r="P23" s="196">
        <f t="shared" si="4"/>
        <v>0.625</v>
      </c>
      <c r="Q23" s="191">
        <f t="shared" si="5"/>
        <v>75.324161601808257</v>
      </c>
      <c r="R23" s="197">
        <f>IF(ABS(U23)&gt;80, 0, LOOKUP(V23,'Force mapping'!$B$7:$B$167,'Force mapping'!$D$7:$D$167) * (N23/5) * SIGN(U23))</f>
        <v>0.23432821156916023</v>
      </c>
      <c r="S23" s="198">
        <f t="shared" si="6"/>
        <v>13.623733230765129</v>
      </c>
      <c r="T23" s="199">
        <f t="shared" si="14"/>
        <v>27.981133236141403</v>
      </c>
      <c r="U23" s="200">
        <f t="shared" si="15"/>
        <v>54.418405364831941</v>
      </c>
      <c r="V23" s="176">
        <f t="shared" si="7"/>
        <v>54.5</v>
      </c>
      <c r="Z23" s="88"/>
      <c r="AD23" s="217"/>
    </row>
    <row r="24" spans="5:30" ht="15.75" customHeight="1" x14ac:dyDescent="0.25">
      <c r="E24" s="186">
        <f t="shared" si="8"/>
        <v>20</v>
      </c>
      <c r="F24" s="187">
        <f t="shared" si="0"/>
        <v>1</v>
      </c>
      <c r="G24" s="188">
        <f t="shared" si="1"/>
        <v>1.6255813953488372</v>
      </c>
      <c r="H24" s="189">
        <f t="shared" si="2"/>
        <v>344.28137836824288</v>
      </c>
      <c r="I24" s="190">
        <f t="shared" si="9"/>
        <v>1.5802515267102351</v>
      </c>
      <c r="J24" s="191">
        <f t="shared" si="10"/>
        <v>77.928775470833159</v>
      </c>
      <c r="K24" s="192" t="b">
        <f t="shared" si="3"/>
        <v>1</v>
      </c>
      <c r="L24" s="193">
        <f t="shared" si="11"/>
        <v>404.65390951569964</v>
      </c>
      <c r="M24" s="194">
        <f t="shared" si="12"/>
        <v>407.11251343678475</v>
      </c>
      <c r="N24" s="194">
        <f t="shared" si="13"/>
        <v>347.16331189974505</v>
      </c>
      <c r="O24" s="195">
        <f>IF(ABS(U24)&gt;80,$B$7, LOOKUP(V24,'Force mapping'!$B$7:$B$167,'Force mapping'!$E$7:$E$167))</f>
        <v>538</v>
      </c>
      <c r="P24" s="196">
        <f t="shared" si="4"/>
        <v>0.62558139534883717</v>
      </c>
      <c r="Q24" s="191">
        <f t="shared" si="5"/>
        <v>76.553961085584803</v>
      </c>
      <c r="R24" s="197">
        <f>IF(ABS(U24)&gt;80, 0, LOOKUP(V24,'Force mapping'!$B$7:$B$167,'Force mapping'!$D$7:$D$167) * (N24/5) * SIGN(U24))</f>
        <v>0.34022004566175013</v>
      </c>
      <c r="S24" s="198">
        <f t="shared" si="6"/>
        <v>19.78023521289245</v>
      </c>
      <c r="T24" s="199">
        <f t="shared" si="14"/>
        <v>27.981814422802941</v>
      </c>
      <c r="U24" s="200">
        <f t="shared" si="15"/>
        <v>53.019008109694099</v>
      </c>
      <c r="V24" s="176">
        <f t="shared" si="7"/>
        <v>53</v>
      </c>
      <c r="Z24" s="88"/>
      <c r="AA24" s="101"/>
      <c r="AB24" s="140"/>
      <c r="AC24" s="155"/>
      <c r="AD24" s="217"/>
    </row>
    <row r="25" spans="5:30" ht="15.75" customHeight="1" x14ac:dyDescent="0.25">
      <c r="E25" s="186">
        <f t="shared" si="8"/>
        <v>21</v>
      </c>
      <c r="F25" s="187">
        <f t="shared" si="0"/>
        <v>1.05</v>
      </c>
      <c r="G25" s="188">
        <f t="shared" si="1"/>
        <v>1.6767441860465118</v>
      </c>
      <c r="H25" s="189">
        <f t="shared" si="2"/>
        <v>340.49964294449842</v>
      </c>
      <c r="I25" s="190">
        <f t="shared" si="9"/>
        <v>1.5628933611152478</v>
      </c>
      <c r="J25" s="191">
        <f t="shared" si="10"/>
        <v>76.226171495944044</v>
      </c>
      <c r="K25" s="192" t="b">
        <f t="shared" si="3"/>
        <v>1</v>
      </c>
      <c r="L25" s="193">
        <f t="shared" si="11"/>
        <v>400.32718414911966</v>
      </c>
      <c r="M25" s="194">
        <f t="shared" si="12"/>
        <v>402.83775598555576</v>
      </c>
      <c r="N25" s="194">
        <f t="shared" si="13"/>
        <v>351.95479083300285</v>
      </c>
      <c r="O25" s="195">
        <f>IF(ABS(U25)&gt;80,$B$7, LOOKUP(V25,'Force mapping'!$B$7:$B$167,'Force mapping'!$E$7:$E$167))</f>
        <v>539</v>
      </c>
      <c r="P25" s="196">
        <f t="shared" si="4"/>
        <v>0.62674418604651161</v>
      </c>
      <c r="Q25" s="191">
        <f t="shared" si="5"/>
        <v>77.610543619585243</v>
      </c>
      <c r="R25" s="197">
        <f>IF(ABS(U25)&gt;80, 0, LOOKUP(V25,'Force mapping'!$B$7:$B$167,'Force mapping'!$D$7:$D$167) * (N25/5) * SIGN(U25))</f>
        <v>0.41389883401961136</v>
      </c>
      <c r="S25" s="198">
        <f t="shared" si="6"/>
        <v>24.063885698814612</v>
      </c>
      <c r="T25" s="199">
        <f t="shared" si="14"/>
        <v>27.982803434563586</v>
      </c>
      <c r="U25" s="200">
        <f t="shared" si="15"/>
        <v>51.619422882673632</v>
      </c>
      <c r="V25" s="176">
        <f t="shared" si="7"/>
        <v>51.5</v>
      </c>
      <c r="Z25" s="88"/>
      <c r="AC25" s="217"/>
      <c r="AD25" s="217"/>
    </row>
    <row r="26" spans="5:30" ht="15.75" customHeight="1" x14ac:dyDescent="0.25">
      <c r="E26" s="186">
        <f t="shared" si="8"/>
        <v>22</v>
      </c>
      <c r="F26" s="187">
        <f t="shared" si="0"/>
        <v>1.1000000000000001</v>
      </c>
      <c r="G26" s="188">
        <f t="shared" si="1"/>
        <v>1.7279069767441861</v>
      </c>
      <c r="H26" s="189">
        <f t="shared" si="2"/>
        <v>336.66571276113234</v>
      </c>
      <c r="I26" s="190">
        <f t="shared" si="9"/>
        <v>1.5452956215735976</v>
      </c>
      <c r="J26" s="191">
        <f t="shared" si="10"/>
        <v>74.519265055201373</v>
      </c>
      <c r="K26" s="192" t="b">
        <f t="shared" si="3"/>
        <v>1</v>
      </c>
      <c r="L26" s="193">
        <f t="shared" si="11"/>
        <v>395.92981737732373</v>
      </c>
      <c r="M26" s="194">
        <f t="shared" si="12"/>
        <v>398.48575466236957</v>
      </c>
      <c r="N26" s="194">
        <f t="shared" si="13"/>
        <v>356.01409974127699</v>
      </c>
      <c r="O26" s="195">
        <f>IF(ABS(U26)&gt;80,$B$7, LOOKUP(V26,'Force mapping'!$B$7:$B$167,'Force mapping'!$E$7:$E$167))</f>
        <v>540</v>
      </c>
      <c r="P26" s="196">
        <f t="shared" si="4"/>
        <v>0.62790697674418605</v>
      </c>
      <c r="Q26" s="191">
        <f t="shared" si="5"/>
        <v>78.505673276281598</v>
      </c>
      <c r="R26" s="197">
        <f>IF(ABS(U26)&gt;80, 0, LOOKUP(V26,'Force mapping'!$B$7:$B$167,'Force mapping'!$D$7:$D$167) * (N26/5) * SIGN(U26))</f>
        <v>0.5582301083943223</v>
      </c>
      <c r="S26" s="198">
        <f t="shared" si="6"/>
        <v>32.455238860135019</v>
      </c>
      <c r="T26" s="199">
        <f t="shared" si="14"/>
        <v>27.984006628848526</v>
      </c>
      <c r="U26" s="200">
        <f t="shared" si="15"/>
        <v>50.219681113802984</v>
      </c>
      <c r="V26" s="176">
        <f t="shared" si="7"/>
        <v>50</v>
      </c>
      <c r="Z26" s="88"/>
      <c r="AD26" s="217"/>
    </row>
    <row r="27" spans="5:30" ht="15.75" customHeight="1" x14ac:dyDescent="0.25">
      <c r="E27" s="186">
        <f t="shared" si="8"/>
        <v>23</v>
      </c>
      <c r="F27" s="187">
        <f t="shared" si="0"/>
        <v>1.1500000000000001</v>
      </c>
      <c r="G27" s="188">
        <f t="shared" si="1"/>
        <v>1.7779069767441862</v>
      </c>
      <c r="H27" s="189">
        <f t="shared" si="2"/>
        <v>332.78756352647792</v>
      </c>
      <c r="I27" s="190">
        <f t="shared" si="9"/>
        <v>1.5274949165865337</v>
      </c>
      <c r="J27" s="191">
        <f t="shared" si="10"/>
        <v>72.812335593615757</v>
      </c>
      <c r="K27" s="192" t="b">
        <f t="shared" si="3"/>
        <v>1</v>
      </c>
      <c r="L27" s="193">
        <f t="shared" si="11"/>
        <v>391.47175902457252</v>
      </c>
      <c r="M27" s="194">
        <f t="shared" si="12"/>
        <v>394.06693741055744</v>
      </c>
      <c r="N27" s="194">
        <f t="shared" si="13"/>
        <v>359.39610189240102</v>
      </c>
      <c r="O27" s="195">
        <f>IF(ABS(U27)&gt;80,$B$7, LOOKUP(V27,'Force mapping'!$B$7:$B$167,'Force mapping'!$E$7:$E$167))</f>
        <v>540</v>
      </c>
      <c r="P27" s="196">
        <f t="shared" si="4"/>
        <v>0.62790697674418605</v>
      </c>
      <c r="Q27" s="191">
        <f t="shared" si="5"/>
        <v>79.251448109606386</v>
      </c>
      <c r="R27" s="197">
        <f>IF(ABS(U27)&gt;80, 0, LOOKUP(V27,'Force mapping'!$B$7:$B$167,'Force mapping'!$D$7:$D$167) * (N27/5) * SIGN(U27))</f>
        <v>0.70441635970910588</v>
      </c>
      <c r="S27" s="198">
        <f t="shared" si="6"/>
        <v>40.954439517971274</v>
      </c>
      <c r="T27" s="199">
        <f t="shared" si="14"/>
        <v>27.985629390791534</v>
      </c>
      <c r="U27" s="200">
        <f t="shared" si="15"/>
        <v>48.819669401389056</v>
      </c>
      <c r="V27" s="176">
        <f t="shared" si="7"/>
        <v>49</v>
      </c>
      <c r="Z27" s="88"/>
      <c r="AC27" s="155"/>
      <c r="AD27" s="217"/>
    </row>
    <row r="28" spans="5:30" ht="15.75" customHeight="1" x14ac:dyDescent="0.25">
      <c r="E28" s="186">
        <f t="shared" si="8"/>
        <v>24</v>
      </c>
      <c r="F28" s="187">
        <f t="shared" si="0"/>
        <v>1.2000000000000002</v>
      </c>
      <c r="G28" s="188">
        <f t="shared" si="1"/>
        <v>1.8284883720930234</v>
      </c>
      <c r="H28" s="189">
        <f t="shared" si="2"/>
        <v>328.87257330978508</v>
      </c>
      <c r="I28" s="190">
        <f t="shared" si="9"/>
        <v>1.5095251114919137</v>
      </c>
      <c r="J28" s="191">
        <f t="shared" si="10"/>
        <v>71.109250148191961</v>
      </c>
      <c r="K28" s="192" t="b">
        <f t="shared" si="3"/>
        <v>1</v>
      </c>
      <c r="L28" s="193">
        <f t="shared" si="11"/>
        <v>386.96228317032319</v>
      </c>
      <c r="M28" s="194">
        <f t="shared" si="12"/>
        <v>389.59100523920984</v>
      </c>
      <c r="N28" s="194">
        <f t="shared" si="13"/>
        <v>362.15692768366165</v>
      </c>
      <c r="O28" s="195">
        <f>IF(ABS(U28)&gt;80,$B$7, LOOKUP(V28,'Force mapping'!$B$7:$B$167,'Force mapping'!$E$7:$E$167))</f>
        <v>540.5</v>
      </c>
      <c r="P28" s="196">
        <f t="shared" si="4"/>
        <v>0.62848837209302322</v>
      </c>
      <c r="Q28" s="191">
        <f t="shared" si="5"/>
        <v>79.860245591781791</v>
      </c>
      <c r="R28" s="197">
        <f>IF(ABS(U28)&gt;80, 0, LOOKUP(V28,'Force mapping'!$B$7:$B$167,'Force mapping'!$D$7:$D$167) * (N28/5) * SIGN(U28))</f>
        <v>1.0292499884769666</v>
      </c>
      <c r="S28" s="198">
        <f t="shared" si="6"/>
        <v>59.840115609125967</v>
      </c>
      <c r="T28" s="199">
        <f t="shared" si="14"/>
        <v>27.987677112767432</v>
      </c>
      <c r="U28" s="200">
        <f t="shared" si="15"/>
        <v>47.419364070861533</v>
      </c>
      <c r="V28" s="176">
        <f t="shared" si="7"/>
        <v>47.5</v>
      </c>
      <c r="Z28" s="88"/>
      <c r="AA28" s="101"/>
      <c r="AC28" s="155"/>
      <c r="AD28" s="217"/>
    </row>
    <row r="29" spans="5:30" ht="15.75" customHeight="1" x14ac:dyDescent="0.25">
      <c r="E29" s="186">
        <f t="shared" si="8"/>
        <v>25</v>
      </c>
      <c r="F29" s="187">
        <f t="shared" si="0"/>
        <v>1.25</v>
      </c>
      <c r="G29" s="188">
        <f t="shared" si="1"/>
        <v>1.8802325581395349</v>
      </c>
      <c r="H29" s="189">
        <f t="shared" si="2"/>
        <v>324.92750873806767</v>
      </c>
      <c r="I29" s="190">
        <f t="shared" si="9"/>
        <v>1.4914172651077306</v>
      </c>
      <c r="J29" s="191">
        <f t="shared" si="10"/>
        <v>69.413468727631184</v>
      </c>
      <c r="K29" s="192" t="b">
        <f t="shared" si="3"/>
        <v>1</v>
      </c>
      <c r="L29" s="193">
        <f t="shared" si="11"/>
        <v>382.40996896486638</v>
      </c>
      <c r="M29" s="194">
        <f t="shared" si="12"/>
        <v>385.06695238637349</v>
      </c>
      <c r="N29" s="194">
        <f t="shared" si="13"/>
        <v>364.33947224404756</v>
      </c>
      <c r="O29" s="195">
        <f>IF(ABS(U29)&gt;80,$B$7, LOOKUP(V29,'Force mapping'!$B$7:$B$167,'Force mapping'!$E$7:$E$167))</f>
        <v>542</v>
      </c>
      <c r="P29" s="196">
        <f t="shared" si="4"/>
        <v>0.63023255813953483</v>
      </c>
      <c r="Q29" s="191">
        <f t="shared" si="5"/>
        <v>80.341524648687411</v>
      </c>
      <c r="R29" s="197">
        <f>IF(ABS(U29)&gt;80, 0, LOOKUP(V29,'Force mapping'!$B$7:$B$167,'Force mapping'!$D$7:$D$167) * (N29/5) * SIGN(U29))</f>
        <v>1.4282107311966663</v>
      </c>
      <c r="S29" s="198">
        <f t="shared" si="6"/>
        <v>83.035507627713159</v>
      </c>
      <c r="T29" s="199">
        <f t="shared" si="14"/>
        <v>27.990669118547888</v>
      </c>
      <c r="U29" s="200">
        <f t="shared" si="15"/>
        <v>46.018484212332936</v>
      </c>
      <c r="V29" s="176">
        <f t="shared" si="7"/>
        <v>46</v>
      </c>
      <c r="Z29" s="88"/>
      <c r="AD29" s="217"/>
    </row>
    <row r="30" spans="5:30" ht="15.75" customHeight="1" x14ac:dyDescent="0.25">
      <c r="E30" s="186">
        <f t="shared" si="8"/>
        <v>26</v>
      </c>
      <c r="F30" s="187">
        <f t="shared" si="0"/>
        <v>1.3</v>
      </c>
      <c r="G30" s="188">
        <f t="shared" si="1"/>
        <v>1.9319767441860467</v>
      </c>
      <c r="H30" s="189">
        <f t="shared" si="2"/>
        <v>320.95866917113904</v>
      </c>
      <c r="I30" s="190">
        <f t="shared" si="9"/>
        <v>1.4732002914955282</v>
      </c>
      <c r="J30" s="191">
        <f t="shared" si="10"/>
        <v>67.728117893562583</v>
      </c>
      <c r="K30" s="192" t="b">
        <f t="shared" si="3"/>
        <v>1</v>
      </c>
      <c r="L30" s="193">
        <f t="shared" si="11"/>
        <v>377.82268457914847</v>
      </c>
      <c r="M30" s="194">
        <f t="shared" si="12"/>
        <v>380.50306366782172</v>
      </c>
      <c r="N30" s="194">
        <f t="shared" si="13"/>
        <v>365.98390332544977</v>
      </c>
      <c r="O30" s="195">
        <f>IF(ABS(U30)&gt;80,$B$7, LOOKUP(V30,'Force mapping'!$B$7:$B$167,'Force mapping'!$E$7:$E$167))</f>
        <v>543.5</v>
      </c>
      <c r="P30" s="196">
        <f t="shared" si="4"/>
        <v>0.63197674418604655</v>
      </c>
      <c r="Q30" s="191">
        <f t="shared" si="5"/>
        <v>80.704142784586367</v>
      </c>
      <c r="R30" s="197">
        <f>IF(ABS(U30)&gt;80, 0, LOOKUP(V30,'Force mapping'!$B$7:$B$167,'Force mapping'!$D$7:$D$167) * (N30/5) * SIGN(U30))</f>
        <v>2.1878517740795389</v>
      </c>
      <c r="S30" s="198">
        <f t="shared" si="6"/>
        <v>127.20068453950807</v>
      </c>
      <c r="T30" s="199">
        <f t="shared" si="14"/>
        <v>27.994820893929273</v>
      </c>
      <c r="U30" s="200">
        <f t="shared" si="15"/>
        <v>44.616874868714852</v>
      </c>
      <c r="V30" s="176">
        <f t="shared" si="7"/>
        <v>44.5</v>
      </c>
      <c r="Z30" s="88"/>
      <c r="AC30" s="155"/>
      <c r="AD30" s="217"/>
    </row>
    <row r="31" spans="5:30" ht="15.75" customHeight="1" x14ac:dyDescent="0.25">
      <c r="E31" s="186">
        <f t="shared" si="8"/>
        <v>27</v>
      </c>
      <c r="F31" s="187">
        <f t="shared" si="0"/>
        <v>1.35</v>
      </c>
      <c r="G31" s="188">
        <f t="shared" si="1"/>
        <v>1.9848837209302328</v>
      </c>
      <c r="H31" s="189">
        <f t="shared" si="2"/>
        <v>316.97191641160254</v>
      </c>
      <c r="I31" s="190">
        <f t="shared" si="9"/>
        <v>1.4549010963292557</v>
      </c>
      <c r="J31" s="191">
        <f t="shared" si="10"/>
        <v>66.05601301357261</v>
      </c>
      <c r="K31" s="192" t="b">
        <f t="shared" si="3"/>
        <v>1</v>
      </c>
      <c r="L31" s="193">
        <f t="shared" si="11"/>
        <v>373.20775485016168</v>
      </c>
      <c r="M31" s="194">
        <f t="shared" si="12"/>
        <v>375.90701911269588</v>
      </c>
      <c r="N31" s="194">
        <f t="shared" si="13"/>
        <v>367.13261334333754</v>
      </c>
      <c r="O31" s="195">
        <f>IF(ABS(U31)&gt;80,$B$7, LOOKUP(V31,'Force mapping'!$B$7:$B$167,'Force mapping'!$E$7:$E$167))</f>
        <v>546</v>
      </c>
      <c r="P31" s="196">
        <f t="shared" si="4"/>
        <v>0.6348837209302326</v>
      </c>
      <c r="Q31" s="191">
        <f t="shared" si="5"/>
        <v>80.957448070582132</v>
      </c>
      <c r="R31" s="197">
        <f>IF(ABS(U31)&gt;80, 0, LOOKUP(V31,'Force mapping'!$B$7:$B$167,'Force mapping'!$D$7:$D$167) * (N31/5) * SIGN(U31))</f>
        <v>3.3820256341188255</v>
      </c>
      <c r="S31" s="198">
        <f t="shared" si="6"/>
        <v>196.62939733248984</v>
      </c>
      <c r="T31" s="199">
        <f t="shared" si="14"/>
        <v>28.001180928156248</v>
      </c>
      <c r="U31" s="200">
        <f t="shared" si="15"/>
        <v>43.213953806904904</v>
      </c>
      <c r="V31" s="176">
        <f t="shared" si="7"/>
        <v>43</v>
      </c>
      <c r="Z31" s="88"/>
      <c r="AA31" s="101"/>
      <c r="AC31" s="217"/>
      <c r="AD31" s="217"/>
    </row>
    <row r="32" spans="5:30" ht="15.75" customHeight="1" x14ac:dyDescent="0.25">
      <c r="E32" s="186">
        <f t="shared" si="8"/>
        <v>28</v>
      </c>
      <c r="F32" s="187">
        <f t="shared" si="0"/>
        <v>1.4000000000000001</v>
      </c>
      <c r="G32" s="188">
        <f t="shared" si="1"/>
        <v>2.0372093023255813</v>
      </c>
      <c r="H32" s="189">
        <f t="shared" si="2"/>
        <v>312.97265047104327</v>
      </c>
      <c r="I32" s="190">
        <f t="shared" si="9"/>
        <v>1.4365444656620887</v>
      </c>
      <c r="J32" s="191">
        <f t="shared" si="10"/>
        <v>64.39965808209719</v>
      </c>
      <c r="K32" s="192" t="b">
        <f t="shared" si="3"/>
        <v>1</v>
      </c>
      <c r="L32" s="193">
        <f t="shared" si="11"/>
        <v>368.57199582744482</v>
      </c>
      <c r="M32" s="194">
        <f t="shared" si="12"/>
        <v>371.2859544429877</v>
      </c>
      <c r="N32" s="194">
        <f t="shared" si="13"/>
        <v>367.82363797352508</v>
      </c>
      <c r="O32" s="195">
        <f>IF(ABS(U32)&gt;80,$B$7, LOOKUP(V32,'Force mapping'!$B$7:$B$167,'Force mapping'!$E$7:$E$167))</f>
        <v>548</v>
      </c>
      <c r="P32" s="196">
        <f t="shared" si="4"/>
        <v>0.63720930232558137</v>
      </c>
      <c r="Q32" s="191">
        <f t="shared" si="5"/>
        <v>81.109827860828602</v>
      </c>
      <c r="R32" s="197">
        <f>IF(ABS(U32)&gt;80, 0, LOOKUP(V32,'Force mapping'!$B$7:$B$167,'Force mapping'!$D$7:$D$167) * (N32/5) * SIGN(U32))</f>
        <v>4.6860731477827091</v>
      </c>
      <c r="S32" s="198">
        <f t="shared" si="6"/>
        <v>272.44611324318078</v>
      </c>
      <c r="T32" s="199">
        <f t="shared" si="14"/>
        <v>28.011012398022874</v>
      </c>
      <c r="U32" s="200">
        <f t="shared" si="15"/>
        <v>41.808979025563779</v>
      </c>
      <c r="V32" s="176">
        <f t="shared" si="7"/>
        <v>42</v>
      </c>
      <c r="Z32" s="88"/>
      <c r="AA32" s="101"/>
      <c r="AC32" s="155"/>
    </row>
    <row r="33" spans="5:30" ht="15.75" customHeight="1" x14ac:dyDescent="0.25">
      <c r="E33" s="186">
        <f t="shared" si="8"/>
        <v>29</v>
      </c>
      <c r="F33" s="187">
        <f t="shared" si="0"/>
        <v>1.4500000000000002</v>
      </c>
      <c r="G33" s="188">
        <f t="shared" si="1"/>
        <v>2.0953488372093028</v>
      </c>
      <c r="H33" s="189">
        <f t="shared" si="2"/>
        <v>308.96585702906589</v>
      </c>
      <c r="I33" s="190">
        <f t="shared" si="9"/>
        <v>1.4181532837634125</v>
      </c>
      <c r="J33" s="191">
        <f t="shared" si="10"/>
        <v>62.761276009010643</v>
      </c>
      <c r="K33" s="192" t="b">
        <f t="shared" si="3"/>
        <v>1</v>
      </c>
      <c r="L33" s="193">
        <f t="shared" si="11"/>
        <v>363.92168659423635</v>
      </c>
      <c r="M33" s="194">
        <f t="shared" si="12"/>
        <v>366.64646569827437</v>
      </c>
      <c r="N33" s="194">
        <f t="shared" si="13"/>
        <v>368.09531609065442</v>
      </c>
      <c r="O33" s="195">
        <f>IF(ABS(U33)&gt;80,$B$7, LOOKUP(V33,'Force mapping'!$B$7:$B$167,'Force mapping'!$E$7:$E$167))</f>
        <v>555</v>
      </c>
      <c r="P33" s="196">
        <f t="shared" si="4"/>
        <v>0.64534883720930247</v>
      </c>
      <c r="Q33" s="191">
        <f t="shared" si="5"/>
        <v>81.169736368708413</v>
      </c>
      <c r="R33" s="197">
        <f>IF(ABS(U33)&gt;80, 0, LOOKUP(V33,'Force mapping'!$B$7:$B$167,'Force mapping'!$D$7:$D$167) * (N33/5) * SIGN(U33))</f>
        <v>7.8639883329607416</v>
      </c>
      <c r="S33" s="198">
        <f t="shared" si="6"/>
        <v>457.20862400934544</v>
      </c>
      <c r="T33" s="199">
        <f t="shared" si="14"/>
        <v>28.024634703685035</v>
      </c>
      <c r="U33" s="200">
        <f t="shared" si="15"/>
        <v>40.401617252831556</v>
      </c>
      <c r="V33" s="176">
        <f t="shared" si="7"/>
        <v>40.5</v>
      </c>
      <c r="Z33" s="88"/>
      <c r="AA33" s="101"/>
      <c r="AC33" s="155"/>
      <c r="AD33" s="217"/>
    </row>
    <row r="34" spans="5:30" ht="15.75" customHeight="1" x14ac:dyDescent="0.25">
      <c r="E34" s="186">
        <f t="shared" si="8"/>
        <v>30</v>
      </c>
      <c r="F34" s="187">
        <f t="shared" si="0"/>
        <v>1.5</v>
      </c>
      <c r="G34" s="188">
        <f t="shared" si="1"/>
        <v>2.1569767441860463</v>
      </c>
      <c r="H34" s="189">
        <f t="shared" si="2"/>
        <v>304.9561041304749</v>
      </c>
      <c r="I34" s="190">
        <f t="shared" si="9"/>
        <v>1.3997485179588798</v>
      </c>
      <c r="J34" s="191">
        <f t="shared" si="10"/>
        <v>61.142817519025016</v>
      </c>
      <c r="K34" s="192" t="b">
        <f t="shared" si="3"/>
        <v>1</v>
      </c>
      <c r="L34" s="193">
        <f t="shared" si="11"/>
        <v>359.26262445240218</v>
      </c>
      <c r="M34" s="194">
        <f t="shared" si="12"/>
        <v>361.99464571337489</v>
      </c>
      <c r="N34" s="194">
        <f t="shared" si="13"/>
        <v>367.98306281701053</v>
      </c>
      <c r="O34" s="195">
        <f>IF(ABS(U34)&gt;80,$B$7, LOOKUP(V34,'Force mapping'!$B$7:$B$167,'Force mapping'!$E$7:$E$167))</f>
        <v>565</v>
      </c>
      <c r="P34" s="196">
        <f t="shared" si="4"/>
        <v>0.65697674418604657</v>
      </c>
      <c r="Q34" s="191">
        <f t="shared" si="5"/>
        <v>81.144983082725403</v>
      </c>
      <c r="R34" s="197">
        <f>IF(ABS(U34)&gt;80, 0, LOOKUP(V34,'Force mapping'!$B$7:$B$167,'Force mapping'!$D$7:$D$167) * (N34/5) * SIGN(U34))</f>
        <v>12.766068415247727</v>
      </c>
      <c r="S34" s="198">
        <f t="shared" si="6"/>
        <v>742.21327995626314</v>
      </c>
      <c r="T34" s="199">
        <f t="shared" si="14"/>
        <v>28.047495134885501</v>
      </c>
      <c r="U34" s="200">
        <f t="shared" si="15"/>
        <v>38.988955302047074</v>
      </c>
      <c r="V34" s="176">
        <f t="shared" si="7"/>
        <v>39</v>
      </c>
      <c r="Z34" s="88"/>
    </row>
    <row r="35" spans="5:30" ht="15.75" customHeight="1" x14ac:dyDescent="0.25">
      <c r="E35" s="186">
        <f t="shared" si="8"/>
        <v>31</v>
      </c>
      <c r="F35" s="187">
        <f t="shared" si="0"/>
        <v>1.55</v>
      </c>
      <c r="G35" s="188">
        <f t="shared" si="1"/>
        <v>2.2279069767441859</v>
      </c>
      <c r="H35" s="189">
        <f t="shared" si="2"/>
        <v>300.94757403442901</v>
      </c>
      <c r="I35" s="190">
        <f t="shared" si="9"/>
        <v>1.3813493648180293</v>
      </c>
      <c r="J35" s="191">
        <f t="shared" si="10"/>
        <v>59.545984429459651</v>
      </c>
      <c r="K35" s="192" t="b">
        <f t="shared" si="3"/>
        <v>1</v>
      </c>
      <c r="L35" s="193">
        <f t="shared" si="11"/>
        <v>354.60012108194758</v>
      </c>
      <c r="M35" s="194">
        <f t="shared" si="12"/>
        <v>357.33609519557569</v>
      </c>
      <c r="N35" s="194">
        <f t="shared" si="13"/>
        <v>367.52730717903472</v>
      </c>
      <c r="O35" s="195">
        <f>IF(ABS(U35)&gt;80,$B$7, LOOKUP(V35,'Force mapping'!$B$7:$B$167,'Force mapping'!$E$7:$E$167))</f>
        <v>583</v>
      </c>
      <c r="P35" s="196">
        <f t="shared" si="4"/>
        <v>0.67790697674418599</v>
      </c>
      <c r="Q35" s="191">
        <f t="shared" si="5"/>
        <v>81.044483121530732</v>
      </c>
      <c r="R35" s="197">
        <f>IF(ABS(U35)&gt;80, 0, LOOKUP(V35,'Force mapping'!$B$7:$B$167,'Force mapping'!$D$7:$D$167) * (N35/5) * SIGN(U35))</f>
        <v>19.773704180846426</v>
      </c>
      <c r="S35" s="198">
        <f t="shared" si="6"/>
        <v>1149.6339640026993</v>
      </c>
      <c r="T35" s="199">
        <f t="shared" si="14"/>
        <v>28.084605798883313</v>
      </c>
      <c r="U35" s="200">
        <f t="shared" si="15"/>
        <v>37.568025213303891</v>
      </c>
      <c r="V35" s="176">
        <f t="shared" si="7"/>
        <v>37.5</v>
      </c>
      <c r="Z35" s="88"/>
    </row>
    <row r="36" spans="5:30" ht="15.75" customHeight="1" x14ac:dyDescent="0.25">
      <c r="E36" s="186">
        <f t="shared" si="8"/>
        <v>32</v>
      </c>
      <c r="F36" s="187">
        <f t="shared" si="0"/>
        <v>1.6</v>
      </c>
      <c r="G36" s="188">
        <f t="shared" si="1"/>
        <v>2.308139534883721</v>
      </c>
      <c r="H36" s="189">
        <f t="shared" si="2"/>
        <v>296.94400859674892</v>
      </c>
      <c r="I36" s="190">
        <f t="shared" si="9"/>
        <v>1.3629729994590776</v>
      </c>
      <c r="J36" s="191">
        <f t="shared" si="10"/>
        <v>57.972218436230172</v>
      </c>
      <c r="K36" s="192" t="b">
        <f t="shared" si="3"/>
        <v>1</v>
      </c>
      <c r="L36" s="193">
        <f t="shared" si="11"/>
        <v>349.93903957491744</v>
      </c>
      <c r="M36" s="194">
        <f t="shared" si="12"/>
        <v>352.67595015456101</v>
      </c>
      <c r="N36" s="194">
        <f t="shared" si="13"/>
        <v>366.77563974286193</v>
      </c>
      <c r="O36" s="195">
        <f>IF(ABS(U36)&gt;80,$B$7, LOOKUP(V36,'Force mapping'!$B$7:$B$167,'Force mapping'!$E$7:$E$167))</f>
        <v>609</v>
      </c>
      <c r="P36" s="196">
        <f t="shared" si="4"/>
        <v>0.70813953488372083</v>
      </c>
      <c r="Q36" s="191">
        <f t="shared" si="5"/>
        <v>80.878730815092624</v>
      </c>
      <c r="R36" s="197">
        <f>IF(ABS(U36)&gt;80, 0, LOOKUP(V36,'Force mapping'!$B$7:$B$167,'Force mapping'!$D$7:$D$167) * (N36/5) * SIGN(U36))</f>
        <v>28.755210155840377</v>
      </c>
      <c r="S36" s="198">
        <f t="shared" si="6"/>
        <v>1671.814543944208</v>
      </c>
      <c r="T36" s="199">
        <f t="shared" si="14"/>
        <v>28.142087497083448</v>
      </c>
      <c r="U36" s="200">
        <f t="shared" si="15"/>
        <v>36.135054074259656</v>
      </c>
      <c r="V36" s="176">
        <f t="shared" si="7"/>
        <v>36</v>
      </c>
      <c r="Z36" s="88"/>
    </row>
    <row r="37" spans="5:30" ht="12.5" x14ac:dyDescent="0.25">
      <c r="E37" s="186">
        <f t="shared" si="8"/>
        <v>33</v>
      </c>
      <c r="F37" s="187">
        <f t="shared" si="0"/>
        <v>1.6500000000000001</v>
      </c>
      <c r="G37" s="188">
        <f t="shared" si="1"/>
        <v>2.4000000000000004</v>
      </c>
      <c r="H37" s="189">
        <f t="shared" si="2"/>
        <v>292.94863125750209</v>
      </c>
      <c r="I37" s="190">
        <f t="shared" si="9"/>
        <v>1.3446342174719346</v>
      </c>
      <c r="J37" s="191">
        <f t="shared" si="10"/>
        <v>56.422682811074246</v>
      </c>
      <c r="K37" s="192" t="b">
        <f t="shared" si="3"/>
        <v>1</v>
      </c>
      <c r="L37" s="193">
        <f t="shared" si="11"/>
        <v>345.28373092645222</v>
      </c>
      <c r="M37" s="194">
        <f t="shared" si="12"/>
        <v>348.01885204085249</v>
      </c>
      <c r="N37" s="194">
        <f t="shared" si="13"/>
        <v>365.78009515780946</v>
      </c>
      <c r="O37" s="195">
        <f>IF(ABS(U37)&gt;80,$B$7, LOOKUP(V37,'Force mapping'!$B$7:$B$167,'Force mapping'!$E$7:$E$167))</f>
        <v>645</v>
      </c>
      <c r="P37" s="196">
        <f t="shared" si="4"/>
        <v>0.75</v>
      </c>
      <c r="Q37" s="191">
        <f t="shared" si="5"/>
        <v>80.659200470696447</v>
      </c>
      <c r="R37" s="197">
        <f>IF(ABS(U37)&gt;80, 0, LOOKUP(V37,'Force mapping'!$B$7:$B$167,'Force mapping'!$D$7:$D$167) * (N37/5) * SIGN(U37))</f>
        <v>39.431094258011854</v>
      </c>
      <c r="S37" s="198">
        <f t="shared" si="6"/>
        <v>2292.5054801169681</v>
      </c>
      <c r="T37" s="199">
        <f t="shared" si="14"/>
        <v>28.22567822428066</v>
      </c>
      <c r="U37" s="200">
        <f t="shared" si="15"/>
        <v>34.686154335806876</v>
      </c>
      <c r="V37" s="176">
        <f t="shared" si="7"/>
        <v>34.5</v>
      </c>
      <c r="Z37" s="88"/>
    </row>
    <row r="38" spans="5:30" ht="12.5" x14ac:dyDescent="0.25">
      <c r="E38" s="186">
        <f t="shared" si="8"/>
        <v>34</v>
      </c>
      <c r="F38" s="187">
        <f t="shared" si="0"/>
        <v>1.7000000000000002</v>
      </c>
      <c r="G38" s="188">
        <f t="shared" si="1"/>
        <v>2.5011627906976748</v>
      </c>
      <c r="H38" s="189">
        <f t="shared" si="2"/>
        <v>288.96409863051065</v>
      </c>
      <c r="I38" s="190">
        <f t="shared" si="9"/>
        <v>1.326345212714044</v>
      </c>
      <c r="J38" s="191">
        <f t="shared" si="10"/>
        <v>54.898257920672911</v>
      </c>
      <c r="K38" s="192" t="b">
        <f t="shared" si="3"/>
        <v>1</v>
      </c>
      <c r="L38" s="193">
        <f t="shared" si="11"/>
        <v>340.63794332267685</v>
      </c>
      <c r="M38" s="194">
        <f t="shared" si="12"/>
        <v>343.36887954840182</v>
      </c>
      <c r="N38" s="194">
        <f t="shared" si="13"/>
        <v>364.59601228334566</v>
      </c>
      <c r="O38" s="195">
        <f>IF(ABS(U38)&gt;80,$B$7, LOOKUP(V38,'Force mapping'!$B$7:$B$167,'Force mapping'!$E$7:$E$167))</f>
        <v>689</v>
      </c>
      <c r="P38" s="196">
        <f t="shared" si="4"/>
        <v>0.80116279069767449</v>
      </c>
      <c r="Q38" s="191">
        <f t="shared" si="5"/>
        <v>80.398095016327503</v>
      </c>
      <c r="R38" s="197">
        <f>IF(ABS(U38)&gt;80, 0, LOOKUP(V38,'Force mapping'!$B$7:$B$167,'Force mapping'!$D$7:$D$167) * (N38/5) * SIGN(U38))</f>
        <v>51.165945979795588</v>
      </c>
      <c r="S38" s="198">
        <f t="shared" si="6"/>
        <v>2974.7643011509062</v>
      </c>
      <c r="T38" s="199">
        <f t="shared" si="14"/>
        <v>28.340303498286509</v>
      </c>
      <c r="U38" s="200">
        <f t="shared" si="15"/>
        <v>33.217557787589918</v>
      </c>
      <c r="V38" s="176">
        <f t="shared" si="7"/>
        <v>33</v>
      </c>
      <c r="Z38" s="88"/>
    </row>
    <row r="39" spans="5:30" ht="12.5" x14ac:dyDescent="0.25">
      <c r="E39" s="186">
        <f t="shared" si="8"/>
        <v>35</v>
      </c>
      <c r="F39" s="187">
        <f t="shared" si="0"/>
        <v>1.75</v>
      </c>
      <c r="G39" s="188">
        <f t="shared" si="1"/>
        <v>2.6168604651162788</v>
      </c>
      <c r="H39" s="189">
        <f t="shared" si="2"/>
        <v>284.99246450977705</v>
      </c>
      <c r="I39" s="190">
        <f t="shared" si="9"/>
        <v>1.3081154120998768</v>
      </c>
      <c r="J39" s="191">
        <f t="shared" si="10"/>
        <v>53.399542950267289</v>
      </c>
      <c r="K39" s="192" t="b">
        <f t="shared" si="3"/>
        <v>1</v>
      </c>
      <c r="L39" s="193">
        <f t="shared" si="11"/>
        <v>336.00476584943101</v>
      </c>
      <c r="M39" s="194">
        <f t="shared" si="12"/>
        <v>338.72948791805021</v>
      </c>
      <c r="N39" s="194">
        <f t="shared" si="13"/>
        <v>363.27124202557701</v>
      </c>
      <c r="O39" s="195">
        <f>IF(ABS(U39)&gt;80,$B$7, LOOKUP(V39,'Force mapping'!$B$7:$B$167,'Force mapping'!$E$7:$E$167))</f>
        <v>745.5</v>
      </c>
      <c r="P39" s="196">
        <f t="shared" si="4"/>
        <v>0.86686046511627901</v>
      </c>
      <c r="Q39" s="191">
        <f t="shared" si="5"/>
        <v>80.105966190255444</v>
      </c>
      <c r="R39" s="197">
        <f>IF(ABS(U39)&gt;80, 0, LOOKUP(V39,'Force mapping'!$B$7:$B$167,'Force mapping'!$D$7:$D$167) * (N39/5) * SIGN(U39))</f>
        <v>62.835026733164042</v>
      </c>
      <c r="S39" s="198">
        <f t="shared" si="6"/>
        <v>3653.199228672328</v>
      </c>
      <c r="T39" s="199">
        <f t="shared" si="14"/>
        <v>28.489041713344054</v>
      </c>
      <c r="U39" s="200">
        <f t="shared" si="15"/>
        <v>31.726173505146821</v>
      </c>
      <c r="V39" s="176">
        <f t="shared" si="7"/>
        <v>31.5</v>
      </c>
      <c r="Z39" s="88"/>
    </row>
    <row r="40" spans="5:30" ht="12.5" x14ac:dyDescent="0.25">
      <c r="E40" s="186">
        <f t="shared" si="8"/>
        <v>36</v>
      </c>
      <c r="F40" s="187">
        <f t="shared" si="0"/>
        <v>1.8</v>
      </c>
      <c r="G40" s="188">
        <f t="shared" si="1"/>
        <v>2.7372093023255815</v>
      </c>
      <c r="H40" s="189">
        <f t="shared" si="2"/>
        <v>281.03526143760303</v>
      </c>
      <c r="I40" s="190">
        <f t="shared" si="9"/>
        <v>1.289951849998598</v>
      </c>
      <c r="J40" s="191">
        <f t="shared" si="10"/>
        <v>51.926902150757314</v>
      </c>
      <c r="K40" s="192" t="b">
        <f t="shared" si="3"/>
        <v>1</v>
      </c>
      <c r="L40" s="193">
        <f t="shared" si="11"/>
        <v>331.38658663927566</v>
      </c>
      <c r="M40" s="194">
        <f t="shared" si="12"/>
        <v>334.10346011242223</v>
      </c>
      <c r="N40" s="194">
        <f t="shared" si="13"/>
        <v>361.85568813339239</v>
      </c>
      <c r="O40" s="195">
        <f>IF(ABS(U40)&gt;80,$B$7, LOOKUP(V40,'Force mapping'!$B$7:$B$167,'Force mapping'!$E$7:$E$167))</f>
        <v>806</v>
      </c>
      <c r="P40" s="196">
        <f t="shared" si="4"/>
        <v>0.93720930232558142</v>
      </c>
      <c r="Q40" s="191">
        <f t="shared" si="5"/>
        <v>79.793818408901913</v>
      </c>
      <c r="R40" s="197">
        <f>IF(ABS(U40)&gt;80, 0, LOOKUP(V40,'Force mapping'!$B$7:$B$167,'Force mapping'!$D$7:$D$167) * (N40/5) * SIGN(U40))</f>
        <v>74.469900617852147</v>
      </c>
      <c r="S40" s="198">
        <f t="shared" si="6"/>
        <v>4329.6453847588455</v>
      </c>
      <c r="T40" s="199">
        <f t="shared" si="14"/>
        <v>28.671701674777673</v>
      </c>
      <c r="U40" s="200">
        <f t="shared" si="15"/>
        <v>30.210391438762809</v>
      </c>
      <c r="V40" s="176">
        <f t="shared" si="7"/>
        <v>30</v>
      </c>
      <c r="Z40" s="88"/>
    </row>
    <row r="41" spans="5:30" ht="12.5" x14ac:dyDescent="0.25">
      <c r="E41" s="186">
        <f t="shared" si="8"/>
        <v>37</v>
      </c>
      <c r="F41" s="187">
        <f t="shared" si="0"/>
        <v>1.85</v>
      </c>
      <c r="G41" s="188">
        <f t="shared" si="1"/>
        <v>2.8726744186046513</v>
      </c>
      <c r="H41" s="189">
        <f t="shared" si="2"/>
        <v>277.09347834246802</v>
      </c>
      <c r="I41" s="190">
        <f t="shared" si="9"/>
        <v>1.2718590655919284</v>
      </c>
      <c r="J41" s="191">
        <f t="shared" si="10"/>
        <v>50.480470571944636</v>
      </c>
      <c r="K41" s="192" t="b">
        <f t="shared" si="3"/>
        <v>1</v>
      </c>
      <c r="L41" s="193">
        <f t="shared" si="11"/>
        <v>326.78518771814305</v>
      </c>
      <c r="M41" s="194">
        <f t="shared" si="12"/>
        <v>329.49294850402634</v>
      </c>
      <c r="N41" s="194">
        <f t="shared" si="13"/>
        <v>360.37511021167808</v>
      </c>
      <c r="O41" s="195">
        <f>IF(ABS(U41)&gt;80,$B$7, LOOKUP(V41,'Force mapping'!$B$7:$B$167,'Force mapping'!$E$7:$E$167))</f>
        <v>879.5</v>
      </c>
      <c r="P41" s="196">
        <f t="shared" si="4"/>
        <v>1.022674418604651</v>
      </c>
      <c r="Q41" s="191">
        <f t="shared" si="5"/>
        <v>79.467331995395668</v>
      </c>
      <c r="R41" s="197">
        <f>IF(ABS(U41)&gt;80, 0, LOOKUP(V41,'Force mapping'!$B$7:$B$167,'Force mapping'!$D$7:$D$167) * (N41/5) * SIGN(U41))</f>
        <v>86.843914809030608</v>
      </c>
      <c r="S41" s="198">
        <f t="shared" si="6"/>
        <v>5049.0648144785237</v>
      </c>
      <c r="T41" s="199">
        <f t="shared" si="14"/>
        <v>28.888183944015616</v>
      </c>
      <c r="U41" s="200">
        <f t="shared" si="15"/>
        <v>28.668565220404954</v>
      </c>
      <c r="V41" s="176">
        <f t="shared" si="7"/>
        <v>28.5</v>
      </c>
      <c r="Z41" s="88"/>
    </row>
    <row r="42" spans="5:30" ht="12.5" x14ac:dyDescent="0.25">
      <c r="E42" s="186">
        <f t="shared" si="8"/>
        <v>38</v>
      </c>
      <c r="F42" s="187">
        <f t="shared" si="0"/>
        <v>1.9000000000000001</v>
      </c>
      <c r="G42" s="188">
        <f t="shared" si="1"/>
        <v>3.0162790697674424</v>
      </c>
      <c r="H42" s="189">
        <f t="shared" si="2"/>
        <v>273.16782354713382</v>
      </c>
      <c r="I42" s="190">
        <f t="shared" si="9"/>
        <v>1.2538403100813444</v>
      </c>
      <c r="J42" s="191">
        <f t="shared" si="10"/>
        <v>49.060262867506935</v>
      </c>
      <c r="K42" s="192" t="b">
        <f t="shared" si="3"/>
        <v>1</v>
      </c>
      <c r="L42" s="193">
        <f t="shared" si="11"/>
        <v>322.20171900286977</v>
      </c>
      <c r="M42" s="194">
        <f t="shared" si="12"/>
        <v>324.8994739182977</v>
      </c>
      <c r="N42" s="194">
        <f t="shared" si="13"/>
        <v>358.86523760971215</v>
      </c>
      <c r="O42" s="195">
        <f>IF(ABS(U42)&gt;80,$B$7, LOOKUP(V42,'Force mapping'!$B$7:$B$167,'Force mapping'!$E$7:$E$167))</f>
        <v>960</v>
      </c>
      <c r="P42" s="196">
        <f t="shared" si="4"/>
        <v>1.1162790697674421</v>
      </c>
      <c r="Q42" s="191">
        <f t="shared" si="5"/>
        <v>79.134385729321139</v>
      </c>
      <c r="R42" s="197">
        <f>IF(ABS(U42)&gt;80, 0, LOOKUP(V42,'Force mapping'!$B$7:$B$167,'Force mapping'!$D$7:$D$167) * (N42/5) * SIGN(U42))</f>
        <v>98.82430913296254</v>
      </c>
      <c r="S42" s="198">
        <f t="shared" si="6"/>
        <v>5745.5993681954969</v>
      </c>
      <c r="T42" s="199">
        <f t="shared" si="14"/>
        <v>29.140637184739543</v>
      </c>
      <c r="U42" s="200">
        <f t="shared" si="15"/>
        <v>27.097929402842208</v>
      </c>
      <c r="V42" s="176">
        <f t="shared" si="7"/>
        <v>27</v>
      </c>
      <c r="Z42" s="88"/>
    </row>
    <row r="43" spans="5:30" ht="12.5" x14ac:dyDescent="0.25">
      <c r="E43" s="186">
        <f t="shared" si="8"/>
        <v>39</v>
      </c>
      <c r="F43" s="187">
        <f t="shared" si="0"/>
        <v>1.9500000000000002</v>
      </c>
      <c r="G43" s="188">
        <f t="shared" si="1"/>
        <v>3.1633720930232561</v>
      </c>
      <c r="H43" s="189">
        <f t="shared" si="2"/>
        <v>269.25861616576447</v>
      </c>
      <c r="I43" s="190">
        <f t="shared" si="9"/>
        <v>1.2358970482008589</v>
      </c>
      <c r="J43" s="191">
        <f t="shared" si="10"/>
        <v>47.666142261342856</v>
      </c>
      <c r="K43" s="192" t="b">
        <f t="shared" si="3"/>
        <v>1</v>
      </c>
      <c r="L43" s="193">
        <f t="shared" si="11"/>
        <v>317.63700412457422</v>
      </c>
      <c r="M43" s="194">
        <f t="shared" si="12"/>
        <v>320.32411794825191</v>
      </c>
      <c r="N43" s="194">
        <f t="shared" si="13"/>
        <v>357.34385444436754</v>
      </c>
      <c r="O43" s="195">
        <f>IF(ABS(U43)&gt;80,$B$7, LOOKUP(V43,'Force mapping'!$B$7:$B$167,'Force mapping'!$E$7:$E$167))</f>
        <v>1043.5</v>
      </c>
      <c r="P43" s="196">
        <f t="shared" si="4"/>
        <v>1.2133720930232559</v>
      </c>
      <c r="Q43" s="191">
        <f t="shared" si="5"/>
        <v>78.798901236450277</v>
      </c>
      <c r="R43" s="197">
        <f>IF(ABS(U43)&gt;80, 0, LOOKUP(V43,'Force mapping'!$B$7:$B$167,'Force mapping'!$D$7:$D$167) * (N43/5) * SIGN(U43))</f>
        <v>109.43655542358756</v>
      </c>
      <c r="S43" s="198">
        <f t="shared" si="6"/>
        <v>6362.5904316039278</v>
      </c>
      <c r="T43" s="199">
        <f t="shared" si="14"/>
        <v>29.427917153149316</v>
      </c>
      <c r="U43" s="200">
        <f t="shared" si="15"/>
        <v>25.497257559400346</v>
      </c>
      <c r="V43" s="176">
        <f t="shared" si="7"/>
        <v>25.5</v>
      </c>
      <c r="Z43" s="88"/>
    </row>
    <row r="44" spans="5:30" ht="12.5" x14ac:dyDescent="0.25">
      <c r="E44" s="186">
        <f t="shared" si="8"/>
        <v>40</v>
      </c>
      <c r="F44" s="187">
        <f t="shared" si="0"/>
        <v>2</v>
      </c>
      <c r="G44" s="188">
        <f t="shared" si="1"/>
        <v>3.3232558139534882</v>
      </c>
      <c r="H44" s="189">
        <f t="shared" si="2"/>
        <v>265.36598158576044</v>
      </c>
      <c r="I44" s="190">
        <f t="shared" si="9"/>
        <v>1.2180298554786404</v>
      </c>
      <c r="J44" s="191">
        <f t="shared" si="10"/>
        <v>46.29789887112041</v>
      </c>
      <c r="K44" s="192" t="b">
        <f t="shared" si="3"/>
        <v>1</v>
      </c>
      <c r="L44" s="193">
        <f t="shared" si="11"/>
        <v>313.09141414623775</v>
      </c>
      <c r="M44" s="194">
        <f t="shared" si="12"/>
        <v>315.76751455298302</v>
      </c>
      <c r="N44" s="194">
        <f t="shared" si="13"/>
        <v>355.81836458396219</v>
      </c>
      <c r="O44" s="195">
        <f>IF(ABS(U44)&gt;80,$B$7, LOOKUP(V44,'Force mapping'!$B$7:$B$167,'Force mapping'!$E$7:$E$167))</f>
        <v>1138</v>
      </c>
      <c r="P44" s="196">
        <f t="shared" si="4"/>
        <v>1.3232558139534882</v>
      </c>
      <c r="Q44" s="191">
        <f t="shared" si="5"/>
        <v>78.462511164668584</v>
      </c>
      <c r="R44" s="197">
        <f>IF(ABS(U44)&gt;80, 0, LOOKUP(V44,'Force mapping'!$B$7:$B$167,'Force mapping'!$D$7:$D$167) * (N44/5) * SIGN(U44))</f>
        <v>120.44166986475452</v>
      </c>
      <c r="S44" s="198">
        <f t="shared" si="6"/>
        <v>7002.4226665554952</v>
      </c>
      <c r="T44" s="199">
        <f t="shared" si="14"/>
        <v>29.746046674729513</v>
      </c>
      <c r="U44" s="200">
        <f t="shared" si="15"/>
        <v>23.866796940952781</v>
      </c>
      <c r="V44" s="176">
        <f t="shared" si="7"/>
        <v>24</v>
      </c>
      <c r="Z44" s="88"/>
    </row>
    <row r="45" spans="5:30" ht="12.5" x14ac:dyDescent="0.25">
      <c r="E45" s="186">
        <f t="shared" si="8"/>
        <v>41</v>
      </c>
      <c r="F45" s="187">
        <f t="shared" si="0"/>
        <v>2.0500000000000003</v>
      </c>
      <c r="G45" s="188">
        <f t="shared" si="1"/>
        <v>3.5220930232558141</v>
      </c>
      <c r="H45" s="189">
        <f t="shared" si="2"/>
        <v>261.48996454236209</v>
      </c>
      <c r="I45" s="190">
        <f t="shared" si="9"/>
        <v>1.2002389372494422</v>
      </c>
      <c r="J45" s="191">
        <f t="shared" si="10"/>
        <v>44.955293593928857</v>
      </c>
      <c r="K45" s="192" t="b">
        <f t="shared" si="3"/>
        <v>1</v>
      </c>
      <c r="L45" s="193">
        <f t="shared" si="11"/>
        <v>308.56509486716328</v>
      </c>
      <c r="M45" s="194">
        <f t="shared" si="12"/>
        <v>311.22999015091659</v>
      </c>
      <c r="N45" s="194">
        <f t="shared" si="13"/>
        <v>354.30501963551569</v>
      </c>
      <c r="O45" s="195">
        <f>IF(ABS(U45)&gt;80,$B$7, LOOKUP(V45,'Force mapping'!$B$7:$B$167,'Force mapping'!$E$7:$E$167))</f>
        <v>1266</v>
      </c>
      <c r="P45" s="196">
        <f t="shared" si="4"/>
        <v>1.472093023255814</v>
      </c>
      <c r="Q45" s="191">
        <f t="shared" si="5"/>
        <v>78.128799201677822</v>
      </c>
      <c r="R45" s="197">
        <f>IF(ABS(U45)&gt;80, 0, LOOKUP(V45,'Force mapping'!$B$7:$B$167,'Force mapping'!$D$7:$D$167) * (N45/5) * SIGN(U45))</f>
        <v>132.91540228614591</v>
      </c>
      <c r="S45" s="198">
        <f t="shared" si="6"/>
        <v>7727.6396677991806</v>
      </c>
      <c r="T45" s="199">
        <f t="shared" si="14"/>
        <v>30.096167808057288</v>
      </c>
      <c r="U45" s="200">
        <f t="shared" si="15"/>
        <v>22.204434040552417</v>
      </c>
      <c r="V45" s="176">
        <f t="shared" si="7"/>
        <v>22</v>
      </c>
      <c r="Z45" s="88"/>
    </row>
    <row r="46" spans="5:30" ht="12.5" x14ac:dyDescent="0.25">
      <c r="E46" s="186">
        <f t="shared" si="8"/>
        <v>42</v>
      </c>
      <c r="F46" s="187">
        <f t="shared" si="0"/>
        <v>2.1</v>
      </c>
      <c r="G46" s="188">
        <f t="shared" si="1"/>
        <v>3.6994186046511626</v>
      </c>
      <c r="H46" s="189">
        <f t="shared" si="2"/>
        <v>257.63043273805368</v>
      </c>
      <c r="I46" s="190">
        <f t="shared" si="9"/>
        <v>1.1825236862676665</v>
      </c>
      <c r="J46" s="191">
        <f t="shared" si="10"/>
        <v>43.638027529780935</v>
      </c>
      <c r="K46" s="192" t="b">
        <f t="shared" si="3"/>
        <v>1</v>
      </c>
      <c r="L46" s="193">
        <f t="shared" si="11"/>
        <v>304.05809830507218</v>
      </c>
      <c r="M46" s="194">
        <f t="shared" si="12"/>
        <v>306.7116982880346</v>
      </c>
      <c r="N46" s="194">
        <f t="shared" si="13"/>
        <v>352.84196571147322</v>
      </c>
      <c r="O46" s="195">
        <f>IF(ABS(U46)&gt;80,$B$7, LOOKUP(V46,'Force mapping'!$B$7:$B$167,'Force mapping'!$E$7:$E$167))</f>
        <v>1375.5</v>
      </c>
      <c r="P46" s="196">
        <f t="shared" si="4"/>
        <v>1.5994186046511627</v>
      </c>
      <c r="Q46" s="191">
        <f t="shared" si="5"/>
        <v>77.806177054324863</v>
      </c>
      <c r="R46" s="197">
        <f>IF(ABS(U46)&gt;80, 0, LOOKUP(V46,'Force mapping'!$B$7:$B$167,'Force mapping'!$D$7:$D$167) * (N46/5) * SIGN(U46))</f>
        <v>141.14948859535488</v>
      </c>
      <c r="S46" s="198">
        <f t="shared" si="6"/>
        <v>8206.365616009005</v>
      </c>
      <c r="T46" s="199">
        <f t="shared" si="14"/>
        <v>30.482549791447248</v>
      </c>
      <c r="U46" s="200">
        <f t="shared" si="15"/>
        <v>20.506434658454573</v>
      </c>
      <c r="V46" s="176">
        <f t="shared" si="7"/>
        <v>20.5</v>
      </c>
      <c r="Z46" s="88"/>
    </row>
    <row r="47" spans="5:30" ht="12.5" x14ac:dyDescent="0.25">
      <c r="E47" s="186">
        <f t="shared" si="8"/>
        <v>43</v>
      </c>
      <c r="F47" s="187">
        <f t="shared" si="0"/>
        <v>2.15</v>
      </c>
      <c r="G47" s="188">
        <f t="shared" si="1"/>
        <v>3.8779069767441858</v>
      </c>
      <c r="H47" s="189">
        <f t="shared" si="2"/>
        <v>253.78683834032523</v>
      </c>
      <c r="I47" s="190">
        <f t="shared" si="9"/>
        <v>1.1648815879820928</v>
      </c>
      <c r="J47" s="191">
        <f t="shared" si="10"/>
        <v>42.345666873621553</v>
      </c>
      <c r="K47" s="192" t="b">
        <f t="shared" si="3"/>
        <v>1</v>
      </c>
      <c r="L47" s="193">
        <f t="shared" si="11"/>
        <v>299.57027062564384</v>
      </c>
      <c r="M47" s="194">
        <f t="shared" si="12"/>
        <v>302.21259886072841</v>
      </c>
      <c r="N47" s="194">
        <f t="shared" si="13"/>
        <v>351.39987083745808</v>
      </c>
      <c r="O47" s="195">
        <f>IF(ABS(U47)&gt;80,$B$7, LOOKUP(V47,'Force mapping'!$B$7:$B$167,'Force mapping'!$E$7:$E$167))</f>
        <v>1486</v>
      </c>
      <c r="P47" s="196">
        <f t="shared" si="4"/>
        <v>1.7279069767441859</v>
      </c>
      <c r="Q47" s="191">
        <f t="shared" si="5"/>
        <v>77.4881766462087</v>
      </c>
      <c r="R47" s="197">
        <f>IF(ABS(U47)&gt;80, 0, LOOKUP(V47,'Force mapping'!$B$7:$B$167,'Force mapping'!$D$7:$D$167) * (N47/5) * SIGN(U47))</f>
        <v>147.59778494811584</v>
      </c>
      <c r="S47" s="198">
        <f t="shared" si="6"/>
        <v>8581.2665667509209</v>
      </c>
      <c r="T47" s="199">
        <f t="shared" si="14"/>
        <v>30.892868072247698</v>
      </c>
      <c r="U47" s="200">
        <f t="shared" si="15"/>
        <v>18.777148028481985</v>
      </c>
      <c r="V47" s="176">
        <f t="shared" si="7"/>
        <v>19</v>
      </c>
      <c r="Z47" s="88"/>
    </row>
    <row r="48" spans="5:30" ht="12.5" x14ac:dyDescent="0.25">
      <c r="E48" s="186">
        <f t="shared" si="8"/>
        <v>44</v>
      </c>
      <c r="F48" s="187">
        <f t="shared" si="0"/>
        <v>2.2000000000000002</v>
      </c>
      <c r="G48" s="188">
        <f t="shared" si="1"/>
        <v>4.090697674418605</v>
      </c>
      <c r="H48" s="189">
        <f t="shared" si="2"/>
        <v>249.95895303708494</v>
      </c>
      <c r="I48" s="190">
        <f t="shared" si="9"/>
        <v>1.1473115944402199</v>
      </c>
      <c r="J48" s="191">
        <f t="shared" si="10"/>
        <v>41.077894939773593</v>
      </c>
      <c r="K48" s="192" t="b">
        <f t="shared" si="3"/>
        <v>1</v>
      </c>
      <c r="L48" s="193">
        <f t="shared" si="11"/>
        <v>295.10097481433166</v>
      </c>
      <c r="M48" s="194">
        <f t="shared" si="12"/>
        <v>297.73227571149846</v>
      </c>
      <c r="N48" s="194">
        <f t="shared" si="13"/>
        <v>349.9765513926402</v>
      </c>
      <c r="O48" s="195">
        <f>IF(ABS(U48)&gt;80,$B$7, LOOKUP(V48,'Force mapping'!$B$7:$B$167,'Force mapping'!$E$7:$E$167))</f>
        <v>1626</v>
      </c>
      <c r="P48" s="196">
        <f t="shared" si="4"/>
        <v>1.8906976744186048</v>
      </c>
      <c r="Q48" s="191">
        <f t="shared" si="5"/>
        <v>77.174316460941171</v>
      </c>
      <c r="R48" s="197">
        <f>IF(ABS(U48)&gt;80, 0, LOOKUP(V48,'Force mapping'!$B$7:$B$167,'Force mapping'!$D$7:$D$167) * (N48/5) * SIGN(U48))</f>
        <v>152.48758325418447</v>
      </c>
      <c r="S48" s="198">
        <f t="shared" si="6"/>
        <v>8865.5571659409579</v>
      </c>
      <c r="T48" s="199">
        <f t="shared" si="14"/>
        <v>31.321931400585242</v>
      </c>
      <c r="U48" s="200">
        <f t="shared" si="15"/>
        <v>17.017972960700828</v>
      </c>
      <c r="V48" s="176">
        <f t="shared" si="7"/>
        <v>17</v>
      </c>
      <c r="Z48" s="88"/>
    </row>
    <row r="49" spans="5:26" ht="12.5" x14ac:dyDescent="0.25">
      <c r="E49" s="186">
        <f t="shared" si="8"/>
        <v>45</v>
      </c>
      <c r="F49" s="187">
        <f t="shared" si="0"/>
        <v>2.25</v>
      </c>
      <c r="G49" s="188">
        <f t="shared" si="1"/>
        <v>2.8730000000000002</v>
      </c>
      <c r="H49" s="189">
        <f t="shared" si="2"/>
        <v>246.14657230296032</v>
      </c>
      <c r="I49" s="190">
        <f t="shared" si="9"/>
        <v>1.129812766870588</v>
      </c>
      <c r="J49" s="191">
        <f t="shared" si="10"/>
        <v>39.834408321167963</v>
      </c>
      <c r="K49" s="192" t="b">
        <f t="shared" si="3"/>
        <v>0</v>
      </c>
      <c r="L49" s="193">
        <f t="shared" si="11"/>
        <v>0</v>
      </c>
      <c r="M49" s="194">
        <f t="shared" si="12"/>
        <v>110.16094201325444</v>
      </c>
      <c r="N49" s="194">
        <f t="shared" si="13"/>
        <v>348.59493770611556</v>
      </c>
      <c r="O49" s="195">
        <f>IF(ABS(U49)&gt;80,$B$7, LOOKUP(V49,'Force mapping'!$B$7:$B$167,'Force mapping'!$E$7:$E$167))</f>
        <v>1773</v>
      </c>
      <c r="P49" s="196">
        <f t="shared" si="4"/>
        <v>0.623</v>
      </c>
      <c r="Q49" s="191">
        <f t="shared" si="5"/>
        <v>76.869652930066508</v>
      </c>
      <c r="R49" s="197">
        <f>IF(ABS(U49)&gt;80, 0, LOOKUP(V49,'Force mapping'!$B$7:$B$167,'Force mapping'!$D$7:$D$167) * (N49/5) * SIGN(U49))</f>
        <v>150.31413713887704</v>
      </c>
      <c r="S49" s="198">
        <f t="shared" si="6"/>
        <v>8739.194019702154</v>
      </c>
      <c r="T49" s="199">
        <f t="shared" si="14"/>
        <v>31.76520925888229</v>
      </c>
      <c r="U49" s="200">
        <f t="shared" si="15"/>
        <v>15.230237461523041</v>
      </c>
      <c r="V49" s="176">
        <f t="shared" si="7"/>
        <v>15</v>
      </c>
      <c r="Z49" s="88"/>
    </row>
    <row r="50" spans="5:26" ht="12.5" x14ac:dyDescent="0.25">
      <c r="E50" s="186">
        <f t="shared" si="8"/>
        <v>46</v>
      </c>
      <c r="F50" s="187">
        <f t="shared" si="0"/>
        <v>2.3000000000000003</v>
      </c>
      <c r="G50" s="188">
        <f t="shared" si="1"/>
        <v>2.923</v>
      </c>
      <c r="H50" s="189">
        <f t="shared" si="2"/>
        <v>246.14657230296032</v>
      </c>
      <c r="I50" s="190">
        <f t="shared" si="9"/>
        <v>1.129812766870588</v>
      </c>
      <c r="J50" s="191">
        <f t="shared" si="10"/>
        <v>39.834408321167963</v>
      </c>
      <c r="K50" s="192" t="b">
        <f t="shared" si="3"/>
        <v>0</v>
      </c>
      <c r="L50" s="193">
        <f t="shared" si="11"/>
        <v>0</v>
      </c>
      <c r="M50" s="194">
        <f t="shared" si="12"/>
        <v>40.759548544904149</v>
      </c>
      <c r="N50" s="194">
        <f t="shared" si="13"/>
        <v>329.45898299561304</v>
      </c>
      <c r="O50" s="195">
        <f>IF(ABS(U50)&gt;80,$B$7, LOOKUP(V50,'Force mapping'!$B$7:$B$167,'Force mapping'!$E$7:$E$167))</f>
        <v>1870.5</v>
      </c>
      <c r="P50" s="196">
        <f t="shared" si="4"/>
        <v>0.623</v>
      </c>
      <c r="Q50" s="191">
        <f t="shared" si="5"/>
        <v>72.649929583648003</v>
      </c>
      <c r="R50" s="197">
        <f>IF(ABS(U50)&gt;80, 0, LOOKUP(V50,'Force mapping'!$B$7:$B$167,'Force mapping'!$D$7:$D$167) * (N50/5) * SIGN(U50))</f>
        <v>138.7694414736842</v>
      </c>
      <c r="S50" s="198">
        <f t="shared" si="6"/>
        <v>8067.9907833537327</v>
      </c>
      <c r="T50" s="199">
        <f t="shared" si="14"/>
        <v>32.2021689598674</v>
      </c>
      <c r="U50" s="200">
        <f t="shared" si="15"/>
        <v>13.423497148086371</v>
      </c>
      <c r="V50" s="176">
        <f t="shared" si="7"/>
        <v>13.5</v>
      </c>
      <c r="Z50" s="88"/>
    </row>
    <row r="51" spans="5:26" ht="12.5" x14ac:dyDescent="0.25">
      <c r="E51" s="186">
        <f t="shared" si="8"/>
        <v>47</v>
      </c>
      <c r="F51" s="187">
        <f t="shared" si="0"/>
        <v>2.35</v>
      </c>
      <c r="G51" s="188">
        <f t="shared" si="1"/>
        <v>2.9729999999999999</v>
      </c>
      <c r="H51" s="189">
        <f t="shared" si="2"/>
        <v>246.14657230296032</v>
      </c>
      <c r="I51" s="190">
        <f t="shared" si="9"/>
        <v>1.129812766870588</v>
      </c>
      <c r="J51" s="191">
        <f t="shared" si="10"/>
        <v>39.834408321167963</v>
      </c>
      <c r="K51" s="192" t="b">
        <f t="shared" si="3"/>
        <v>0</v>
      </c>
      <c r="L51" s="193">
        <f t="shared" si="11"/>
        <v>0</v>
      </c>
      <c r="M51" s="194">
        <f t="shared" si="12"/>
        <v>15.081032961614536</v>
      </c>
      <c r="N51" s="194">
        <f t="shared" si="13"/>
        <v>306.28888392252242</v>
      </c>
      <c r="O51" s="195">
        <f>IF(ABS(U51)&gt;80,$B$7, LOOKUP(V51,'Force mapping'!$B$7:$B$167,'Force mapping'!$E$7:$E$167))</f>
        <v>1978.5</v>
      </c>
      <c r="P51" s="196">
        <f t="shared" si="4"/>
        <v>0.623</v>
      </c>
      <c r="Q51" s="191">
        <f t="shared" si="5"/>
        <v>67.540625685479299</v>
      </c>
      <c r="R51" s="197">
        <f>IF(ABS(U51)&gt;80, 0, LOOKUP(V51,'Force mapping'!$B$7:$B$167,'Force mapping'!$D$7:$D$167) * (N51/5) * SIGN(U51))</f>
        <v>117.48383978392977</v>
      </c>
      <c r="S51" s="198">
        <f t="shared" si="6"/>
        <v>6830.4558013912656</v>
      </c>
      <c r="T51" s="199">
        <f t="shared" si="14"/>
        <v>32.605568499035087</v>
      </c>
      <c r="U51" s="200">
        <f t="shared" si="15"/>
        <v>11.611688930509157</v>
      </c>
      <c r="V51" s="176">
        <f t="shared" si="7"/>
        <v>11.5</v>
      </c>
      <c r="Z51" s="88"/>
    </row>
    <row r="52" spans="5:26" ht="12.5" x14ac:dyDescent="0.25">
      <c r="E52" s="186">
        <f t="shared" si="8"/>
        <v>48</v>
      </c>
      <c r="F52" s="187">
        <f t="shared" si="0"/>
        <v>2.4000000000000004</v>
      </c>
      <c r="G52" s="188">
        <f t="shared" si="1"/>
        <v>3.0230000000000006</v>
      </c>
      <c r="H52" s="189">
        <f t="shared" si="2"/>
        <v>246.14657230296032</v>
      </c>
      <c r="I52" s="190">
        <f t="shared" si="9"/>
        <v>1.129812766870588</v>
      </c>
      <c r="J52" s="191">
        <f t="shared" si="10"/>
        <v>39.834408321167963</v>
      </c>
      <c r="K52" s="192" t="b">
        <f t="shared" si="3"/>
        <v>0</v>
      </c>
      <c r="L52" s="193">
        <f t="shared" si="11"/>
        <v>0</v>
      </c>
      <c r="M52" s="194">
        <f t="shared" si="12"/>
        <v>5.5799821957973776</v>
      </c>
      <c r="N52" s="194">
        <f t="shared" si="13"/>
        <v>282.91746731249771</v>
      </c>
      <c r="O52" s="195">
        <f>IF(ABS(U52)&gt;80,$B$7, LOOKUP(V52,'Force mapping'!$B$7:$B$167,'Force mapping'!$E$7:$E$167))</f>
        <v>2040</v>
      </c>
      <c r="P52" s="196">
        <f t="shared" si="4"/>
        <v>0.623</v>
      </c>
      <c r="Q52" s="191">
        <f t="shared" si="5"/>
        <v>62.386928689422575</v>
      </c>
      <c r="R52" s="197">
        <f>IF(ABS(U52)&gt;80, 0, LOOKUP(V52,'Force mapping'!$B$7:$B$167,'Force mapping'!$D$7:$D$167) * (N52/5) * SIGN(U52))</f>
        <v>96.763432170220455</v>
      </c>
      <c r="S52" s="198">
        <f t="shared" si="6"/>
        <v>5625.7809401290961</v>
      </c>
      <c r="T52" s="199">
        <f t="shared" si="14"/>
        <v>32.947091289104648</v>
      </c>
      <c r="U52" s="200">
        <f t="shared" si="15"/>
        <v>9.8106491105226219</v>
      </c>
      <c r="V52" s="176">
        <f t="shared" si="7"/>
        <v>10</v>
      </c>
      <c r="Z52" s="88"/>
    </row>
    <row r="53" spans="5:26" ht="12.5" x14ac:dyDescent="0.25">
      <c r="E53" s="186">
        <f t="shared" si="8"/>
        <v>49</v>
      </c>
      <c r="F53" s="187">
        <f t="shared" si="0"/>
        <v>2.4500000000000002</v>
      </c>
      <c r="G53" s="188">
        <f t="shared" si="1"/>
        <v>3.0730000000000004</v>
      </c>
      <c r="H53" s="189">
        <f t="shared" si="2"/>
        <v>246.14657230296032</v>
      </c>
      <c r="I53" s="190">
        <f t="shared" si="9"/>
        <v>1.129812766870588</v>
      </c>
      <c r="J53" s="191">
        <f t="shared" si="10"/>
        <v>39.834408321167963</v>
      </c>
      <c r="K53" s="192" t="b">
        <f t="shared" si="3"/>
        <v>0</v>
      </c>
      <c r="L53" s="193">
        <f t="shared" si="11"/>
        <v>0</v>
      </c>
      <c r="M53" s="194">
        <f t="shared" si="12"/>
        <v>2.0645934124450296</v>
      </c>
      <c r="N53" s="194">
        <f t="shared" si="13"/>
        <v>260.65924218274648</v>
      </c>
      <c r="O53" s="195">
        <f>IF(ABS(U53)&gt;80,$B$7, LOOKUP(V53,'Force mapping'!$B$7:$B$167,'Force mapping'!$E$7:$E$167))</f>
        <v>2120</v>
      </c>
      <c r="P53" s="196">
        <f t="shared" si="4"/>
        <v>0.623</v>
      </c>
      <c r="Q53" s="191">
        <f t="shared" si="5"/>
        <v>57.478704686451785</v>
      </c>
      <c r="R53" s="197">
        <f>IF(ABS(U53)&gt;80, 0, LOOKUP(V53,'Force mapping'!$B$7:$B$167,'Force mapping'!$D$7:$D$167) * (N53/5) * SIGN(U53))</f>
        <v>69.941130499443275</v>
      </c>
      <c r="S53" s="198">
        <f t="shared" si="6"/>
        <v>4066.3447964792604</v>
      </c>
      <c r="T53" s="199">
        <f t="shared" si="14"/>
        <v>33.228380336111101</v>
      </c>
      <c r="U53" s="200">
        <f t="shared" si="15"/>
        <v>8.0226500225641626</v>
      </c>
      <c r="V53" s="176">
        <f t="shared" si="7"/>
        <v>8</v>
      </c>
      <c r="Z53" s="88"/>
    </row>
    <row r="54" spans="5:26" ht="12.5" x14ac:dyDescent="0.25">
      <c r="E54" s="186">
        <f t="shared" si="8"/>
        <v>50</v>
      </c>
      <c r="F54" s="187">
        <f t="shared" si="0"/>
        <v>2.5</v>
      </c>
      <c r="G54" s="188">
        <f t="shared" si="1"/>
        <v>3.1230000000000002</v>
      </c>
      <c r="H54" s="189">
        <f t="shared" si="2"/>
        <v>246.14657230296032</v>
      </c>
      <c r="I54" s="190">
        <f t="shared" si="9"/>
        <v>1.129812766870588</v>
      </c>
      <c r="J54" s="191">
        <f t="shared" si="10"/>
        <v>39.834408321167963</v>
      </c>
      <c r="K54" s="192" t="b">
        <f t="shared" si="3"/>
        <v>0</v>
      </c>
      <c r="L54" s="193">
        <f t="shared" si="11"/>
        <v>0</v>
      </c>
      <c r="M54" s="194">
        <f t="shared" si="12"/>
        <v>0.76389956260466096</v>
      </c>
      <c r="N54" s="194">
        <f t="shared" si="13"/>
        <v>239.90525753023434</v>
      </c>
      <c r="O54" s="195">
        <f>IF(ABS(U54)&gt;80,$B$7, LOOKUP(V54,'Force mapping'!$B$7:$B$167,'Force mapping'!$E$7:$E$167))</f>
        <v>2170</v>
      </c>
      <c r="P54" s="196">
        <f t="shared" si="4"/>
        <v>0.623</v>
      </c>
      <c r="Q54" s="191">
        <f t="shared" si="5"/>
        <v>52.902184993846546</v>
      </c>
      <c r="R54" s="197">
        <f>IF(ABS(U54)&gt;80, 0, LOOKUP(V54,'Force mapping'!$B$7:$B$167,'Force mapping'!$D$7:$D$167) * (N54/5) * SIGN(U54))</f>
        <v>51.323891364473148</v>
      </c>
      <c r="S54" s="198">
        <f t="shared" si="6"/>
        <v>2983.9471723530901</v>
      </c>
      <c r="T54" s="199">
        <f t="shared" si="14"/>
        <v>33.431697575935061</v>
      </c>
      <c r="U54" s="200">
        <f t="shared" si="15"/>
        <v>6.2595723858466279</v>
      </c>
      <c r="V54" s="176">
        <f t="shared" si="7"/>
        <v>6.5</v>
      </c>
      <c r="Z54" s="88"/>
    </row>
    <row r="55" spans="5:26" ht="12.5" x14ac:dyDescent="0.25">
      <c r="E55" s="186">
        <f t="shared" si="8"/>
        <v>51</v>
      </c>
      <c r="F55" s="187">
        <f t="shared" si="0"/>
        <v>2.5500000000000003</v>
      </c>
      <c r="G55" s="188">
        <f t="shared" si="1"/>
        <v>3.173</v>
      </c>
      <c r="H55" s="189">
        <f t="shared" si="2"/>
        <v>246.14657230296032</v>
      </c>
      <c r="I55" s="190">
        <f t="shared" si="9"/>
        <v>1.129812766870588</v>
      </c>
      <c r="J55" s="191">
        <f t="shared" si="10"/>
        <v>39.834408321167963</v>
      </c>
      <c r="K55" s="192" t="b">
        <f t="shared" si="3"/>
        <v>0</v>
      </c>
      <c r="L55" s="193">
        <f t="shared" si="11"/>
        <v>0</v>
      </c>
      <c r="M55" s="194">
        <f t="shared" si="12"/>
        <v>0.28264283816372454</v>
      </c>
      <c r="N55" s="194">
        <f t="shared" si="13"/>
        <v>220.71253217167657</v>
      </c>
      <c r="O55" s="195">
        <f>IF(ABS(U55)&gt;80,$B$7, LOOKUP(V55,'Force mapping'!$B$7:$B$167,'Force mapping'!$E$7:$E$167))</f>
        <v>2220</v>
      </c>
      <c r="P55" s="196">
        <f t="shared" si="4"/>
        <v>0.623</v>
      </c>
      <c r="Q55" s="191">
        <f t="shared" si="5"/>
        <v>48.669942991703039</v>
      </c>
      <c r="R55" s="197">
        <f>IF(ABS(U55)&gt;80, 0, LOOKUP(V55,'Force mapping'!$B$7:$B$167,'Force mapping'!$D$7:$D$167) * (N55/5) * SIGN(U55))</f>
        <v>31.839107040957373</v>
      </c>
      <c r="S55" s="198">
        <f t="shared" si="6"/>
        <v>1851.1108744742658</v>
      </c>
      <c r="T55" s="199">
        <f t="shared" si="14"/>
        <v>33.580894934552717</v>
      </c>
      <c r="U55" s="200">
        <f t="shared" si="15"/>
        <v>4.5133888277410472</v>
      </c>
      <c r="V55" s="176">
        <f t="shared" si="7"/>
        <v>4.5</v>
      </c>
      <c r="Y55" s="91"/>
      <c r="Z55" s="88"/>
    </row>
    <row r="56" spans="5:26" ht="12.5" x14ac:dyDescent="0.25">
      <c r="E56" s="186">
        <f t="shared" si="8"/>
        <v>52</v>
      </c>
      <c r="F56" s="187">
        <f t="shared" si="0"/>
        <v>2.6</v>
      </c>
      <c r="G56" s="188">
        <f t="shared" si="1"/>
        <v>3.2229999999999999</v>
      </c>
      <c r="H56" s="189">
        <f t="shared" si="2"/>
        <v>246.14657230296032</v>
      </c>
      <c r="I56" s="190">
        <f t="shared" si="9"/>
        <v>1.129812766870588</v>
      </c>
      <c r="J56" s="191">
        <f t="shared" si="10"/>
        <v>39.834408321167963</v>
      </c>
      <c r="K56" s="192" t="b">
        <f t="shared" si="3"/>
        <v>0</v>
      </c>
      <c r="L56" s="193">
        <f t="shared" si="11"/>
        <v>0</v>
      </c>
      <c r="M56" s="194">
        <f t="shared" si="12"/>
        <v>0.10457785012057808</v>
      </c>
      <c r="N56" s="194">
        <f t="shared" si="13"/>
        <v>203.02152981746204</v>
      </c>
      <c r="O56" s="195">
        <f>IF(ABS(U56)&gt;80,$B$7, LOOKUP(V56,'Force mapping'!$B$7:$B$167,'Force mapping'!$E$7:$E$167))</f>
        <v>2240</v>
      </c>
      <c r="P56" s="196">
        <f t="shared" si="4"/>
        <v>0.623</v>
      </c>
      <c r="Q56" s="191">
        <f t="shared" si="5"/>
        <v>44.768850164876248</v>
      </c>
      <c r="R56" s="197">
        <f>IF(ABS(U56)&gt;80, 0, LOOKUP(V56,'Force mapping'!$B$7:$B$167,'Force mapping'!$D$7:$D$167) * (N56/5) * SIGN(U56))</f>
        <v>19.100265525226828</v>
      </c>
      <c r="S56" s="198">
        <f t="shared" si="6"/>
        <v>1110.4805537922575</v>
      </c>
      <c r="T56" s="199">
        <f t="shared" si="14"/>
        <v>33.673450478276429</v>
      </c>
      <c r="U56" s="200">
        <f t="shared" si="15"/>
        <v>2.7880663091515552</v>
      </c>
      <c r="V56" s="176">
        <f t="shared" si="7"/>
        <v>3</v>
      </c>
      <c r="Y56" s="91"/>
      <c r="Z56" s="88"/>
    </row>
    <row r="57" spans="5:26" ht="12.5" x14ac:dyDescent="0.25">
      <c r="E57" s="186">
        <f t="shared" si="8"/>
        <v>53</v>
      </c>
      <c r="F57" s="187">
        <f t="shared" si="0"/>
        <v>2.6500000000000004</v>
      </c>
      <c r="G57" s="188">
        <f t="shared" si="1"/>
        <v>3.2730000000000006</v>
      </c>
      <c r="H57" s="189">
        <f t="shared" si="2"/>
        <v>246.14657230296032</v>
      </c>
      <c r="I57" s="190">
        <f t="shared" si="9"/>
        <v>1.129812766870588</v>
      </c>
      <c r="J57" s="191">
        <f t="shared" si="10"/>
        <v>39.834408321167963</v>
      </c>
      <c r="K57" s="192" t="b">
        <f t="shared" si="3"/>
        <v>0</v>
      </c>
      <c r="L57" s="193">
        <f t="shared" si="11"/>
        <v>0</v>
      </c>
      <c r="M57" s="194">
        <f t="shared" si="12"/>
        <v>3.8693804544613894E-2</v>
      </c>
      <c r="N57" s="194">
        <f t="shared" si="13"/>
        <v>186.73606015716175</v>
      </c>
      <c r="O57" s="195">
        <f>IF(ABS(U57)&gt;80,$B$7, LOOKUP(V57,'Force mapping'!$B$7:$B$167,'Force mapping'!$E$7:$E$167))</f>
        <v>2260</v>
      </c>
      <c r="P57" s="196">
        <f t="shared" si="4"/>
        <v>0.623</v>
      </c>
      <c r="Q57" s="191">
        <f t="shared" si="5"/>
        <v>41.177695316707464</v>
      </c>
      <c r="R57" s="197">
        <f>IF(ABS(U57)&gt;80, 0, LOOKUP(V57,'Force mapping'!$B$7:$B$167,'Force mapping'!$D$7:$D$167) * (N57/5) * SIGN(U57))</f>
        <v>6.0390441854826102</v>
      </c>
      <c r="S57" s="198">
        <f t="shared" si="6"/>
        <v>351.10722008619825</v>
      </c>
      <c r="T57" s="199">
        <f t="shared" si="14"/>
        <v>33.728974505966043</v>
      </c>
      <c r="U57" s="200">
        <f t="shared" si="15"/>
        <v>1.0766317713929265</v>
      </c>
      <c r="V57" s="176">
        <f t="shared" si="7"/>
        <v>1</v>
      </c>
      <c r="Y57" s="91"/>
      <c r="Z57" s="88"/>
    </row>
    <row r="58" spans="5:26" ht="12.5" x14ac:dyDescent="0.25">
      <c r="E58" s="186">
        <f t="shared" si="8"/>
        <v>54</v>
      </c>
      <c r="F58" s="187">
        <f t="shared" si="0"/>
        <v>2.7</v>
      </c>
      <c r="G58" s="188">
        <f t="shared" si="1"/>
        <v>3.3230000000000004</v>
      </c>
      <c r="H58" s="189">
        <f t="shared" si="2"/>
        <v>246.14657230296032</v>
      </c>
      <c r="I58" s="190">
        <f t="shared" si="9"/>
        <v>1.129812766870588</v>
      </c>
      <c r="J58" s="191">
        <f t="shared" si="10"/>
        <v>39.834408321167963</v>
      </c>
      <c r="K58" s="192" t="b">
        <f t="shared" si="3"/>
        <v>0</v>
      </c>
      <c r="L58" s="193">
        <f t="shared" si="11"/>
        <v>0</v>
      </c>
      <c r="M58" s="194">
        <f t="shared" si="12"/>
        <v>1.431670768150714E-2</v>
      </c>
      <c r="N58" s="194">
        <f t="shared" si="13"/>
        <v>171.7523228896965</v>
      </c>
      <c r="O58" s="195">
        <f>IF(ABS(U58)&gt;80,$B$7, LOOKUP(V58,'Force mapping'!$B$7:$B$167,'Force mapping'!$E$7:$E$167))</f>
        <v>2265</v>
      </c>
      <c r="P58" s="196">
        <f t="shared" si="4"/>
        <v>0.623</v>
      </c>
      <c r="Q58" s="191">
        <f t="shared" si="5"/>
        <v>37.873589150035635</v>
      </c>
      <c r="R58" s="197">
        <f>IF(ABS(U58)&gt;80, 0, LOOKUP(V58,'Force mapping'!$B$7:$B$167,'Force mapping'!$D$7:$D$167) * (N58/5) * SIGN(U58))</f>
        <v>-2.7772350611263921</v>
      </c>
      <c r="S58" s="198">
        <f t="shared" si="6"/>
        <v>-161.4671547166507</v>
      </c>
      <c r="T58" s="199">
        <f t="shared" si="14"/>
        <v>33.746529866970356</v>
      </c>
      <c r="U58" s="200">
        <f t="shared" si="15"/>
        <v>-0.61859463440753193</v>
      </c>
      <c r="V58" s="176">
        <f t="shared" si="7"/>
        <v>0.5</v>
      </c>
      <c r="Y58" s="91"/>
      <c r="Z58" s="88"/>
    </row>
    <row r="59" spans="5:26" ht="12.5" x14ac:dyDescent="0.25">
      <c r="E59" s="186">
        <f t="shared" si="8"/>
        <v>55</v>
      </c>
      <c r="F59" s="187">
        <f t="shared" si="0"/>
        <v>2.75</v>
      </c>
      <c r="G59" s="188">
        <f t="shared" si="1"/>
        <v>3.3730000000000002</v>
      </c>
      <c r="H59" s="189">
        <f t="shared" si="2"/>
        <v>246.14657230296032</v>
      </c>
      <c r="I59" s="190">
        <f t="shared" si="9"/>
        <v>1.129812766870588</v>
      </c>
      <c r="J59" s="191">
        <f t="shared" si="10"/>
        <v>39.834408321167963</v>
      </c>
      <c r="K59" s="192" t="b">
        <f t="shared" si="3"/>
        <v>0</v>
      </c>
      <c r="L59" s="193">
        <f t="shared" si="11"/>
        <v>0</v>
      </c>
      <c r="M59" s="194">
        <f t="shared" si="12"/>
        <v>5.297181842157642E-3</v>
      </c>
      <c r="N59" s="194">
        <f t="shared" si="13"/>
        <v>157.9691763261319</v>
      </c>
      <c r="O59" s="195">
        <f>IF(ABS(U59)&gt;80,$B$7, LOOKUP(V59,'Force mapping'!$B$7:$B$167,'Force mapping'!$E$7:$E$167))</f>
        <v>2245</v>
      </c>
      <c r="P59" s="196">
        <f t="shared" si="4"/>
        <v>0.623</v>
      </c>
      <c r="Q59" s="191">
        <f t="shared" si="5"/>
        <v>34.834228625762421</v>
      </c>
      <c r="R59" s="197">
        <f>IF(ABS(U59)&gt;80, 0, LOOKUP(V59,'Force mapping'!$B$7:$B$167,'Force mapping'!$D$7:$D$167) * (N59/5) * SIGN(U59))</f>
        <v>-12.524112237488389</v>
      </c>
      <c r="S59" s="198">
        <f t="shared" si="6"/>
        <v>-728.14606031909238</v>
      </c>
      <c r="T59" s="199">
        <f t="shared" si="14"/>
        <v>33.738456509234524</v>
      </c>
      <c r="U59" s="200">
        <f t="shared" si="15"/>
        <v>-2.301884448888134</v>
      </c>
      <c r="V59" s="176">
        <f t="shared" si="7"/>
        <v>2.5</v>
      </c>
      <c r="Y59" s="91"/>
      <c r="Z59" s="88"/>
    </row>
    <row r="60" spans="5:26" ht="12.5" x14ac:dyDescent="0.25">
      <c r="E60" s="186">
        <f t="shared" si="8"/>
        <v>56</v>
      </c>
      <c r="F60" s="187">
        <f t="shared" si="0"/>
        <v>2.8000000000000003</v>
      </c>
      <c r="G60" s="188">
        <f t="shared" si="1"/>
        <v>3.423</v>
      </c>
      <c r="H60" s="189">
        <f t="shared" si="2"/>
        <v>246.14657230296032</v>
      </c>
      <c r="I60" s="190">
        <f t="shared" si="9"/>
        <v>1.129812766870588</v>
      </c>
      <c r="J60" s="191">
        <f t="shared" si="10"/>
        <v>39.834408321167963</v>
      </c>
      <c r="K60" s="192" t="b">
        <f t="shared" si="3"/>
        <v>0</v>
      </c>
      <c r="L60" s="193">
        <f t="shared" si="11"/>
        <v>0</v>
      </c>
      <c r="M60" s="194">
        <f t="shared" si="12"/>
        <v>1.9599572815983276E-3</v>
      </c>
      <c r="N60" s="194">
        <f t="shared" si="13"/>
        <v>145.2914974220958</v>
      </c>
      <c r="O60" s="195">
        <f>IF(ABS(U60)&gt;80,$B$7, LOOKUP(V60,'Force mapping'!$B$7:$B$167,'Force mapping'!$E$7:$E$167))</f>
        <v>2230</v>
      </c>
      <c r="P60" s="196">
        <f t="shared" si="4"/>
        <v>0.623</v>
      </c>
      <c r="Q60" s="191">
        <f t="shared" si="5"/>
        <v>32.038637893077535</v>
      </c>
      <c r="R60" s="197">
        <f>IF(ABS(U60)&gt;80, 0, LOOKUP(V60,'Force mapping'!$B$7:$B$167,'Force mapping'!$D$7:$D$167) * (N60/5) * SIGN(U60))</f>
        <v>-18.39622823759608</v>
      </c>
      <c r="S60" s="198">
        <f t="shared" si="6"/>
        <v>-1069.5481533486093</v>
      </c>
      <c r="T60" s="199">
        <f t="shared" si="14"/>
        <v>33.702049206218568</v>
      </c>
      <c r="U60" s="200">
        <f t="shared" si="15"/>
        <v>-3.9706036228418826</v>
      </c>
      <c r="V60" s="176">
        <f t="shared" si="7"/>
        <v>4</v>
      </c>
      <c r="Y60" s="91"/>
      <c r="Z60" s="88"/>
    </row>
    <row r="61" spans="5:26" ht="12.5" x14ac:dyDescent="0.25">
      <c r="E61" s="186">
        <f t="shared" si="8"/>
        <v>57</v>
      </c>
      <c r="F61" s="187">
        <f t="shared" si="0"/>
        <v>2.85</v>
      </c>
      <c r="G61" s="188">
        <f t="shared" si="1"/>
        <v>3.4729999999999999</v>
      </c>
      <c r="H61" s="189">
        <f t="shared" si="2"/>
        <v>246.14657230296032</v>
      </c>
      <c r="I61" s="190">
        <f t="shared" si="9"/>
        <v>1.129812766870588</v>
      </c>
      <c r="J61" s="191">
        <f t="shared" si="10"/>
        <v>39.834408321167963</v>
      </c>
      <c r="K61" s="192" t="b">
        <f t="shared" si="3"/>
        <v>0</v>
      </c>
      <c r="L61" s="193">
        <f t="shared" si="11"/>
        <v>0</v>
      </c>
      <c r="M61" s="194">
        <f t="shared" si="12"/>
        <v>7.251841941913811E-4</v>
      </c>
      <c r="N61" s="194">
        <f t="shared" si="13"/>
        <v>133.63102090004008</v>
      </c>
      <c r="O61" s="195">
        <f>IF(ABS(U61)&gt;80,$B$7, LOOKUP(V61,'Force mapping'!$B$7:$B$167,'Force mapping'!$E$7:$E$167))</f>
        <v>2195</v>
      </c>
      <c r="P61" s="196">
        <f t="shared" si="4"/>
        <v>0.623</v>
      </c>
      <c r="Q61" s="191">
        <f t="shared" si="5"/>
        <v>29.467353326675504</v>
      </c>
      <c r="R61" s="197">
        <f>IF(ABS(U61)&gt;80, 0, LOOKUP(V61,'Force mapping'!$B$7:$B$167,'Force mapping'!$D$7:$D$167) * (N61/5) * SIGN(U61))</f>
        <v>-23.991578968309593</v>
      </c>
      <c r="S61" s="198">
        <f t="shared" si="6"/>
        <v>-1394.8592423435809</v>
      </c>
      <c r="T61" s="199">
        <f t="shared" si="14"/>
        <v>33.648571798551139</v>
      </c>
      <c r="U61" s="200">
        <f t="shared" si="15"/>
        <v>-5.6289673793190964</v>
      </c>
      <c r="V61" s="176">
        <f t="shared" si="7"/>
        <v>5.5</v>
      </c>
      <c r="Y61" s="91"/>
      <c r="Z61" s="88"/>
    </row>
    <row r="62" spans="5:26" ht="12.5" x14ac:dyDescent="0.25">
      <c r="E62" s="186">
        <f t="shared" si="8"/>
        <v>58</v>
      </c>
      <c r="F62" s="187">
        <f t="shared" si="0"/>
        <v>2.9000000000000004</v>
      </c>
      <c r="G62" s="188">
        <f t="shared" si="1"/>
        <v>3.5230000000000006</v>
      </c>
      <c r="H62" s="189">
        <f t="shared" si="2"/>
        <v>246.14657230296032</v>
      </c>
      <c r="I62" s="190">
        <f t="shared" si="9"/>
        <v>1.129812766870588</v>
      </c>
      <c r="J62" s="191">
        <f t="shared" si="10"/>
        <v>39.834408321167963</v>
      </c>
      <c r="K62" s="192" t="b">
        <f t="shared" si="3"/>
        <v>0</v>
      </c>
      <c r="L62" s="193">
        <f t="shared" si="11"/>
        <v>0</v>
      </c>
      <c r="M62" s="194">
        <f t="shared" si="12"/>
        <v>2.6831815185081098E-4</v>
      </c>
      <c r="N62" s="194">
        <f t="shared" si="13"/>
        <v>122.90627806570252</v>
      </c>
      <c r="O62" s="195">
        <f>IF(ABS(U62)&gt;80,$B$7, LOOKUP(V62,'Force mapping'!$B$7:$B$167,'Force mapping'!$E$7:$E$167))</f>
        <v>2140</v>
      </c>
      <c r="P62" s="196">
        <f t="shared" si="4"/>
        <v>0.623</v>
      </c>
      <c r="Q62" s="191">
        <f t="shared" si="5"/>
        <v>27.102410035001068</v>
      </c>
      <c r="R62" s="197">
        <f>IF(ABS(U62)&gt;80, 0, LOOKUP(V62,'Force mapping'!$B$7:$B$167,'Force mapping'!$D$7:$D$167) * (N62/5) * SIGN(U62))</f>
        <v>-30.666099627617303</v>
      </c>
      <c r="S62" s="198">
        <f t="shared" si="6"/>
        <v>-1782.9127690475177</v>
      </c>
      <c r="T62" s="199">
        <f t="shared" si="14"/>
        <v>33.578828836433956</v>
      </c>
      <c r="U62" s="200">
        <f t="shared" si="15"/>
        <v>-7.2765244881880626</v>
      </c>
      <c r="V62" s="176">
        <f t="shared" si="7"/>
        <v>7.5</v>
      </c>
      <c r="Y62" s="91"/>
      <c r="Z62" s="88"/>
    </row>
    <row r="63" spans="5:26" ht="12.5" x14ac:dyDescent="0.25">
      <c r="E63" s="186">
        <f t="shared" si="8"/>
        <v>59</v>
      </c>
      <c r="F63" s="187">
        <f t="shared" si="0"/>
        <v>2.95</v>
      </c>
      <c r="G63" s="188">
        <f t="shared" si="1"/>
        <v>3.5730000000000004</v>
      </c>
      <c r="H63" s="189">
        <f t="shared" si="2"/>
        <v>246.14657230296032</v>
      </c>
      <c r="I63" s="190">
        <f t="shared" si="9"/>
        <v>1.129812766870588</v>
      </c>
      <c r="J63" s="191">
        <f t="shared" si="10"/>
        <v>39.834408321167963</v>
      </c>
      <c r="K63" s="192" t="b">
        <f t="shared" si="3"/>
        <v>0</v>
      </c>
      <c r="L63" s="193">
        <f t="shared" si="11"/>
        <v>0</v>
      </c>
      <c r="M63" s="194">
        <f t="shared" si="12"/>
        <v>9.9277716184800068E-5</v>
      </c>
      <c r="N63" s="194">
        <f t="shared" si="13"/>
        <v>113.04223233957487</v>
      </c>
      <c r="O63" s="195">
        <f>IF(ABS(U63)&gt;80,$B$7, LOOKUP(V63,'Force mapping'!$B$7:$B$167,'Force mapping'!$E$7:$E$167))</f>
        <v>2080</v>
      </c>
      <c r="P63" s="196">
        <f t="shared" si="4"/>
        <v>0.623</v>
      </c>
      <c r="Q63" s="191">
        <f t="shared" si="5"/>
        <v>24.927261490265227</v>
      </c>
      <c r="R63" s="197">
        <f>IF(ABS(U63)&gt;80, 0, LOOKUP(V63,'Force mapping'!$B$7:$B$167,'Force mapping'!$D$7:$D$167) * (N63/5) * SIGN(U63))</f>
        <v>-34.69673062537975</v>
      </c>
      <c r="S63" s="198">
        <f t="shared" si="6"/>
        <v>-2017.2517805453342</v>
      </c>
      <c r="T63" s="199">
        <f t="shared" si="14"/>
        <v>33.489683197981577</v>
      </c>
      <c r="U63" s="200">
        <f t="shared" si="15"/>
        <v>-8.9108931107835705</v>
      </c>
      <c r="V63" s="176">
        <f t="shared" si="7"/>
        <v>9</v>
      </c>
      <c r="Y63" s="91"/>
      <c r="Z63" s="88"/>
    </row>
    <row r="64" spans="5:26" ht="12.5" x14ac:dyDescent="0.25">
      <c r="E64" s="186">
        <f t="shared" si="8"/>
        <v>60</v>
      </c>
      <c r="F64" s="187">
        <f t="shared" si="0"/>
        <v>3</v>
      </c>
      <c r="G64" s="188">
        <f t="shared" si="1"/>
        <v>3.6230000000000002</v>
      </c>
      <c r="H64" s="189">
        <f t="shared" si="2"/>
        <v>246.14657230296032</v>
      </c>
      <c r="I64" s="190">
        <f t="shared" si="9"/>
        <v>1.129812766870588</v>
      </c>
      <c r="J64" s="191">
        <f t="shared" si="10"/>
        <v>39.834408321167963</v>
      </c>
      <c r="K64" s="192" t="b">
        <f t="shared" si="3"/>
        <v>0</v>
      </c>
      <c r="L64" s="193">
        <f t="shared" si="11"/>
        <v>0</v>
      </c>
      <c r="M64" s="194">
        <f t="shared" si="12"/>
        <v>3.673275498837603E-5</v>
      </c>
      <c r="N64" s="194">
        <f t="shared" si="13"/>
        <v>103.96983000716246</v>
      </c>
      <c r="O64" s="195">
        <f>IF(ABS(U64)&gt;80,$B$7, LOOKUP(V64,'Force mapping'!$B$7:$B$167,'Force mapping'!$E$7:$E$167))</f>
        <v>2015</v>
      </c>
      <c r="P64" s="196">
        <f t="shared" si="4"/>
        <v>0.623</v>
      </c>
      <c r="Q64" s="191">
        <f t="shared" si="5"/>
        <v>22.926680463117872</v>
      </c>
      <c r="R64" s="197">
        <f>IF(ABS(U64)&gt;80, 0, LOOKUP(V64,'Force mapping'!$B$7:$B$167,'Force mapping'!$D$7:$D$167) * (N64/5) * SIGN(U64))</f>
        <v>-37.067739673473589</v>
      </c>
      <c r="S64" s="198">
        <f t="shared" si="6"/>
        <v>-2155.1011438066039</v>
      </c>
      <c r="T64" s="199">
        <f t="shared" si="14"/>
        <v>33.388820608954312</v>
      </c>
      <c r="U64" s="200">
        <f t="shared" si="15"/>
        <v>-10.534945976169016</v>
      </c>
      <c r="V64" s="176">
        <f t="shared" si="7"/>
        <v>10.5</v>
      </c>
      <c r="Y64" s="91"/>
      <c r="Z64" s="88"/>
    </row>
    <row r="65" spans="5:26" ht="12.5" x14ac:dyDescent="0.25">
      <c r="E65" s="186">
        <f t="shared" si="8"/>
        <v>61</v>
      </c>
      <c r="F65" s="187">
        <f t="shared" si="0"/>
        <v>3.0500000000000003</v>
      </c>
      <c r="G65" s="188">
        <f t="shared" si="1"/>
        <v>3.673</v>
      </c>
      <c r="H65" s="189">
        <f t="shared" si="2"/>
        <v>246.14657230296032</v>
      </c>
      <c r="I65" s="190">
        <f t="shared" si="9"/>
        <v>1.129812766870588</v>
      </c>
      <c r="J65" s="191">
        <f t="shared" si="10"/>
        <v>39.834408321167963</v>
      </c>
      <c r="K65" s="192" t="b">
        <f t="shared" si="3"/>
        <v>0</v>
      </c>
      <c r="L65" s="193">
        <f t="shared" si="11"/>
        <v>0</v>
      </c>
      <c r="M65" s="194">
        <f t="shared" si="12"/>
        <v>1.3591119345699131E-5</v>
      </c>
      <c r="N65" s="194">
        <f t="shared" si="13"/>
        <v>95.625544832651428</v>
      </c>
      <c r="O65" s="195">
        <f>IF(ABS(U65)&gt;80,$B$7, LOOKUP(V65,'Force mapping'!$B$7:$B$167,'Force mapping'!$E$7:$E$167))</f>
        <v>1967</v>
      </c>
      <c r="P65" s="196">
        <f t="shared" si="4"/>
        <v>0.623</v>
      </c>
      <c r="Q65" s="191">
        <f t="shared" si="5"/>
        <v>21.086658604123134</v>
      </c>
      <c r="R65" s="197">
        <f>IF(ABS(U65)&gt;80, 0, LOOKUP(V65,'Force mapping'!$B$7:$B$167,'Force mapping'!$D$7:$D$167) * (N65/5) * SIGN(U65))</f>
        <v>-37.878808316930545</v>
      </c>
      <c r="S65" s="198">
        <f t="shared" si="6"/>
        <v>-2202.2562974959619</v>
      </c>
      <c r="T65" s="199">
        <f t="shared" si="14"/>
        <v>33.28106555176398</v>
      </c>
      <c r="U65" s="200">
        <f t="shared" si="15"/>
        <v>-12.150509478021567</v>
      </c>
      <c r="V65" s="176">
        <f t="shared" si="7"/>
        <v>12</v>
      </c>
      <c r="Y65" s="91"/>
      <c r="Z65" s="88"/>
    </row>
    <row r="66" spans="5:26" ht="12.5" x14ac:dyDescent="0.25">
      <c r="E66" s="186">
        <f t="shared" si="8"/>
        <v>62</v>
      </c>
      <c r="F66" s="187">
        <f t="shared" si="0"/>
        <v>3.1</v>
      </c>
      <c r="G66" s="188">
        <f t="shared" si="1"/>
        <v>3.7229999999999999</v>
      </c>
      <c r="H66" s="189">
        <f t="shared" si="2"/>
        <v>246.14657230296032</v>
      </c>
      <c r="I66" s="190">
        <f t="shared" si="9"/>
        <v>1.129812766870588</v>
      </c>
      <c r="J66" s="191">
        <f t="shared" si="10"/>
        <v>39.834408321167963</v>
      </c>
      <c r="K66" s="192" t="b">
        <f t="shared" si="3"/>
        <v>0</v>
      </c>
      <c r="L66" s="193">
        <f t="shared" si="11"/>
        <v>0</v>
      </c>
      <c r="M66" s="194">
        <f t="shared" si="12"/>
        <v>5.0287141579086777E-6</v>
      </c>
      <c r="N66" s="194">
        <f t="shared" si="13"/>
        <v>87.950943609414495</v>
      </c>
      <c r="O66" s="195">
        <f>IF(ABS(U66)&gt;80,$B$7, LOOKUP(V66,'Force mapping'!$B$7:$B$167,'Force mapping'!$E$7:$E$167))</f>
        <v>1838</v>
      </c>
      <c r="P66" s="196">
        <f t="shared" si="4"/>
        <v>0.623</v>
      </c>
      <c r="Q66" s="191">
        <f t="shared" si="5"/>
        <v>19.394310642076015</v>
      </c>
      <c r="R66" s="197">
        <f>IF(ABS(U66)&gt;80, 0, LOOKUP(V66,'Force mapping'!$B$7:$B$167,'Force mapping'!$D$7:$D$167) * (N66/5) * SIGN(U66))</f>
        <v>-37.614155955325515</v>
      </c>
      <c r="S66" s="198">
        <f t="shared" si="6"/>
        <v>-2186.8695322863673</v>
      </c>
      <c r="T66" s="199">
        <f t="shared" si="14"/>
        <v>33.170952736889184</v>
      </c>
      <c r="U66" s="200">
        <f t="shared" si="15"/>
        <v>-13.759506348172367</v>
      </c>
      <c r="V66" s="176">
        <f t="shared" si="7"/>
        <v>14</v>
      </c>
      <c r="Y66" s="91"/>
      <c r="Z66" s="88"/>
    </row>
    <row r="67" spans="5:26" ht="12.5" x14ac:dyDescent="0.25">
      <c r="E67" s="186">
        <f t="shared" si="8"/>
        <v>63</v>
      </c>
      <c r="F67" s="187">
        <f t="shared" si="0"/>
        <v>3.1500000000000004</v>
      </c>
      <c r="G67" s="188">
        <f t="shared" si="1"/>
        <v>3.7730000000000006</v>
      </c>
      <c r="H67" s="189">
        <f t="shared" si="2"/>
        <v>246.14657230296032</v>
      </c>
      <c r="I67" s="190">
        <f t="shared" si="9"/>
        <v>1.129812766870588</v>
      </c>
      <c r="J67" s="191">
        <f t="shared" si="10"/>
        <v>39.834408321167963</v>
      </c>
      <c r="K67" s="192" t="b">
        <f t="shared" si="3"/>
        <v>0</v>
      </c>
      <c r="L67" s="193">
        <f t="shared" si="11"/>
        <v>0</v>
      </c>
      <c r="M67" s="194">
        <f t="shared" si="12"/>
        <v>1.8606242384262105E-6</v>
      </c>
      <c r="N67" s="194">
        <f t="shared" si="13"/>
        <v>80.892280801974664</v>
      </c>
      <c r="O67" s="195">
        <f>IF(ABS(U67)&gt;80,$B$7, LOOKUP(V67,'Force mapping'!$B$7:$B$167,'Force mapping'!$E$7:$E$167))</f>
        <v>1737</v>
      </c>
      <c r="P67" s="196">
        <f t="shared" si="4"/>
        <v>0.623</v>
      </c>
      <c r="Q67" s="191">
        <f t="shared" si="5"/>
        <v>17.837784997358515</v>
      </c>
      <c r="R67" s="197">
        <f>IF(ABS(U67)&gt;80, 0, LOOKUP(V67,'Force mapping'!$B$7:$B$167,'Force mapping'!$D$7:$D$167) * (N67/5) * SIGN(U67))</f>
        <v>-35.142357117925066</v>
      </c>
      <c r="S67" s="198">
        <f t="shared" si="6"/>
        <v>-2043.1602975537828</v>
      </c>
      <c r="T67" s="199">
        <f t="shared" si="14"/>
        <v>33.061609260274864</v>
      </c>
      <c r="U67" s="200">
        <f t="shared" si="15"/>
        <v>-15.363382246709666</v>
      </c>
      <c r="V67" s="176">
        <f t="shared" si="7"/>
        <v>15.5</v>
      </c>
      <c r="Y67" s="91"/>
      <c r="Z67" s="88"/>
    </row>
    <row r="68" spans="5:26" ht="12.5" x14ac:dyDescent="0.25">
      <c r="E68" s="186">
        <f t="shared" si="8"/>
        <v>64</v>
      </c>
      <c r="F68" s="187">
        <f t="shared" si="0"/>
        <v>3.2</v>
      </c>
      <c r="G68" s="188">
        <f t="shared" si="1"/>
        <v>3.8230000000000004</v>
      </c>
      <c r="H68" s="189">
        <f t="shared" si="2"/>
        <v>246.14657230296032</v>
      </c>
      <c r="I68" s="190">
        <f t="shared" si="9"/>
        <v>1.129812766870588</v>
      </c>
      <c r="J68" s="191">
        <f t="shared" si="10"/>
        <v>39.834408321167963</v>
      </c>
      <c r="K68" s="192" t="b">
        <f t="shared" si="3"/>
        <v>0</v>
      </c>
      <c r="L68" s="193">
        <f t="shared" si="11"/>
        <v>0</v>
      </c>
      <c r="M68" s="194">
        <f t="shared" si="12"/>
        <v>6.8843096821769779E-7</v>
      </c>
      <c r="N68" s="194">
        <f t="shared" si="13"/>
        <v>74.400123583567733</v>
      </c>
      <c r="O68" s="195">
        <f>IF(ABS(U68)&gt;80,$B$7, LOOKUP(V68,'Force mapping'!$B$7:$B$167,'Force mapping'!$E$7:$E$167))</f>
        <v>1626</v>
      </c>
      <c r="P68" s="196">
        <f t="shared" si="4"/>
        <v>0.623</v>
      </c>
      <c r="Q68" s="191">
        <f t="shared" si="5"/>
        <v>16.406181097914935</v>
      </c>
      <c r="R68" s="197">
        <f>IF(ABS(U68)&gt;80, 0, LOOKUP(V68,'Force mapping'!$B$7:$B$167,'Force mapping'!$D$7:$D$167) * (N68/5) * SIGN(U68))</f>
        <v>-32.416729046349126</v>
      </c>
      <c r="S68" s="198">
        <f t="shared" si="6"/>
        <v>-1884.6935492063444</v>
      </c>
      <c r="T68" s="199">
        <f t="shared" si="14"/>
        <v>32.959451245397176</v>
      </c>
      <c r="U68" s="200">
        <f t="shared" si="15"/>
        <v>-16.965383702284566</v>
      </c>
      <c r="V68" s="176">
        <f t="shared" si="7"/>
        <v>17</v>
      </c>
      <c r="Y68" s="91"/>
      <c r="Z68" s="88"/>
    </row>
    <row r="69" spans="5:26" ht="12.5" x14ac:dyDescent="0.25">
      <c r="E69" s="186">
        <f t="shared" si="8"/>
        <v>65</v>
      </c>
      <c r="F69" s="187">
        <f t="shared" si="0"/>
        <v>3.25</v>
      </c>
      <c r="G69" s="188">
        <f t="shared" si="1"/>
        <v>3.8730000000000002</v>
      </c>
      <c r="H69" s="189">
        <f t="shared" si="2"/>
        <v>246.14657230296032</v>
      </c>
      <c r="I69" s="190">
        <f t="shared" si="9"/>
        <v>1.129812766870588</v>
      </c>
      <c r="J69" s="191">
        <f t="shared" si="10"/>
        <v>39.834408321167963</v>
      </c>
      <c r="K69" s="192" t="b">
        <f t="shared" si="3"/>
        <v>0</v>
      </c>
      <c r="L69" s="193">
        <f t="shared" si="11"/>
        <v>0</v>
      </c>
      <c r="M69" s="194">
        <f t="shared" si="12"/>
        <v>2.5471945824054819E-7</v>
      </c>
      <c r="N69" s="194">
        <f t="shared" si="13"/>
        <v>68.429006176253395</v>
      </c>
      <c r="O69" s="195">
        <f>IF(ABS(U69)&gt;80,$B$7, LOOKUP(V69,'Force mapping'!$B$7:$B$167,'Force mapping'!$E$7:$E$167))</f>
        <v>1520</v>
      </c>
      <c r="P69" s="196">
        <f t="shared" si="4"/>
        <v>0.623</v>
      </c>
      <c r="Q69" s="191">
        <f t="shared" si="5"/>
        <v>15.089473156814851</v>
      </c>
      <c r="R69" s="197">
        <f>IF(ABS(U69)&gt;80, 0, LOOKUP(V69,'Force mapping'!$B$7:$B$167,'Force mapping'!$D$7:$D$167) * (N69/5) * SIGN(U69))</f>
        <v>-29.057282608647185</v>
      </c>
      <c r="S69" s="198">
        <f t="shared" si="6"/>
        <v>-1689.3768958515805</v>
      </c>
      <c r="T69" s="199">
        <f t="shared" si="14"/>
        <v>32.865216567936862</v>
      </c>
      <c r="U69" s="200">
        <f t="shared" si="15"/>
        <v>-18.566238925824269</v>
      </c>
      <c r="V69" s="176">
        <f t="shared" si="7"/>
        <v>18.5</v>
      </c>
      <c r="Y69" s="91"/>
      <c r="Z69" s="88"/>
    </row>
    <row r="70" spans="5:26" ht="12.5" x14ac:dyDescent="0.25">
      <c r="E70" s="186">
        <f t="shared" si="8"/>
        <v>66</v>
      </c>
      <c r="F70" s="187">
        <f t="shared" si="0"/>
        <v>3.3000000000000003</v>
      </c>
      <c r="G70" s="188">
        <f t="shared" si="1"/>
        <v>3.923</v>
      </c>
      <c r="H70" s="189">
        <f t="shared" si="2"/>
        <v>246.14657230296032</v>
      </c>
      <c r="I70" s="190">
        <f t="shared" si="9"/>
        <v>1.129812766870588</v>
      </c>
      <c r="J70" s="191">
        <f t="shared" si="10"/>
        <v>39.834408321167963</v>
      </c>
      <c r="K70" s="192" t="b">
        <f t="shared" si="3"/>
        <v>0</v>
      </c>
      <c r="L70" s="193">
        <f t="shared" si="11"/>
        <v>0</v>
      </c>
      <c r="M70" s="194">
        <f t="shared" si="12"/>
        <v>9.4246199549002833E-8</v>
      </c>
      <c r="N70" s="194">
        <f t="shared" si="13"/>
        <v>62.93711164001472</v>
      </c>
      <c r="O70" s="195">
        <f>IF(ABS(U70)&gt;80,$B$7, LOOKUP(V70,'Force mapping'!$B$7:$B$167,'Force mapping'!$E$7:$E$167))</f>
        <v>1414</v>
      </c>
      <c r="P70" s="196">
        <f t="shared" si="4"/>
        <v>0.623</v>
      </c>
      <c r="Q70" s="191">
        <f t="shared" si="5"/>
        <v>13.878440002669912</v>
      </c>
      <c r="R70" s="197">
        <f>IF(ABS(U70)&gt;80, 0, LOOKUP(V70,'Force mapping'!$B$7:$B$167,'Force mapping'!$D$7:$D$167) * (N70/5) * SIGN(U70))</f>
        <v>-25.682873021164085</v>
      </c>
      <c r="S70" s="198">
        <f t="shared" si="6"/>
        <v>-1493.1902919281445</v>
      </c>
      <c r="T70" s="199">
        <f t="shared" si="14"/>
        <v>32.78074772314428</v>
      </c>
      <c r="U70" s="200">
        <f t="shared" si="15"/>
        <v>-20.167265331824822</v>
      </c>
      <c r="V70" s="176">
        <f t="shared" si="7"/>
        <v>20</v>
      </c>
      <c r="Y70" s="91"/>
      <c r="Z70" s="88"/>
    </row>
    <row r="71" spans="5:26" ht="12.5" x14ac:dyDescent="0.25">
      <c r="E71" s="186">
        <f t="shared" si="8"/>
        <v>67</v>
      </c>
      <c r="F71" s="187">
        <f t="shared" si="0"/>
        <v>3.35</v>
      </c>
      <c r="G71" s="188">
        <f t="shared" si="1"/>
        <v>3.9729999999999999</v>
      </c>
      <c r="H71" s="189">
        <f t="shared" si="2"/>
        <v>246.14657230296032</v>
      </c>
      <c r="I71" s="190">
        <f t="shared" si="9"/>
        <v>1.129812766870588</v>
      </c>
      <c r="J71" s="191">
        <f t="shared" si="10"/>
        <v>39.834408321167963</v>
      </c>
      <c r="K71" s="192" t="b">
        <f t="shared" si="3"/>
        <v>0</v>
      </c>
      <c r="L71" s="193">
        <f t="shared" si="11"/>
        <v>0</v>
      </c>
      <c r="M71" s="194">
        <f t="shared" si="12"/>
        <v>3.4871093833131047E-8</v>
      </c>
      <c r="N71" s="194">
        <f t="shared" si="13"/>
        <v>57.88597909220023</v>
      </c>
      <c r="O71" s="195">
        <f>IF(ABS(U71)&gt;80,$B$7, LOOKUP(V71,'Force mapping'!$B$7:$B$167,'Force mapping'!$E$7:$E$167))</f>
        <v>1266</v>
      </c>
      <c r="P71" s="196">
        <f t="shared" si="4"/>
        <v>0.623</v>
      </c>
      <c r="Q71" s="191">
        <f t="shared" si="5"/>
        <v>12.76460051776723</v>
      </c>
      <c r="R71" s="197">
        <f>IF(ABS(U71)&gt;80, 0, LOOKUP(V71,'Force mapping'!$B$7:$B$167,'Force mapping'!$D$7:$D$167) * (N71/5) * SIGN(U71))</f>
        <v>-21.715577740564363</v>
      </c>
      <c r="S71" s="198">
        <f t="shared" si="6"/>
        <v>-1262.5335895676956</v>
      </c>
      <c r="T71" s="199">
        <f t="shared" si="14"/>
        <v>32.706088208547875</v>
      </c>
      <c r="U71" s="200">
        <f t="shared" si="15"/>
        <v>-21.768972960683833</v>
      </c>
      <c r="V71" s="176">
        <f t="shared" si="7"/>
        <v>22</v>
      </c>
      <c r="Y71" s="91"/>
      <c r="Z71" s="88"/>
    </row>
    <row r="72" spans="5:26" ht="12.5" x14ac:dyDescent="0.25">
      <c r="E72" s="186">
        <f t="shared" si="8"/>
        <v>68</v>
      </c>
      <c r="F72" s="187">
        <f t="shared" si="0"/>
        <v>3.4000000000000004</v>
      </c>
      <c r="G72" s="188">
        <f t="shared" si="1"/>
        <v>4.0230000000000006</v>
      </c>
      <c r="H72" s="189">
        <f t="shared" si="2"/>
        <v>246.14657230296032</v>
      </c>
      <c r="I72" s="190">
        <f t="shared" si="9"/>
        <v>1.129812766870588</v>
      </c>
      <c r="J72" s="191">
        <f t="shared" si="10"/>
        <v>39.834408321167963</v>
      </c>
      <c r="K72" s="192" t="b">
        <f t="shared" si="3"/>
        <v>0</v>
      </c>
      <c r="L72" s="193">
        <f t="shared" si="11"/>
        <v>0</v>
      </c>
      <c r="M72" s="194">
        <f t="shared" si="12"/>
        <v>1.2902304718258488E-8</v>
      </c>
      <c r="N72" s="194">
        <f t="shared" si="13"/>
        <v>53.240234384549417</v>
      </c>
      <c r="O72" s="195">
        <f>IF(ABS(U72)&gt;80,$B$7, LOOKUP(V72,'Force mapping'!$B$7:$B$167,'Force mapping'!$E$7:$E$167))</f>
        <v>1171.5</v>
      </c>
      <c r="P72" s="196">
        <f t="shared" si="4"/>
        <v>0.623</v>
      </c>
      <c r="Q72" s="191">
        <f t="shared" si="5"/>
        <v>11.740154248900641</v>
      </c>
      <c r="R72" s="197">
        <f>IF(ABS(U72)&gt;80, 0, LOOKUP(V72,'Force mapping'!$B$7:$B$167,'Force mapping'!$D$7:$D$167) * (N72/5) * SIGN(U72))</f>
        <v>-18.527495085354428</v>
      </c>
      <c r="S72" s="198">
        <f t="shared" si="6"/>
        <v>-1077.1799468229319</v>
      </c>
      <c r="T72" s="199">
        <f t="shared" si="14"/>
        <v>32.642961529069488</v>
      </c>
      <c r="U72" s="200">
        <f t="shared" si="15"/>
        <v>-23.372714031372034</v>
      </c>
      <c r="V72" s="176">
        <f t="shared" si="7"/>
        <v>23.5</v>
      </c>
      <c r="Y72" s="91"/>
      <c r="Z72" s="88"/>
    </row>
    <row r="73" spans="5:26" ht="12.5" x14ac:dyDescent="0.25">
      <c r="E73" s="186">
        <f t="shared" si="8"/>
        <v>69</v>
      </c>
      <c r="F73" s="187">
        <f t="shared" si="0"/>
        <v>3.45</v>
      </c>
      <c r="G73" s="188">
        <f t="shared" si="1"/>
        <v>4.0730000000000004</v>
      </c>
      <c r="H73" s="189">
        <f t="shared" si="2"/>
        <v>246.14657230296032</v>
      </c>
      <c r="I73" s="190">
        <f t="shared" si="9"/>
        <v>1.129812766870588</v>
      </c>
      <c r="J73" s="191">
        <f t="shared" si="10"/>
        <v>39.834408321167963</v>
      </c>
      <c r="K73" s="192" t="b">
        <f t="shared" si="3"/>
        <v>0</v>
      </c>
      <c r="L73" s="193">
        <f t="shared" si="11"/>
        <v>0</v>
      </c>
      <c r="M73" s="194">
        <f t="shared" si="12"/>
        <v>4.7738527457556408E-9</v>
      </c>
      <c r="N73" s="194">
        <f t="shared" si="13"/>
        <v>48.967342380404389</v>
      </c>
      <c r="O73" s="195">
        <f>IF(ABS(U73)&gt;80,$B$7, LOOKUP(V73,'Force mapping'!$B$7:$B$167,'Force mapping'!$E$7:$E$167))</f>
        <v>1074</v>
      </c>
      <c r="P73" s="196">
        <f t="shared" si="4"/>
        <v>0.623</v>
      </c>
      <c r="Q73" s="191">
        <f t="shared" si="5"/>
        <v>10.797926781319942</v>
      </c>
      <c r="R73" s="197">
        <f>IF(ABS(U73)&gt;80, 0, LOOKUP(V73,'Force mapping'!$B$7:$B$167,'Force mapping'!$D$7:$D$167) * (N73/5) * SIGN(U73))</f>
        <v>-15.500122557093206</v>
      </c>
      <c r="S73" s="198">
        <f t="shared" si="6"/>
        <v>-901.16991611007018</v>
      </c>
      <c r="T73" s="199">
        <f t="shared" si="14"/>
        <v>32.589102531728344</v>
      </c>
      <c r="U73" s="200">
        <f t="shared" si="15"/>
        <v>-24.977932609154937</v>
      </c>
      <c r="V73" s="176">
        <f t="shared" si="7"/>
        <v>25</v>
      </c>
      <c r="Y73" s="91"/>
      <c r="Z73" s="88"/>
    </row>
    <row r="74" spans="5:26" ht="12.5" x14ac:dyDescent="0.25">
      <c r="E74" s="186">
        <f t="shared" si="8"/>
        <v>70</v>
      </c>
      <c r="F74" s="187">
        <f t="shared" si="0"/>
        <v>3.5</v>
      </c>
      <c r="G74" s="188">
        <f t="shared" si="1"/>
        <v>4.1230000000000002</v>
      </c>
      <c r="H74" s="189">
        <f t="shared" si="2"/>
        <v>246.14657230296032</v>
      </c>
      <c r="I74" s="190">
        <f t="shared" si="9"/>
        <v>1.129812766870588</v>
      </c>
      <c r="J74" s="191">
        <f t="shared" si="10"/>
        <v>39.834408321167963</v>
      </c>
      <c r="K74" s="192" t="b">
        <f t="shared" si="3"/>
        <v>0</v>
      </c>
      <c r="L74" s="193">
        <f t="shared" si="11"/>
        <v>0</v>
      </c>
      <c r="M74" s="194">
        <f t="shared" si="12"/>
        <v>1.7663255159295872E-9</v>
      </c>
      <c r="N74" s="194">
        <f t="shared" si="13"/>
        <v>45.037379107881875</v>
      </c>
      <c r="O74" s="195">
        <f>IF(ABS(U74)&gt;80,$B$7, LOOKUP(V74,'Force mapping'!$B$7:$B$167,'Force mapping'!$E$7:$E$167))</f>
        <v>986.5</v>
      </c>
      <c r="P74" s="196">
        <f t="shared" si="4"/>
        <v>0.623</v>
      </c>
      <c r="Q74" s="191">
        <f t="shared" si="5"/>
        <v>9.9313194955842086</v>
      </c>
      <c r="R74" s="197">
        <f>IF(ABS(U74)&gt;80, 0, LOOKUP(V74,'Force mapping'!$B$7:$B$167,'Force mapping'!$D$7:$D$167) * (N74/5) * SIGN(U74))</f>
        <v>-12.865828089748614</v>
      </c>
      <c r="S74" s="198">
        <f t="shared" si="6"/>
        <v>-748.01326103189615</v>
      </c>
      <c r="T74" s="199">
        <f t="shared" si="14"/>
        <v>32.544044035922838</v>
      </c>
      <c r="U74" s="200">
        <f t="shared" si="15"/>
        <v>-26.584858487838602</v>
      </c>
      <c r="V74" s="176">
        <f t="shared" si="7"/>
        <v>26.5</v>
      </c>
      <c r="Y74" s="91"/>
      <c r="Z74" s="88"/>
    </row>
    <row r="75" spans="5:26" ht="12.5" x14ac:dyDescent="0.25">
      <c r="E75" s="186">
        <f t="shared" si="8"/>
        <v>71</v>
      </c>
      <c r="F75" s="187">
        <f t="shared" si="0"/>
        <v>3.5500000000000003</v>
      </c>
      <c r="G75" s="188">
        <f t="shared" si="1"/>
        <v>4.173</v>
      </c>
      <c r="H75" s="189">
        <f t="shared" si="2"/>
        <v>246.14657230296032</v>
      </c>
      <c r="I75" s="190">
        <f t="shared" si="9"/>
        <v>1.129812766870588</v>
      </c>
      <c r="J75" s="191">
        <f t="shared" si="10"/>
        <v>39.834408321167963</v>
      </c>
      <c r="K75" s="192" t="b">
        <f t="shared" si="3"/>
        <v>0</v>
      </c>
      <c r="L75" s="193">
        <f t="shared" si="11"/>
        <v>0</v>
      </c>
      <c r="M75" s="194">
        <f t="shared" si="12"/>
        <v>6.5354044089394721E-10</v>
      </c>
      <c r="N75" s="194">
        <f t="shared" si="13"/>
        <v>41.422822197278705</v>
      </c>
      <c r="O75" s="195">
        <f>IF(ABS(U75)&gt;80,$B$7, LOOKUP(V75,'Force mapping'!$B$7:$B$167,'Force mapping'!$E$7:$E$167))</f>
        <v>906</v>
      </c>
      <c r="P75" s="196">
        <f t="shared" si="4"/>
        <v>0.623</v>
      </c>
      <c r="Q75" s="191">
        <f t="shared" si="5"/>
        <v>9.1342633563229967</v>
      </c>
      <c r="R75" s="197">
        <f>IF(ABS(U75)&gt;80, 0, LOOKUP(V75,'Force mapping'!$B$7:$B$167,'Force mapping'!$D$7:$D$167) * (N75/5) * SIGN(U75))</f>
        <v>-10.473346364359948</v>
      </c>
      <c r="S75" s="198">
        <f t="shared" si="6"/>
        <v>-608.91548629999693</v>
      </c>
      <c r="T75" s="199">
        <f t="shared" si="14"/>
        <v>32.506643372871245</v>
      </c>
      <c r="U75" s="200">
        <f t="shared" si="15"/>
        <v>-28.193360358108947</v>
      </c>
      <c r="V75" s="176">
        <f t="shared" si="7"/>
        <v>28</v>
      </c>
      <c r="Y75" s="91"/>
      <c r="Z75" s="88"/>
    </row>
    <row r="76" spans="5:26" ht="12.5" x14ac:dyDescent="0.25">
      <c r="E76" s="186">
        <f t="shared" si="8"/>
        <v>72</v>
      </c>
      <c r="F76" s="187">
        <f t="shared" si="0"/>
        <v>3.6</v>
      </c>
      <c r="G76" s="188">
        <f t="shared" si="1"/>
        <v>4.2229999999999999</v>
      </c>
      <c r="H76" s="189">
        <f t="shared" si="2"/>
        <v>246.14657230296032</v>
      </c>
      <c r="I76" s="190">
        <f t="shared" si="9"/>
        <v>1.129812766870588</v>
      </c>
      <c r="J76" s="191">
        <f t="shared" si="10"/>
        <v>39.834408321167963</v>
      </c>
      <c r="K76" s="192" t="b">
        <f t="shared" si="3"/>
        <v>0</v>
      </c>
      <c r="L76" s="193">
        <f t="shared" si="11"/>
        <v>0</v>
      </c>
      <c r="M76" s="194">
        <f t="shared" si="12"/>
        <v>2.4180996313076048E-10</v>
      </c>
      <c r="N76" s="194">
        <f t="shared" si="13"/>
        <v>38.098358136554374</v>
      </c>
      <c r="O76" s="195">
        <f>IF(ABS(U76)&gt;80,$B$7, LOOKUP(V76,'Force mapping'!$B$7:$B$167,'Force mapping'!$E$7:$E$167))</f>
        <v>806</v>
      </c>
      <c r="P76" s="196">
        <f t="shared" si="4"/>
        <v>0.623</v>
      </c>
      <c r="Q76" s="191">
        <f t="shared" si="5"/>
        <v>8.4011764095991701</v>
      </c>
      <c r="R76" s="197">
        <f>IF(ABS(U76)&gt;80, 0, LOOKUP(V76,'Force mapping'!$B$7:$B$167,'Force mapping'!$D$7:$D$167) * (N76/5) * SIGN(U76))</f>
        <v>-7.8406421045028898</v>
      </c>
      <c r="S76" s="198">
        <f t="shared" si="6"/>
        <v>-455.85128514551684</v>
      </c>
      <c r="T76" s="199">
        <f t="shared" si="14"/>
        <v>32.476197598556247</v>
      </c>
      <c r="U76" s="200">
        <f t="shared" si="15"/>
        <v>-29.803469639595011</v>
      </c>
      <c r="V76" s="176">
        <f t="shared" si="7"/>
        <v>30</v>
      </c>
      <c r="Y76" s="91"/>
      <c r="Z76" s="88"/>
    </row>
    <row r="77" spans="5:26" ht="12.5" x14ac:dyDescent="0.25">
      <c r="E77" s="186">
        <f t="shared" si="8"/>
        <v>73</v>
      </c>
      <c r="F77" s="187">
        <f t="shared" si="0"/>
        <v>3.6500000000000004</v>
      </c>
      <c r="G77" s="188">
        <f t="shared" si="1"/>
        <v>4.2730000000000006</v>
      </c>
      <c r="H77" s="189">
        <f t="shared" si="2"/>
        <v>246.14657230296032</v>
      </c>
      <c r="I77" s="190">
        <f t="shared" si="9"/>
        <v>1.129812766870588</v>
      </c>
      <c r="J77" s="191">
        <f t="shared" si="10"/>
        <v>39.834408321167963</v>
      </c>
      <c r="K77" s="192" t="b">
        <f t="shared" si="3"/>
        <v>0</v>
      </c>
      <c r="L77" s="193">
        <f t="shared" si="11"/>
        <v>0</v>
      </c>
      <c r="M77" s="194">
        <f t="shared" si="12"/>
        <v>8.9469686358381366E-11</v>
      </c>
      <c r="N77" s="194">
        <f t="shared" si="13"/>
        <v>35.040704995598311</v>
      </c>
      <c r="O77" s="195">
        <f>IF(ABS(U77)&gt;80,$B$7, LOOKUP(V77,'Force mapping'!$B$7:$B$167,'Force mapping'!$E$7:$E$167))</f>
        <v>745.5</v>
      </c>
      <c r="P77" s="196">
        <f t="shared" si="4"/>
        <v>0.623</v>
      </c>
      <c r="Q77" s="191">
        <f t="shared" si="5"/>
        <v>7.7269246913370626</v>
      </c>
      <c r="R77" s="197">
        <f>IF(ABS(U77)&gt;80, 0, LOOKUP(V77,'Force mapping'!$B$7:$B$167,'Force mapping'!$D$7:$D$167) * (N77/5) * SIGN(U77))</f>
        <v>-6.0609907430886398</v>
      </c>
      <c r="S77" s="198">
        <f t="shared" si="6"/>
        <v>-352.38318273771159</v>
      </c>
      <c r="T77" s="199">
        <f t="shared" si="14"/>
        <v>32.453405034298974</v>
      </c>
      <c r="U77" s="200">
        <f t="shared" si="15"/>
        <v>-31.415883237394187</v>
      </c>
      <c r="V77" s="176">
        <f t="shared" si="7"/>
        <v>31.5</v>
      </c>
      <c r="Y77" s="91"/>
      <c r="Z77" s="88"/>
    </row>
    <row r="78" spans="5:26" ht="12.5" x14ac:dyDescent="0.25">
      <c r="E78" s="186">
        <f t="shared" si="8"/>
        <v>74</v>
      </c>
      <c r="F78" s="187">
        <f t="shared" si="0"/>
        <v>3.7</v>
      </c>
      <c r="G78" s="188">
        <f t="shared" si="1"/>
        <v>4.3230000000000004</v>
      </c>
      <c r="H78" s="189">
        <f t="shared" si="2"/>
        <v>246.14657230296032</v>
      </c>
      <c r="I78" s="190">
        <f t="shared" si="9"/>
        <v>1.129812766870588</v>
      </c>
      <c r="J78" s="191">
        <f t="shared" si="10"/>
        <v>39.834408321167963</v>
      </c>
      <c r="K78" s="192" t="b">
        <f t="shared" si="3"/>
        <v>0</v>
      </c>
      <c r="L78" s="193">
        <f t="shared" si="11"/>
        <v>0</v>
      </c>
      <c r="M78" s="194">
        <f t="shared" si="12"/>
        <v>3.3103783952601104E-11</v>
      </c>
      <c r="N78" s="194">
        <f t="shared" si="13"/>
        <v>32.228449377981228</v>
      </c>
      <c r="O78" s="195">
        <f>IF(ABS(U78)&gt;80,$B$7, LOOKUP(V78,'Force mapping'!$B$7:$B$167,'Force mapping'!$E$7:$E$167))</f>
        <v>689</v>
      </c>
      <c r="P78" s="196">
        <f t="shared" si="4"/>
        <v>0.623</v>
      </c>
      <c r="Q78" s="191">
        <f t="shared" si="5"/>
        <v>7.106786273093296</v>
      </c>
      <c r="R78" s="197">
        <f>IF(ABS(U78)&gt;80, 0, LOOKUP(V78,'Force mapping'!$B$7:$B$167,'Force mapping'!$D$7:$D$167) * (N78/5) * SIGN(U78))</f>
        <v>-4.5228116719083733</v>
      </c>
      <c r="S78" s="198">
        <f t="shared" si="6"/>
        <v>-262.95416697141707</v>
      </c>
      <c r="T78" s="199">
        <f t="shared" si="14"/>
        <v>32.43578587516209</v>
      </c>
      <c r="U78" s="200">
        <f t="shared" si="15"/>
        <v>-33.029743909540692</v>
      </c>
      <c r="V78" s="176">
        <f t="shared" si="7"/>
        <v>33</v>
      </c>
      <c r="Y78" s="91"/>
      <c r="Z78" s="88"/>
    </row>
    <row r="79" spans="5:26" ht="12.5" x14ac:dyDescent="0.25">
      <c r="E79" s="186">
        <f t="shared" si="8"/>
        <v>75</v>
      </c>
      <c r="F79" s="187">
        <f t="shared" si="0"/>
        <v>3.75</v>
      </c>
      <c r="G79" s="188">
        <f t="shared" si="1"/>
        <v>4.3730000000000002</v>
      </c>
      <c r="H79" s="189">
        <f t="shared" si="2"/>
        <v>246.14657230296032</v>
      </c>
      <c r="I79" s="190">
        <f t="shared" si="9"/>
        <v>1.129812766870588</v>
      </c>
      <c r="J79" s="191">
        <f t="shared" si="10"/>
        <v>39.834408321167963</v>
      </c>
      <c r="K79" s="192" t="b">
        <f t="shared" si="3"/>
        <v>0</v>
      </c>
      <c r="L79" s="193">
        <f t="shared" si="11"/>
        <v>0</v>
      </c>
      <c r="M79" s="194">
        <f t="shared" si="12"/>
        <v>1.2248400062462408E-11</v>
      </c>
      <c r="N79" s="194">
        <f t="shared" si="13"/>
        <v>29.641896458402726</v>
      </c>
      <c r="O79" s="195">
        <f>IF(ABS(U79)&gt;80,$B$7, LOOKUP(V79,'Force mapping'!$B$7:$B$167,'Force mapping'!$E$7:$E$167))</f>
        <v>645</v>
      </c>
      <c r="P79" s="196">
        <f t="shared" si="4"/>
        <v>0.623</v>
      </c>
      <c r="Q79" s="191">
        <f t="shared" si="5"/>
        <v>6.5364181933913708</v>
      </c>
      <c r="R79" s="197">
        <f>IF(ABS(U79)&gt;80, 0, LOOKUP(V79,'Force mapping'!$B$7:$B$167,'Force mapping'!$D$7:$D$167) * (N79/5) * SIGN(U79))</f>
        <v>-3.1953964382158135</v>
      </c>
      <c r="S79" s="198">
        <f t="shared" si="6"/>
        <v>-185.77886268696591</v>
      </c>
      <c r="T79" s="199">
        <f t="shared" si="14"/>
        <v>32.42263816681352</v>
      </c>
      <c r="U79" s="200">
        <f t="shared" si="15"/>
        <v>-34.644959349124512</v>
      </c>
      <c r="V79" s="176">
        <f t="shared" si="7"/>
        <v>34.5</v>
      </c>
      <c r="Y79" s="91"/>
      <c r="Z79" s="88"/>
    </row>
    <row r="80" spans="5:26" ht="12.5" x14ac:dyDescent="0.25">
      <c r="E80" s="186">
        <f t="shared" si="8"/>
        <v>76</v>
      </c>
      <c r="F80" s="187">
        <f t="shared" si="0"/>
        <v>3.8000000000000003</v>
      </c>
      <c r="G80" s="188">
        <f t="shared" si="1"/>
        <v>4.423</v>
      </c>
      <c r="H80" s="189">
        <f t="shared" si="2"/>
        <v>246.14657230296032</v>
      </c>
      <c r="I80" s="190">
        <f t="shared" si="9"/>
        <v>1.129812766870588</v>
      </c>
      <c r="J80" s="191">
        <f t="shared" si="10"/>
        <v>39.834408321167963</v>
      </c>
      <c r="K80" s="192" t="b">
        <f t="shared" si="3"/>
        <v>0</v>
      </c>
      <c r="L80" s="193">
        <f t="shared" si="11"/>
        <v>0</v>
      </c>
      <c r="M80" s="194">
        <f t="shared" si="12"/>
        <v>4.531908023111091E-12</v>
      </c>
      <c r="N80" s="194">
        <f t="shared" si="13"/>
        <v>27.262932055642658</v>
      </c>
      <c r="O80" s="195">
        <f>IF(ABS(U80)&gt;80,$B$7, LOOKUP(V80,'Force mapping'!$B$7:$B$167,'Force mapping'!$E$7:$E$167))</f>
        <v>599.5</v>
      </c>
      <c r="P80" s="196">
        <f t="shared" si="4"/>
        <v>0.623</v>
      </c>
      <c r="Q80" s="191">
        <f t="shared" si="5"/>
        <v>6.0118260430391501</v>
      </c>
      <c r="R80" s="197">
        <f>IF(ABS(U80)&gt;80, 0, LOOKUP(V80,'Force mapping'!$B$7:$B$167,'Force mapping'!$D$7:$D$167) * (N80/5) * SIGN(U80))</f>
        <v>-1.9022983471145218</v>
      </c>
      <c r="S80" s="198">
        <f t="shared" si="6"/>
        <v>-110.59874111130941</v>
      </c>
      <c r="T80" s="199">
        <f t="shared" si="14"/>
        <v>32.41334922367917</v>
      </c>
      <c r="U80" s="200">
        <f t="shared" si="15"/>
        <v>-36.261446785898016</v>
      </c>
      <c r="V80" s="176">
        <f t="shared" si="7"/>
        <v>36.5</v>
      </c>
      <c r="Y80" s="91"/>
      <c r="Z80" s="88"/>
    </row>
    <row r="81" spans="5:26" ht="12.5" x14ac:dyDescent="0.25">
      <c r="E81" s="186">
        <f t="shared" si="8"/>
        <v>77</v>
      </c>
      <c r="F81" s="187">
        <f t="shared" si="0"/>
        <v>3.85</v>
      </c>
      <c r="G81" s="188">
        <f t="shared" si="1"/>
        <v>4.4729999999999999</v>
      </c>
      <c r="H81" s="189">
        <f t="shared" si="2"/>
        <v>246.14657230296032</v>
      </c>
      <c r="I81" s="190">
        <f t="shared" si="9"/>
        <v>1.129812766870588</v>
      </c>
      <c r="J81" s="191">
        <f t="shared" si="10"/>
        <v>39.834408321167963</v>
      </c>
      <c r="K81" s="192" t="b">
        <f t="shared" si="3"/>
        <v>0</v>
      </c>
      <c r="L81" s="193">
        <f t="shared" si="11"/>
        <v>0</v>
      </c>
      <c r="M81" s="194">
        <f t="shared" si="12"/>
        <v>1.6768059685511038E-12</v>
      </c>
      <c r="N81" s="194">
        <f t="shared" si="13"/>
        <v>25.07489577509385</v>
      </c>
      <c r="O81" s="195">
        <f>IF(ABS(U81)&gt;80,$B$7, LOOKUP(V81,'Force mapping'!$B$7:$B$167,'Force mapping'!$E$7:$E$167))</f>
        <v>576</v>
      </c>
      <c r="P81" s="196">
        <f t="shared" si="4"/>
        <v>0.623</v>
      </c>
      <c r="Q81" s="191">
        <f t="shared" si="5"/>
        <v>5.5293359914309521</v>
      </c>
      <c r="R81" s="197">
        <f>IF(ABS(U81)&gt;80, 0, LOOKUP(V81,'Force mapping'!$B$7:$B$167,'Force mapping'!$D$7:$D$167) * (N81/5) * SIGN(U81))</f>
        <v>-1.1647790585446594</v>
      </c>
      <c r="S81" s="198">
        <f t="shared" si="6"/>
        <v>-67.719712706084849</v>
      </c>
      <c r="T81" s="199">
        <f t="shared" si="14"/>
        <v>32.407819286623607</v>
      </c>
      <c r="U81" s="200">
        <f t="shared" si="15"/>
        <v>-37.879349278554194</v>
      </c>
      <c r="V81" s="176">
        <f t="shared" si="7"/>
        <v>38</v>
      </c>
      <c r="Y81" s="91"/>
      <c r="Z81" s="88"/>
    </row>
    <row r="82" spans="5:26" ht="12.5" x14ac:dyDescent="0.25">
      <c r="E82" s="186">
        <f t="shared" si="8"/>
        <v>78</v>
      </c>
      <c r="F82" s="187">
        <f t="shared" si="0"/>
        <v>3.9000000000000004</v>
      </c>
      <c r="G82" s="188">
        <f t="shared" si="1"/>
        <v>4.5230000000000006</v>
      </c>
      <c r="H82" s="189">
        <f t="shared" si="2"/>
        <v>246.14657230296032</v>
      </c>
      <c r="I82" s="190">
        <f t="shared" si="9"/>
        <v>1.129812766870588</v>
      </c>
      <c r="J82" s="191">
        <f t="shared" si="10"/>
        <v>39.834408321167963</v>
      </c>
      <c r="K82" s="192" t="b">
        <f t="shared" si="3"/>
        <v>0</v>
      </c>
      <c r="L82" s="193">
        <f t="shared" si="11"/>
        <v>0</v>
      </c>
      <c r="M82" s="194">
        <f t="shared" si="12"/>
        <v>6.2041820836390839E-13</v>
      </c>
      <c r="N82" s="194">
        <f t="shared" si="13"/>
        <v>23.062464332470078</v>
      </c>
      <c r="O82" s="195">
        <f>IF(ABS(U82)&gt;80,$B$7, LOOKUP(V82,'Force mapping'!$B$7:$B$167,'Force mapping'!$E$7:$E$167))</f>
        <v>561.5</v>
      </c>
      <c r="P82" s="196">
        <f t="shared" si="4"/>
        <v>0.623</v>
      </c>
      <c r="Q82" s="191">
        <f t="shared" si="5"/>
        <v>5.0855690579292991</v>
      </c>
      <c r="R82" s="197">
        <f>IF(ABS(U82)&gt;80, 0, LOOKUP(V82,'Force mapping'!$B$7:$B$167,'Force mapping'!$D$7:$D$167) * (N82/5) * SIGN(U82))</f>
        <v>-0.6893370588975305</v>
      </c>
      <c r="S82" s="198">
        <f t="shared" si="6"/>
        <v>-40.077735982414566</v>
      </c>
      <c r="T82" s="199">
        <f t="shared" si="14"/>
        <v>32.404433300988302</v>
      </c>
      <c r="U82" s="200">
        <f t="shared" si="15"/>
        <v>-39.498047250067721</v>
      </c>
      <c r="V82" s="176">
        <f t="shared" si="7"/>
        <v>39.5</v>
      </c>
      <c r="Y82" s="91"/>
      <c r="Z82" s="88"/>
    </row>
    <row r="83" spans="5:26" ht="12.5" x14ac:dyDescent="0.25">
      <c r="E83" s="186">
        <f t="shared" si="8"/>
        <v>79</v>
      </c>
      <c r="F83" s="187">
        <f t="shared" si="0"/>
        <v>3.95</v>
      </c>
      <c r="G83" s="188">
        <f t="shared" si="1"/>
        <v>4.5730000000000004</v>
      </c>
      <c r="H83" s="189">
        <f t="shared" si="2"/>
        <v>246.14657230296032</v>
      </c>
      <c r="I83" s="190">
        <f t="shared" si="9"/>
        <v>1.129812766870588</v>
      </c>
      <c r="J83" s="191">
        <f t="shared" si="10"/>
        <v>39.834408321167963</v>
      </c>
      <c r="K83" s="192" t="b">
        <f t="shared" si="3"/>
        <v>0</v>
      </c>
      <c r="L83" s="193">
        <f t="shared" si="11"/>
        <v>0</v>
      </c>
      <c r="M83" s="194">
        <f t="shared" si="12"/>
        <v>2.2955473709464608E-13</v>
      </c>
      <c r="N83" s="194">
        <f t="shared" si="13"/>
        <v>21.211544241581681</v>
      </c>
      <c r="O83" s="195">
        <f>IF(ABS(U83)&gt;80,$B$7, LOOKUP(V83,'Force mapping'!$B$7:$B$167,'Force mapping'!$E$7:$E$167))</f>
        <v>552</v>
      </c>
      <c r="P83" s="196">
        <f t="shared" si="4"/>
        <v>0.623</v>
      </c>
      <c r="Q83" s="191">
        <f t="shared" si="5"/>
        <v>4.6774174481436521</v>
      </c>
      <c r="R83" s="197">
        <f>IF(ABS(U83)&gt;80, 0, LOOKUP(V83,'Force mapping'!$B$7:$B$167,'Force mapping'!$D$7:$D$167) * (N83/5) * SIGN(U83))</f>
        <v>-0.37417164042150081</v>
      </c>
      <c r="S83" s="198">
        <f t="shared" si="6"/>
        <v>-21.754165140784931</v>
      </c>
      <c r="T83" s="199">
        <f t="shared" si="14"/>
        <v>32.402429414189179</v>
      </c>
      <c r="U83" s="200">
        <f t="shared" si="15"/>
        <v>-41.117266971717576</v>
      </c>
      <c r="V83" s="176">
        <f t="shared" si="7"/>
        <v>41</v>
      </c>
      <c r="Y83" s="91"/>
      <c r="Z83" s="88"/>
    </row>
    <row r="84" spans="5:26" ht="12.5" x14ac:dyDescent="0.25">
      <c r="E84" s="186">
        <f t="shared" si="8"/>
        <v>80</v>
      </c>
      <c r="F84" s="187">
        <f t="shared" si="0"/>
        <v>4</v>
      </c>
      <c r="G84" s="188">
        <f t="shared" si="1"/>
        <v>4.6230000000000002</v>
      </c>
      <c r="H84" s="189">
        <f t="shared" si="2"/>
        <v>246.14657230296032</v>
      </c>
      <c r="I84" s="190">
        <f t="shared" si="9"/>
        <v>1.129812766870588</v>
      </c>
      <c r="J84" s="191">
        <f t="shared" si="10"/>
        <v>39.834408321167963</v>
      </c>
      <c r="K84" s="192" t="b">
        <f t="shared" si="3"/>
        <v>0</v>
      </c>
      <c r="L84" s="193">
        <f t="shared" si="11"/>
        <v>0</v>
      </c>
      <c r="M84" s="194">
        <f t="shared" si="12"/>
        <v>8.4935252725019047E-14</v>
      </c>
      <c r="N84" s="194">
        <f t="shared" si="13"/>
        <v>19.509173114648981</v>
      </c>
      <c r="O84" s="195">
        <f>IF(ABS(U84)&gt;80,$B$7, LOOKUP(V84,'Force mapping'!$B$7:$B$167,'Force mapping'!$E$7:$E$167))</f>
        <v>547</v>
      </c>
      <c r="P84" s="196">
        <f t="shared" si="4"/>
        <v>0.623</v>
      </c>
      <c r="Q84" s="191">
        <f t="shared" si="5"/>
        <v>4.3020227893841341</v>
      </c>
      <c r="R84" s="197">
        <f>IF(ABS(U84)&gt;80, 0, LOOKUP(V84,'Force mapping'!$B$7:$B$167,'Force mapping'!$D$7:$D$167) * (N84/5) * SIGN(U84))</f>
        <v>-0.21413268410638722</v>
      </c>
      <c r="S84" s="198">
        <f t="shared" si="6"/>
        <v>-12.449574657348094</v>
      </c>
      <c r="T84" s="199">
        <f t="shared" si="14"/>
        <v>32.40134170593214</v>
      </c>
      <c r="U84" s="200">
        <f t="shared" si="15"/>
        <v>-42.736844588298517</v>
      </c>
      <c r="V84" s="176">
        <f t="shared" si="7"/>
        <v>42.5</v>
      </c>
      <c r="Y84" s="91"/>
      <c r="Z84" s="88"/>
    </row>
    <row r="85" spans="5:26" ht="12.5" x14ac:dyDescent="0.25">
      <c r="E85" s="186">
        <f t="shared" si="8"/>
        <v>81</v>
      </c>
      <c r="F85" s="187">
        <f t="shared" si="0"/>
        <v>4.05</v>
      </c>
      <c r="G85" s="188">
        <f t="shared" si="1"/>
        <v>4.673</v>
      </c>
      <c r="H85" s="189">
        <f t="shared" si="2"/>
        <v>246.14657230296032</v>
      </c>
      <c r="I85" s="190">
        <f t="shared" si="9"/>
        <v>1.129812766870588</v>
      </c>
      <c r="J85" s="191">
        <f t="shared" si="10"/>
        <v>39.834408321167963</v>
      </c>
      <c r="K85" s="192" t="b">
        <f t="shared" si="3"/>
        <v>0</v>
      </c>
      <c r="L85" s="193">
        <f t="shared" si="11"/>
        <v>0</v>
      </c>
      <c r="M85" s="194">
        <f t="shared" si="12"/>
        <v>3.1426043508257046E-14</v>
      </c>
      <c r="N85" s="194">
        <f t="shared" si="13"/>
        <v>17.943428883938797</v>
      </c>
      <c r="O85" s="195">
        <f>IF(ABS(U85)&gt;80,$B$7, LOOKUP(V85,'Force mapping'!$B$7:$B$167,'Force mapping'!$E$7:$E$167))</f>
        <v>543.5</v>
      </c>
      <c r="P85" s="196">
        <f t="shared" si="4"/>
        <v>0.623</v>
      </c>
      <c r="Q85" s="191">
        <f t="shared" si="5"/>
        <v>3.9567561128685549</v>
      </c>
      <c r="R85" s="197">
        <f>IF(ABS(U85)&gt;80, 0, LOOKUP(V85,'Force mapping'!$B$7:$B$167,'Force mapping'!$D$7:$D$167) * (N85/5) * SIGN(U85))</f>
        <v>-0.10726581786818613</v>
      </c>
      <c r="S85" s="198">
        <f t="shared" si="6"/>
        <v>-6.2363847597782636</v>
      </c>
      <c r="T85" s="199">
        <f t="shared" si="14"/>
        <v>32.400719227199275</v>
      </c>
      <c r="U85" s="200">
        <f t="shared" si="15"/>
        <v>-44.356600434228689</v>
      </c>
      <c r="V85" s="176">
        <f t="shared" si="7"/>
        <v>44.5</v>
      </c>
      <c r="Y85" s="91"/>
      <c r="Z85" s="88"/>
    </row>
    <row r="86" spans="5:26" ht="12.5" x14ac:dyDescent="0.25">
      <c r="E86" s="186">
        <f t="shared" si="8"/>
        <v>82</v>
      </c>
      <c r="F86" s="187">
        <f t="shared" si="0"/>
        <v>4.1000000000000005</v>
      </c>
      <c r="G86" s="188">
        <f t="shared" si="1"/>
        <v>4.7230000000000008</v>
      </c>
      <c r="H86" s="189">
        <f t="shared" si="2"/>
        <v>246.14657230296032</v>
      </c>
      <c r="I86" s="190">
        <f t="shared" si="9"/>
        <v>1.129812766870588</v>
      </c>
      <c r="J86" s="191">
        <f t="shared" si="10"/>
        <v>39.834408321167963</v>
      </c>
      <c r="K86" s="192" t="b">
        <f t="shared" si="3"/>
        <v>0</v>
      </c>
      <c r="L86" s="193">
        <f t="shared" si="11"/>
        <v>0</v>
      </c>
      <c r="M86" s="194">
        <f t="shared" si="12"/>
        <v>1.1627636098055107E-14</v>
      </c>
      <c r="N86" s="194">
        <f t="shared" si="13"/>
        <v>16.50334630898384</v>
      </c>
      <c r="O86" s="195">
        <f>IF(ABS(U86)&gt;80,$B$7, LOOKUP(V86,'Force mapping'!$B$7:$B$167,'Force mapping'!$E$7:$E$167))</f>
        <v>542</v>
      </c>
      <c r="P86" s="196">
        <f t="shared" si="4"/>
        <v>0.623</v>
      </c>
      <c r="Q86" s="191">
        <f t="shared" si="5"/>
        <v>3.6391994424938727</v>
      </c>
      <c r="R86" s="197">
        <f>IF(ABS(U86)&gt;80, 0, LOOKUP(V86,'Force mapping'!$B$7:$B$167,'Force mapping'!$D$7:$D$167) * (N86/5) * SIGN(U86))</f>
        <v>-6.4693117531216648E-2</v>
      </c>
      <c r="S86" s="198">
        <f t="shared" si="6"/>
        <v>-3.7612277634428284</v>
      </c>
      <c r="T86" s="199">
        <f t="shared" si="14"/>
        <v>32.400407407961289</v>
      </c>
      <c r="U86" s="200">
        <f t="shared" si="15"/>
        <v>-45.97648048596966</v>
      </c>
      <c r="V86" s="176">
        <f t="shared" si="7"/>
        <v>46</v>
      </c>
      <c r="Y86" s="91"/>
      <c r="Z86" s="88"/>
    </row>
    <row r="87" spans="5:26" ht="12.5" x14ac:dyDescent="0.25">
      <c r="E87" s="186">
        <f t="shared" si="8"/>
        <v>83</v>
      </c>
      <c r="F87" s="187">
        <f t="shared" si="0"/>
        <v>4.1500000000000004</v>
      </c>
      <c r="G87" s="188">
        <f t="shared" si="1"/>
        <v>4.7730000000000006</v>
      </c>
      <c r="H87" s="189">
        <f t="shared" si="2"/>
        <v>246.14657230296032</v>
      </c>
      <c r="I87" s="190">
        <f t="shared" si="9"/>
        <v>1.129812766870588</v>
      </c>
      <c r="J87" s="191">
        <f t="shared" si="10"/>
        <v>39.834408321167963</v>
      </c>
      <c r="K87" s="192" t="b">
        <f t="shared" si="3"/>
        <v>0</v>
      </c>
      <c r="L87" s="193">
        <f t="shared" si="11"/>
        <v>0</v>
      </c>
      <c r="M87" s="194">
        <f t="shared" si="12"/>
        <v>4.3022253562803896E-15</v>
      </c>
      <c r="N87" s="194">
        <f t="shared" si="13"/>
        <v>15.178840184667321</v>
      </c>
      <c r="O87" s="195">
        <f>IF(ABS(U87)&gt;80,$B$7, LOOKUP(V87,'Force mapping'!$B$7:$B$167,'Force mapping'!$E$7:$E$167))</f>
        <v>540.5</v>
      </c>
      <c r="P87" s="196">
        <f t="shared" si="4"/>
        <v>0.623</v>
      </c>
      <c r="Q87" s="191">
        <f t="shared" si="5"/>
        <v>3.3471288612343324</v>
      </c>
      <c r="R87" s="197">
        <f>IF(ABS(U87)&gt;80, 0, LOOKUP(V87,'Force mapping'!$B$7:$B$167,'Force mapping'!$D$7:$D$167) * (N87/5) * SIGN(U87))</f>
        <v>-4.313826380482453E-2</v>
      </c>
      <c r="S87" s="198">
        <f t="shared" si="6"/>
        <v>-2.5080385933037519</v>
      </c>
      <c r="T87" s="199">
        <f t="shared" si="14"/>
        <v>32.400219346573117</v>
      </c>
      <c r="U87" s="200">
        <f t="shared" si="15"/>
        <v>-47.59640682567364</v>
      </c>
      <c r="V87" s="176">
        <f t="shared" si="7"/>
        <v>47.5</v>
      </c>
      <c r="Y87" s="91"/>
      <c r="Z87" s="88"/>
    </row>
    <row r="88" spans="5:26" ht="12.5" x14ac:dyDescent="0.25">
      <c r="E88" s="186">
        <f t="shared" si="8"/>
        <v>84</v>
      </c>
      <c r="F88" s="187">
        <f t="shared" si="0"/>
        <v>4.2</v>
      </c>
      <c r="G88" s="188">
        <f t="shared" si="1"/>
        <v>4.8230000000000004</v>
      </c>
      <c r="H88" s="189">
        <f t="shared" si="2"/>
        <v>246.14657230296032</v>
      </c>
      <c r="I88" s="190">
        <f t="shared" si="9"/>
        <v>1.129812766870588</v>
      </c>
      <c r="J88" s="191">
        <f t="shared" si="10"/>
        <v>39.834408321167963</v>
      </c>
      <c r="K88" s="192" t="b">
        <f t="shared" si="3"/>
        <v>0</v>
      </c>
      <c r="L88" s="193">
        <f t="shared" si="11"/>
        <v>0</v>
      </c>
      <c r="M88" s="194">
        <f t="shared" si="12"/>
        <v>1.5918233818237443E-15</v>
      </c>
      <c r="N88" s="194">
        <f t="shared" si="13"/>
        <v>13.960634712382625</v>
      </c>
      <c r="O88" s="195">
        <f>IF(ABS(U88)&gt;80,$B$7, LOOKUP(V88,'Force mapping'!$B$7:$B$167,'Force mapping'!$E$7:$E$167))</f>
        <v>540</v>
      </c>
      <c r="P88" s="196">
        <f t="shared" si="4"/>
        <v>0.623</v>
      </c>
      <c r="Q88" s="191">
        <f t="shared" si="5"/>
        <v>3.0784989365766813</v>
      </c>
      <c r="R88" s="197">
        <f>IF(ABS(U88)&gt;80, 0, LOOKUP(V88,'Force mapping'!$B$7:$B$167,'Force mapping'!$D$7:$D$167) * (N88/5) * SIGN(U88))</f>
        <v>-2.7362844036269943E-2</v>
      </c>
      <c r="S88" s="198">
        <f t="shared" si="6"/>
        <v>-1.5908630253645315</v>
      </c>
      <c r="T88" s="199">
        <f t="shared" si="14"/>
        <v>32.400093944643451</v>
      </c>
      <c r="U88" s="200">
        <f t="shared" si="15"/>
        <v>-49.21635509203746</v>
      </c>
      <c r="V88" s="176">
        <f t="shared" si="7"/>
        <v>49</v>
      </c>
      <c r="Y88" s="91"/>
      <c r="Z88" s="88"/>
    </row>
    <row r="89" spans="5:26" ht="12.5" x14ac:dyDescent="0.25">
      <c r="E89" s="186">
        <f t="shared" si="8"/>
        <v>85</v>
      </c>
      <c r="F89" s="187">
        <f t="shared" si="0"/>
        <v>4.25</v>
      </c>
      <c r="G89" s="188">
        <f t="shared" si="1"/>
        <v>4.8730000000000002</v>
      </c>
      <c r="H89" s="189">
        <f t="shared" si="2"/>
        <v>246.14657230296032</v>
      </c>
      <c r="I89" s="190">
        <f t="shared" si="9"/>
        <v>1.129812766870588</v>
      </c>
      <c r="J89" s="191">
        <f t="shared" si="10"/>
        <v>39.834408321167963</v>
      </c>
      <c r="K89" s="192" t="b">
        <f t="shared" si="3"/>
        <v>0</v>
      </c>
      <c r="L89" s="193">
        <f t="shared" si="11"/>
        <v>0</v>
      </c>
      <c r="M89" s="194">
        <f t="shared" si="12"/>
        <v>5.8897465127478535E-16</v>
      </c>
      <c r="N89" s="194">
        <f t="shared" si="13"/>
        <v>12.840198539639236</v>
      </c>
      <c r="O89" s="195">
        <f>IF(ABS(U89)&gt;80,$B$7, LOOKUP(V89,'Force mapping'!$B$7:$B$167,'Force mapping'!$E$7:$E$167))</f>
        <v>539</v>
      </c>
      <c r="P89" s="196">
        <f t="shared" si="4"/>
        <v>0.623</v>
      </c>
      <c r="Q89" s="191">
        <f t="shared" si="5"/>
        <v>2.8314283959204469</v>
      </c>
      <c r="R89" s="197">
        <f>IF(ABS(U89)&gt;80, 0, LOOKUP(V89,'Force mapping'!$B$7:$B$167,'Force mapping'!$D$7:$D$167) * (N89/5) * SIGN(U89))</f>
        <v>-1.5100073482615741E-2</v>
      </c>
      <c r="S89" s="198">
        <f t="shared" si="6"/>
        <v>-0.8779112489892873</v>
      </c>
      <c r="T89" s="199">
        <f t="shared" si="14"/>
        <v>32.400014401492186</v>
      </c>
      <c r="U89" s="200">
        <f t="shared" si="15"/>
        <v>-50.836320017694</v>
      </c>
      <c r="V89" s="176">
        <f t="shared" si="7"/>
        <v>51</v>
      </c>
      <c r="Y89" s="91"/>
      <c r="Z89" s="88"/>
    </row>
    <row r="90" spans="5:26" ht="12.5" x14ac:dyDescent="0.25">
      <c r="E90" s="186">
        <f t="shared" si="8"/>
        <v>86</v>
      </c>
      <c r="F90" s="187">
        <f t="shared" si="0"/>
        <v>4.3</v>
      </c>
      <c r="G90" s="188">
        <f t="shared" si="1"/>
        <v>4.923</v>
      </c>
      <c r="H90" s="189">
        <f t="shared" si="2"/>
        <v>246.14657230296032</v>
      </c>
      <c r="I90" s="190">
        <f t="shared" si="9"/>
        <v>1.129812766870588</v>
      </c>
      <c r="J90" s="191">
        <f t="shared" si="10"/>
        <v>39.834408321167963</v>
      </c>
      <c r="K90" s="192" t="b">
        <f t="shared" si="3"/>
        <v>0</v>
      </c>
      <c r="L90" s="193">
        <f t="shared" si="11"/>
        <v>0</v>
      </c>
      <c r="M90" s="194">
        <f t="shared" si="12"/>
        <v>2.1792062097167058E-16</v>
      </c>
      <c r="N90" s="194">
        <f t="shared" si="13"/>
        <v>11.809685013183438</v>
      </c>
      <c r="O90" s="195">
        <f>IF(ABS(U90)&gt;80,$B$7, LOOKUP(V90,'Force mapping'!$B$7:$B$167,'Force mapping'!$E$7:$E$167))</f>
        <v>538.5</v>
      </c>
      <c r="P90" s="196">
        <f t="shared" si="4"/>
        <v>0.623</v>
      </c>
      <c r="Q90" s="191">
        <f t="shared" si="5"/>
        <v>2.6041869516250657</v>
      </c>
      <c r="R90" s="197">
        <f>IF(ABS(U90)&gt;80, 0, LOOKUP(V90,'Force mapping'!$B$7:$B$167,'Force mapping'!$D$7:$D$167) * (N90/5) * SIGN(U90))</f>
        <v>-1.2730840444211746E-2</v>
      </c>
      <c r="S90" s="198">
        <f t="shared" si="6"/>
        <v>-0.74016514210533402</v>
      </c>
      <c r="T90" s="199">
        <f t="shared" si="14"/>
        <v>32.399970505929737</v>
      </c>
      <c r="U90" s="200">
        <f t="shared" si="15"/>
        <v>-52.456298789987386</v>
      </c>
      <c r="V90" s="176">
        <f t="shared" si="7"/>
        <v>52.5</v>
      </c>
      <c r="Y90" s="91"/>
      <c r="Z90" s="88"/>
    </row>
    <row r="91" spans="5:26" ht="12.5" x14ac:dyDescent="0.25">
      <c r="E91" s="186">
        <f t="shared" si="8"/>
        <v>87</v>
      </c>
      <c r="F91" s="187">
        <f t="shared" si="0"/>
        <v>4.3500000000000005</v>
      </c>
      <c r="G91" s="188">
        <f t="shared" si="1"/>
        <v>4.9730000000000008</v>
      </c>
      <c r="H91" s="189">
        <f t="shared" si="2"/>
        <v>246.14657230296032</v>
      </c>
      <c r="I91" s="190">
        <f t="shared" si="9"/>
        <v>1.129812766870588</v>
      </c>
      <c r="J91" s="191">
        <f t="shared" si="10"/>
        <v>39.834408321167963</v>
      </c>
      <c r="K91" s="192" t="b">
        <f t="shared" si="3"/>
        <v>0</v>
      </c>
      <c r="L91" s="193">
        <f t="shared" si="11"/>
        <v>0</v>
      </c>
      <c r="M91" s="194">
        <f t="shared" si="12"/>
        <v>8.063062975951812E-17</v>
      </c>
      <c r="N91" s="194">
        <f t="shared" si="13"/>
        <v>10.861877227213661</v>
      </c>
      <c r="O91" s="195">
        <f>IF(ABS(U91)&gt;80,$B$7, LOOKUP(V91,'Force mapping'!$B$7:$B$167,'Force mapping'!$E$7:$E$167))</f>
        <v>538</v>
      </c>
      <c r="P91" s="196">
        <f t="shared" si="4"/>
        <v>0.623</v>
      </c>
      <c r="Q91" s="191">
        <f t="shared" si="5"/>
        <v>2.3951831834368584</v>
      </c>
      <c r="R91" s="197">
        <f>IF(ABS(U91)&gt;80, 0, LOOKUP(V91,'Force mapping'!$B$7:$B$167,'Force mapping'!$D$7:$D$167) * (N91/5) * SIGN(U91))</f>
        <v>-8.5157117461355097E-3</v>
      </c>
      <c r="S91" s="198">
        <f t="shared" si="6"/>
        <v>-0.49509952012415753</v>
      </c>
      <c r="T91" s="199">
        <f t="shared" si="14"/>
        <v>32.399933497672635</v>
      </c>
      <c r="U91" s="200">
        <f t="shared" si="15"/>
        <v>-54.076278811155319</v>
      </c>
      <c r="V91" s="176">
        <f t="shared" si="7"/>
        <v>54</v>
      </c>
      <c r="Y91" s="91"/>
      <c r="Z91" s="88"/>
    </row>
    <row r="92" spans="5:26" ht="12.5" x14ac:dyDescent="0.25">
      <c r="E92" s="186">
        <f t="shared" si="8"/>
        <v>88</v>
      </c>
      <c r="F92" s="187">
        <f t="shared" si="0"/>
        <v>4.4000000000000004</v>
      </c>
      <c r="G92" s="188">
        <f t="shared" si="1"/>
        <v>5.0230000000000006</v>
      </c>
      <c r="H92" s="189">
        <f t="shared" si="2"/>
        <v>246.14657230296032</v>
      </c>
      <c r="I92" s="190">
        <f t="shared" si="9"/>
        <v>1.129812766870588</v>
      </c>
      <c r="J92" s="191">
        <f t="shared" si="10"/>
        <v>39.834408321167963</v>
      </c>
      <c r="K92" s="192" t="b">
        <f t="shared" si="3"/>
        <v>0</v>
      </c>
      <c r="L92" s="193">
        <f t="shared" si="11"/>
        <v>0</v>
      </c>
      <c r="M92" s="194">
        <f t="shared" si="12"/>
        <v>2.9833333011021703E-17</v>
      </c>
      <c r="N92" s="194">
        <f t="shared" si="13"/>
        <v>9.9901374818514093</v>
      </c>
      <c r="O92" s="195">
        <f>IF(ABS(U92)&gt;80,$B$7, LOOKUP(V92,'Force mapping'!$B$7:$B$167,'Force mapping'!$E$7:$E$167))</f>
        <v>537</v>
      </c>
      <c r="P92" s="196">
        <f t="shared" si="4"/>
        <v>0.623</v>
      </c>
      <c r="Q92" s="191">
        <f t="shared" si="5"/>
        <v>2.2029533934339005</v>
      </c>
      <c r="R92" s="197">
        <f>IF(ABS(U92)&gt;80, 0, LOOKUP(V92,'Force mapping'!$B$7:$B$167,'Force mapping'!$D$7:$D$167) * (N92/5) * SIGN(U92))</f>
        <v>-5.8742008393286279E-3</v>
      </c>
      <c r="S92" s="198">
        <f t="shared" si="6"/>
        <v>-0.34152330461212954</v>
      </c>
      <c r="T92" s="199">
        <f t="shared" si="14"/>
        <v>32.399908742696631</v>
      </c>
      <c r="U92" s="200">
        <f t="shared" si="15"/>
        <v>-55.696263108550951</v>
      </c>
      <c r="V92" s="176">
        <f t="shared" si="7"/>
        <v>55.5</v>
      </c>
      <c r="Y92" s="91"/>
      <c r="Z92" s="88"/>
    </row>
    <row r="93" spans="5:26" ht="12.5" x14ac:dyDescent="0.25">
      <c r="E93" s="186">
        <f t="shared" si="8"/>
        <v>89</v>
      </c>
      <c r="F93" s="187">
        <f t="shared" si="0"/>
        <v>4.45</v>
      </c>
      <c r="G93" s="188">
        <f t="shared" si="1"/>
        <v>5.0730000000000004</v>
      </c>
      <c r="H93" s="189">
        <f t="shared" si="2"/>
        <v>246.14657230296032</v>
      </c>
      <c r="I93" s="190">
        <f t="shared" si="9"/>
        <v>1.129812766870588</v>
      </c>
      <c r="J93" s="191">
        <f t="shared" si="10"/>
        <v>39.834408321167963</v>
      </c>
      <c r="K93" s="192" t="b">
        <f t="shared" si="3"/>
        <v>0</v>
      </c>
      <c r="L93" s="193">
        <f t="shared" si="11"/>
        <v>0</v>
      </c>
      <c r="M93" s="194">
        <f t="shared" si="12"/>
        <v>1.103833321407803E-17</v>
      </c>
      <c r="N93" s="194">
        <f t="shared" si="13"/>
        <v>9.1883607979146991</v>
      </c>
      <c r="O93" s="195">
        <f>IF(ABS(U93)&gt;80,$B$7, LOOKUP(V93,'Force mapping'!$B$7:$B$167,'Force mapping'!$E$7:$E$167))</f>
        <v>536</v>
      </c>
      <c r="P93" s="196">
        <f t="shared" si="4"/>
        <v>0.623</v>
      </c>
      <c r="Q93" s="191">
        <f t="shared" si="5"/>
        <v>2.0261513554376003</v>
      </c>
      <c r="R93" s="197">
        <f>IF(ABS(U93)&gt;80, 0, LOOKUP(V93,'Force mapping'!$B$7:$B$167,'Force mapping'!$D$7:$D$167) * (N93/5) * SIGN(U93))</f>
        <v>-2.7013780745869212E-3</v>
      </c>
      <c r="S93" s="198">
        <f t="shared" si="6"/>
        <v>-0.15705686480156519</v>
      </c>
      <c r="T93" s="199">
        <f t="shared" si="14"/>
        <v>32.399891666531403</v>
      </c>
      <c r="U93" s="200">
        <f t="shared" si="15"/>
        <v>-57.316250007603166</v>
      </c>
      <c r="V93" s="176">
        <f t="shared" si="7"/>
        <v>57.5</v>
      </c>
      <c r="Y93" s="91"/>
      <c r="Z93" s="88"/>
    </row>
    <row r="94" spans="5:26" ht="12.5" x14ac:dyDescent="0.25">
      <c r="E94" s="186">
        <f t="shared" si="8"/>
        <v>90</v>
      </c>
      <c r="F94" s="187">
        <f t="shared" si="0"/>
        <v>4.5</v>
      </c>
      <c r="G94" s="188">
        <f t="shared" si="1"/>
        <v>5.1230000000000002</v>
      </c>
      <c r="H94" s="189">
        <f t="shared" si="2"/>
        <v>246.14657230296032</v>
      </c>
      <c r="I94" s="190">
        <f t="shared" si="9"/>
        <v>1.129812766870588</v>
      </c>
      <c r="J94" s="191">
        <f t="shared" si="10"/>
        <v>39.834408321167963</v>
      </c>
      <c r="K94" s="192" t="b">
        <f t="shared" si="3"/>
        <v>0</v>
      </c>
      <c r="L94" s="193">
        <f t="shared" si="11"/>
        <v>0</v>
      </c>
      <c r="M94" s="194">
        <f t="shared" si="12"/>
        <v>4.0841832892088702E-18</v>
      </c>
      <c r="N94" s="194">
        <f t="shared" si="13"/>
        <v>8.45093216244803</v>
      </c>
      <c r="O94" s="195">
        <f>IF(ABS(U94)&gt;80,$B$7, LOOKUP(V94,'Force mapping'!$B$7:$B$167,'Force mapping'!$E$7:$E$167))</f>
        <v>536</v>
      </c>
      <c r="P94" s="196">
        <f t="shared" si="4"/>
        <v>0.623</v>
      </c>
      <c r="Q94" s="191">
        <f t="shared" si="5"/>
        <v>1.8635388871039247</v>
      </c>
      <c r="R94" s="197">
        <f>IF(ABS(U94)&gt;80, 0, LOOKUP(V94,'Force mapping'!$B$7:$B$167,'Force mapping'!$D$7:$D$167) * (N94/5) * SIGN(U94))</f>
        <v>0</v>
      </c>
      <c r="S94" s="198">
        <f t="shared" si="6"/>
        <v>0</v>
      </c>
      <c r="T94" s="199">
        <f t="shared" si="14"/>
        <v>32.399883813688163</v>
      </c>
      <c r="U94" s="200">
        <f t="shared" si="15"/>
        <v>-58.936240664508119</v>
      </c>
      <c r="V94" s="176">
        <f t="shared" si="7"/>
        <v>59</v>
      </c>
      <c r="Y94" s="91"/>
      <c r="Z94" s="88"/>
    </row>
    <row r="95" spans="5:26" ht="12.5" x14ac:dyDescent="0.25">
      <c r="E95" s="186">
        <f t="shared" si="8"/>
        <v>91</v>
      </c>
      <c r="F95" s="187">
        <f t="shared" si="0"/>
        <v>4.55</v>
      </c>
      <c r="G95" s="188">
        <f t="shared" si="1"/>
        <v>5.173</v>
      </c>
      <c r="H95" s="189">
        <f t="shared" si="2"/>
        <v>246.14657230296032</v>
      </c>
      <c r="I95" s="190">
        <f t="shared" si="9"/>
        <v>1.129812766870588</v>
      </c>
      <c r="J95" s="191">
        <f t="shared" si="10"/>
        <v>39.834408321167963</v>
      </c>
      <c r="K95" s="192" t="b">
        <f t="shared" si="3"/>
        <v>0</v>
      </c>
      <c r="L95" s="193">
        <f t="shared" si="11"/>
        <v>0</v>
      </c>
      <c r="M95" s="194">
        <f t="shared" si="12"/>
        <v>1.5111478170072818E-18</v>
      </c>
      <c r="N95" s="194">
        <f t="shared" si="13"/>
        <v>7.772687205590243</v>
      </c>
      <c r="O95" s="195">
        <f>IF(ABS(U95)&gt;80,$B$7, LOOKUP(V95,'Force mapping'!$B$7:$B$167,'Force mapping'!$E$7:$E$167))</f>
        <v>536</v>
      </c>
      <c r="P95" s="196">
        <f t="shared" si="4"/>
        <v>0.623</v>
      </c>
      <c r="Q95" s="191">
        <f t="shared" si="5"/>
        <v>1.7139771786686175</v>
      </c>
      <c r="R95" s="197">
        <f>IF(ABS(U95)&gt;80, 0, LOOKUP(V95,'Force mapping'!$B$7:$B$167,'Force mapping'!$D$7:$D$167) * (N95/5) * SIGN(U95))</f>
        <v>0</v>
      </c>
      <c r="S95" s="198">
        <f t="shared" si="6"/>
        <v>0</v>
      </c>
      <c r="T95" s="199">
        <f t="shared" si="14"/>
        <v>32.399883813688163</v>
      </c>
      <c r="U95" s="200">
        <f t="shared" si="15"/>
        <v>-60.556234855192528</v>
      </c>
      <c r="V95" s="176">
        <f t="shared" si="7"/>
        <v>60.5</v>
      </c>
      <c r="Y95" s="91"/>
      <c r="Z95" s="88"/>
    </row>
    <row r="96" spans="5:26" ht="12.5" x14ac:dyDescent="0.25">
      <c r="E96" s="186">
        <f t="shared" si="8"/>
        <v>92</v>
      </c>
      <c r="F96" s="187">
        <f t="shared" si="0"/>
        <v>4.6000000000000005</v>
      </c>
      <c r="G96" s="188">
        <f t="shared" si="1"/>
        <v>5.2230000000000008</v>
      </c>
      <c r="H96" s="189">
        <f t="shared" si="2"/>
        <v>246.14657230296032</v>
      </c>
      <c r="I96" s="190">
        <f t="shared" si="9"/>
        <v>1.129812766870588</v>
      </c>
      <c r="J96" s="191">
        <f t="shared" si="10"/>
        <v>39.834408321167963</v>
      </c>
      <c r="K96" s="192" t="b">
        <f t="shared" si="3"/>
        <v>0</v>
      </c>
      <c r="L96" s="193">
        <f t="shared" si="11"/>
        <v>0</v>
      </c>
      <c r="M96" s="194">
        <f t="shared" si="12"/>
        <v>5.5912469229269435E-19</v>
      </c>
      <c r="N96" s="194">
        <f t="shared" si="13"/>
        <v>7.1488760333919892</v>
      </c>
      <c r="O96" s="195">
        <f>IF(ABS(U96)&gt;80,$B$7, LOOKUP(V96,'Force mapping'!$B$7:$B$167,'Force mapping'!$E$7:$E$167))</f>
        <v>536</v>
      </c>
      <c r="P96" s="196">
        <f t="shared" si="4"/>
        <v>0.623</v>
      </c>
      <c r="Q96" s="191">
        <f t="shared" si="5"/>
        <v>1.5764188176197718</v>
      </c>
      <c r="R96" s="197">
        <f>IF(ABS(U96)&gt;80, 0, LOOKUP(V96,'Force mapping'!$B$7:$B$167,'Force mapping'!$D$7:$D$167) * (N96/5) * SIGN(U96))</f>
        <v>0</v>
      </c>
      <c r="S96" s="198">
        <f t="shared" si="6"/>
        <v>0</v>
      </c>
      <c r="T96" s="199">
        <f t="shared" si="14"/>
        <v>32.399883813688163</v>
      </c>
      <c r="U96" s="200">
        <f t="shared" si="15"/>
        <v>-62.176229045876937</v>
      </c>
      <c r="V96" s="176">
        <f t="shared" si="7"/>
        <v>62</v>
      </c>
      <c r="Y96" s="91"/>
      <c r="Z96" s="88"/>
    </row>
    <row r="97" spans="5:26" ht="12.5" x14ac:dyDescent="0.25">
      <c r="E97" s="186">
        <f t="shared" si="8"/>
        <v>93</v>
      </c>
      <c r="F97" s="187">
        <f t="shared" si="0"/>
        <v>4.6500000000000004</v>
      </c>
      <c r="G97" s="188">
        <f t="shared" si="1"/>
        <v>5.2730000000000006</v>
      </c>
      <c r="H97" s="189">
        <f t="shared" si="2"/>
        <v>246.14657230296032</v>
      </c>
      <c r="I97" s="190">
        <f t="shared" si="9"/>
        <v>1.129812766870588</v>
      </c>
      <c r="J97" s="191">
        <f t="shared" si="10"/>
        <v>39.834408321167963</v>
      </c>
      <c r="K97" s="192" t="b">
        <f t="shared" si="3"/>
        <v>0</v>
      </c>
      <c r="L97" s="193">
        <f t="shared" si="11"/>
        <v>0</v>
      </c>
      <c r="M97" s="194">
        <f t="shared" si="12"/>
        <v>2.0687613614829689E-19</v>
      </c>
      <c r="N97" s="194">
        <f t="shared" si="13"/>
        <v>6.575129963296324</v>
      </c>
      <c r="O97" s="195">
        <f>IF(ABS(U97)&gt;80,$B$7, LOOKUP(V97,'Force mapping'!$B$7:$B$167,'Force mapping'!$E$7:$E$167))</f>
        <v>536</v>
      </c>
      <c r="P97" s="196">
        <f t="shared" si="4"/>
        <v>0.623</v>
      </c>
      <c r="Q97" s="191">
        <f t="shared" si="5"/>
        <v>1.4499004534448305</v>
      </c>
      <c r="R97" s="197">
        <f>IF(ABS(U97)&gt;80, 0, LOOKUP(V97,'Force mapping'!$B$7:$B$167,'Force mapping'!$D$7:$D$167) * (N97/5) * SIGN(U97))</f>
        <v>0</v>
      </c>
      <c r="S97" s="198">
        <f t="shared" si="6"/>
        <v>0</v>
      </c>
      <c r="T97" s="199">
        <f t="shared" si="14"/>
        <v>32.399883813688163</v>
      </c>
      <c r="U97" s="200">
        <f t="shared" si="15"/>
        <v>-63.796223236561346</v>
      </c>
      <c r="V97" s="176">
        <f t="shared" si="7"/>
        <v>64</v>
      </c>
      <c r="Y97" s="91"/>
      <c r="Z97" s="88"/>
    </row>
    <row r="98" spans="5:26" ht="12.5" x14ac:dyDescent="0.25">
      <c r="E98" s="186">
        <f t="shared" si="8"/>
        <v>94</v>
      </c>
      <c r="F98" s="187">
        <f t="shared" si="0"/>
        <v>4.7</v>
      </c>
      <c r="G98" s="188">
        <f t="shared" si="1"/>
        <v>5.3230000000000004</v>
      </c>
      <c r="H98" s="189">
        <f t="shared" si="2"/>
        <v>246.14657230296032</v>
      </c>
      <c r="I98" s="190">
        <f t="shared" si="9"/>
        <v>1.129812766870588</v>
      </c>
      <c r="J98" s="191">
        <f t="shared" si="10"/>
        <v>39.834408321167963</v>
      </c>
      <c r="K98" s="192" t="b">
        <f t="shared" si="3"/>
        <v>0</v>
      </c>
      <c r="L98" s="193">
        <f t="shared" si="11"/>
        <v>0</v>
      </c>
      <c r="M98" s="194">
        <f t="shared" si="12"/>
        <v>7.6544170374869856E-20</v>
      </c>
      <c r="N98" s="194">
        <f t="shared" si="13"/>
        <v>6.047430929323907</v>
      </c>
      <c r="O98" s="195">
        <f>IF(ABS(U98)&gt;80,$B$7, LOOKUP(V98,'Force mapping'!$B$7:$B$167,'Force mapping'!$E$7:$E$167))</f>
        <v>536</v>
      </c>
      <c r="P98" s="196">
        <f t="shared" si="4"/>
        <v>0.623</v>
      </c>
      <c r="Q98" s="191">
        <f t="shared" si="5"/>
        <v>1.3335360510816821</v>
      </c>
      <c r="R98" s="197">
        <f>IF(ABS(U98)&gt;80, 0, LOOKUP(V98,'Force mapping'!$B$7:$B$167,'Force mapping'!$D$7:$D$167) * (N98/5) * SIGN(U98))</f>
        <v>0</v>
      </c>
      <c r="S98" s="198">
        <f t="shared" si="6"/>
        <v>0</v>
      </c>
      <c r="T98" s="199">
        <f t="shared" si="14"/>
        <v>32.399883813688163</v>
      </c>
      <c r="U98" s="200">
        <f t="shared" si="15"/>
        <v>-65.416217427245755</v>
      </c>
      <c r="V98" s="176">
        <f t="shared" si="7"/>
        <v>65.5</v>
      </c>
      <c r="Y98" s="91"/>
      <c r="Z98" s="88"/>
    </row>
    <row r="99" spans="5:26" ht="12.5" x14ac:dyDescent="0.25">
      <c r="E99" s="186">
        <f t="shared" si="8"/>
        <v>95</v>
      </c>
      <c r="F99" s="187">
        <f t="shared" si="0"/>
        <v>4.75</v>
      </c>
      <c r="G99" s="188">
        <f t="shared" si="1"/>
        <v>5.3730000000000002</v>
      </c>
      <c r="H99" s="189">
        <f t="shared" si="2"/>
        <v>246.14657230296032</v>
      </c>
      <c r="I99" s="190">
        <f t="shared" si="9"/>
        <v>1.129812766870588</v>
      </c>
      <c r="J99" s="191">
        <f t="shared" si="10"/>
        <v>39.834408321167963</v>
      </c>
      <c r="K99" s="192" t="b">
        <f t="shared" si="3"/>
        <v>0</v>
      </c>
      <c r="L99" s="193">
        <f t="shared" si="11"/>
        <v>0</v>
      </c>
      <c r="M99" s="194">
        <f t="shared" si="12"/>
        <v>2.8321343038701848E-20</v>
      </c>
      <c r="N99" s="194">
        <f t="shared" si="13"/>
        <v>5.5620833427008005</v>
      </c>
      <c r="O99" s="195">
        <f>IF(ABS(U99)&gt;80,$B$7, LOOKUP(V99,'Force mapping'!$B$7:$B$167,'Force mapping'!$E$7:$E$167))</f>
        <v>536</v>
      </c>
      <c r="P99" s="196">
        <f t="shared" si="4"/>
        <v>0.623</v>
      </c>
      <c r="Q99" s="191">
        <f t="shared" si="5"/>
        <v>1.2265106858263304</v>
      </c>
      <c r="R99" s="197">
        <f>IF(ABS(U99)&gt;80, 0, LOOKUP(V99,'Force mapping'!$B$7:$B$167,'Force mapping'!$D$7:$D$167) * (N99/5) * SIGN(U99))</f>
        <v>0</v>
      </c>
      <c r="S99" s="198">
        <f t="shared" si="6"/>
        <v>0</v>
      </c>
      <c r="T99" s="199">
        <f t="shared" si="14"/>
        <v>32.399883813688163</v>
      </c>
      <c r="U99" s="200">
        <f t="shared" si="15"/>
        <v>-67.036211617930164</v>
      </c>
      <c r="V99" s="176">
        <f t="shared" si="7"/>
        <v>67</v>
      </c>
      <c r="Y99" s="91"/>
      <c r="Z99" s="88"/>
    </row>
    <row r="100" spans="5:26" ht="12.5" x14ac:dyDescent="0.25">
      <c r="E100" s="186">
        <f t="shared" si="8"/>
        <v>96</v>
      </c>
      <c r="F100" s="187">
        <f t="shared" si="0"/>
        <v>4.8000000000000007</v>
      </c>
      <c r="G100" s="188">
        <f t="shared" si="1"/>
        <v>5.4230000000000009</v>
      </c>
      <c r="H100" s="189">
        <f t="shared" si="2"/>
        <v>246.14657230296032</v>
      </c>
      <c r="I100" s="190">
        <f t="shared" si="9"/>
        <v>1.129812766870588</v>
      </c>
      <c r="J100" s="191">
        <f t="shared" si="10"/>
        <v>39.834408321167963</v>
      </c>
      <c r="K100" s="192" t="b">
        <f t="shared" si="3"/>
        <v>0</v>
      </c>
      <c r="L100" s="193">
        <f t="shared" si="11"/>
        <v>0</v>
      </c>
      <c r="M100" s="194">
        <f t="shared" si="12"/>
        <v>1.0478896924319683E-20</v>
      </c>
      <c r="N100" s="194">
        <f t="shared" si="13"/>
        <v>5.1156882108628547</v>
      </c>
      <c r="O100" s="195">
        <f>IF(ABS(U100)&gt;80,$B$7, LOOKUP(V100,'Force mapping'!$B$7:$B$167,'Force mapping'!$E$7:$E$167))</f>
        <v>536</v>
      </c>
      <c r="P100" s="196">
        <f t="shared" si="4"/>
        <v>0.623</v>
      </c>
      <c r="Q100" s="191">
        <f t="shared" si="5"/>
        <v>1.1280748362415527</v>
      </c>
      <c r="R100" s="197">
        <f>IF(ABS(U100)&gt;80, 0, LOOKUP(V100,'Force mapping'!$B$7:$B$167,'Force mapping'!$D$7:$D$167) * (N100/5) * SIGN(U100))</f>
        <v>0</v>
      </c>
      <c r="S100" s="198">
        <f t="shared" si="6"/>
        <v>0</v>
      </c>
      <c r="T100" s="199">
        <f t="shared" si="14"/>
        <v>32.399883813688163</v>
      </c>
      <c r="U100" s="200">
        <f t="shared" si="15"/>
        <v>-68.656205808614573</v>
      </c>
      <c r="V100" s="176">
        <f t="shared" si="7"/>
        <v>68.5</v>
      </c>
      <c r="Y100" s="91"/>
      <c r="Z100" s="88"/>
    </row>
    <row r="101" spans="5:26" ht="12.5" x14ac:dyDescent="0.25">
      <c r="E101" s="186">
        <f t="shared" si="8"/>
        <v>97</v>
      </c>
      <c r="F101" s="187">
        <f t="shared" si="0"/>
        <v>4.8500000000000005</v>
      </c>
      <c r="G101" s="188">
        <f t="shared" si="1"/>
        <v>5.4730000000000008</v>
      </c>
      <c r="H101" s="189">
        <f t="shared" si="2"/>
        <v>246.14657230296032</v>
      </c>
      <c r="I101" s="190">
        <f t="shared" si="9"/>
        <v>1.129812766870588</v>
      </c>
      <c r="J101" s="191">
        <f t="shared" si="10"/>
        <v>39.834408321167963</v>
      </c>
      <c r="K101" s="192" t="b">
        <f t="shared" si="3"/>
        <v>0</v>
      </c>
      <c r="L101" s="193">
        <f t="shared" si="11"/>
        <v>0</v>
      </c>
      <c r="M101" s="194">
        <f t="shared" si="12"/>
        <v>3.8771918619982831E-21</v>
      </c>
      <c r="N101" s="194">
        <f t="shared" si="13"/>
        <v>4.7051193335865422</v>
      </c>
      <c r="O101" s="195">
        <f>IF(ABS(U101)&gt;80,$B$7, LOOKUP(V101,'Force mapping'!$B$7:$B$167,'Force mapping'!$E$7:$E$167))</f>
        <v>536</v>
      </c>
      <c r="P101" s="196">
        <f t="shared" si="4"/>
        <v>0.623</v>
      </c>
      <c r="Q101" s="191">
        <f t="shared" si="5"/>
        <v>1.0375391350985708</v>
      </c>
      <c r="R101" s="197">
        <f>IF(ABS(U101)&gt;80, 0, LOOKUP(V101,'Force mapping'!$B$7:$B$167,'Force mapping'!$D$7:$D$167) * (N101/5) * SIGN(U101))</f>
        <v>0</v>
      </c>
      <c r="S101" s="198">
        <f t="shared" si="6"/>
        <v>0</v>
      </c>
      <c r="T101" s="199">
        <f t="shared" si="14"/>
        <v>32.399883813688163</v>
      </c>
      <c r="U101" s="200">
        <f t="shared" si="15"/>
        <v>-70.276199999298981</v>
      </c>
      <c r="V101" s="176">
        <f t="shared" si="7"/>
        <v>70.5</v>
      </c>
      <c r="Y101" s="91"/>
      <c r="Z101" s="88"/>
    </row>
    <row r="102" spans="5:26" ht="12.5" x14ac:dyDescent="0.25">
      <c r="E102" s="186">
        <f t="shared" si="8"/>
        <v>98</v>
      </c>
      <c r="F102" s="187">
        <f t="shared" si="0"/>
        <v>4.9000000000000004</v>
      </c>
      <c r="G102" s="188">
        <f t="shared" si="1"/>
        <v>5.5230000000000006</v>
      </c>
      <c r="H102" s="189">
        <f t="shared" si="2"/>
        <v>246.14657230296032</v>
      </c>
      <c r="I102" s="190">
        <f t="shared" si="9"/>
        <v>1.129812766870588</v>
      </c>
      <c r="J102" s="191">
        <f t="shared" si="10"/>
        <v>39.834408321167963</v>
      </c>
      <c r="K102" s="192" t="b">
        <f t="shared" si="3"/>
        <v>0</v>
      </c>
      <c r="L102" s="193">
        <f t="shared" si="11"/>
        <v>0</v>
      </c>
      <c r="M102" s="194">
        <f t="shared" si="12"/>
        <v>1.4345609889393646E-21</v>
      </c>
      <c r="N102" s="194">
        <f t="shared" si="13"/>
        <v>4.3275014095426787</v>
      </c>
      <c r="O102" s="195">
        <f>IF(ABS(U102)&gt;80,$B$7, LOOKUP(V102,'Force mapping'!$B$7:$B$167,'Force mapping'!$E$7:$E$167))</f>
        <v>536</v>
      </c>
      <c r="P102" s="196">
        <f t="shared" si="4"/>
        <v>0.623</v>
      </c>
      <c r="Q102" s="191">
        <f t="shared" si="5"/>
        <v>0.95426954159146238</v>
      </c>
      <c r="R102" s="197">
        <f>IF(ABS(U102)&gt;80, 0, LOOKUP(V102,'Force mapping'!$B$7:$B$167,'Force mapping'!$D$7:$D$167) * (N102/5) * SIGN(U102))</f>
        <v>0</v>
      </c>
      <c r="S102" s="198">
        <f t="shared" si="6"/>
        <v>0</v>
      </c>
      <c r="T102" s="199">
        <f t="shared" si="14"/>
        <v>32.399883813688163</v>
      </c>
      <c r="U102" s="200">
        <f t="shared" si="15"/>
        <v>-71.89619418998339</v>
      </c>
      <c r="V102" s="176">
        <f t="shared" si="7"/>
        <v>72</v>
      </c>
      <c r="Y102" s="91"/>
      <c r="Z102" s="88"/>
    </row>
    <row r="103" spans="5:26" ht="12.5" x14ac:dyDescent="0.25">
      <c r="E103" s="186">
        <f t="shared" si="8"/>
        <v>99</v>
      </c>
      <c r="F103" s="187">
        <f t="shared" si="0"/>
        <v>4.95</v>
      </c>
      <c r="G103" s="188">
        <f t="shared" si="1"/>
        <v>5.5730000000000004</v>
      </c>
      <c r="H103" s="189">
        <f t="shared" si="2"/>
        <v>246.14657230296032</v>
      </c>
      <c r="I103" s="190">
        <f t="shared" si="9"/>
        <v>1.129812766870588</v>
      </c>
      <c r="J103" s="191">
        <f t="shared" si="10"/>
        <v>39.834408321167963</v>
      </c>
      <c r="K103" s="192" t="b">
        <f t="shared" si="3"/>
        <v>0</v>
      </c>
      <c r="L103" s="193">
        <f t="shared" si="11"/>
        <v>0</v>
      </c>
      <c r="M103" s="194">
        <f t="shared" si="12"/>
        <v>5.3078756590756495E-22</v>
      </c>
      <c r="N103" s="194">
        <f t="shared" si="13"/>
        <v>3.9801898999485634</v>
      </c>
      <c r="O103" s="195">
        <f>IF(ABS(U103)&gt;80,$B$7, LOOKUP(V103,'Force mapping'!$B$7:$B$167,'Force mapping'!$E$7:$E$167))</f>
        <v>536</v>
      </c>
      <c r="P103" s="196">
        <f t="shared" si="4"/>
        <v>0.623</v>
      </c>
      <c r="Q103" s="191">
        <f t="shared" si="5"/>
        <v>0.87768290101429858</v>
      </c>
      <c r="R103" s="197">
        <f>IF(ABS(U103)&gt;80, 0, LOOKUP(V103,'Force mapping'!$B$7:$B$167,'Force mapping'!$D$7:$D$167) * (N103/5) * SIGN(U103))</f>
        <v>0</v>
      </c>
      <c r="S103" s="198">
        <f t="shared" si="6"/>
        <v>0</v>
      </c>
      <c r="T103" s="199">
        <f t="shared" si="14"/>
        <v>32.399883813688163</v>
      </c>
      <c r="U103" s="200">
        <f t="shared" si="15"/>
        <v>-73.516188380667799</v>
      </c>
      <c r="V103" s="176">
        <f t="shared" si="7"/>
        <v>73.5</v>
      </c>
      <c r="Y103" s="91"/>
      <c r="Z103" s="88"/>
    </row>
    <row r="104" spans="5:26" ht="12.5" x14ac:dyDescent="0.25">
      <c r="E104" s="186">
        <f t="shared" si="8"/>
        <v>100</v>
      </c>
      <c r="F104" s="187">
        <f t="shared" si="0"/>
        <v>5</v>
      </c>
      <c r="G104" s="188">
        <f t="shared" si="1"/>
        <v>5.6230000000000002</v>
      </c>
      <c r="H104" s="189">
        <f t="shared" si="2"/>
        <v>246.14657230296032</v>
      </c>
      <c r="I104" s="190">
        <f t="shared" si="9"/>
        <v>1.129812766870588</v>
      </c>
      <c r="J104" s="191">
        <f t="shared" si="10"/>
        <v>39.834408321167963</v>
      </c>
      <c r="K104" s="192" t="b">
        <f t="shared" si="3"/>
        <v>0</v>
      </c>
      <c r="L104" s="193">
        <f t="shared" si="11"/>
        <v>0</v>
      </c>
      <c r="M104" s="194">
        <f t="shared" si="12"/>
        <v>1.9639139938579905E-22</v>
      </c>
      <c r="N104" s="194">
        <f t="shared" si="13"/>
        <v>3.6607525082994012</v>
      </c>
      <c r="O104" s="195">
        <f>IF(ABS(U104)&gt;80,$B$7, LOOKUP(V104,'Force mapping'!$B$7:$B$167,'Force mapping'!$E$7:$E$167))</f>
        <v>536</v>
      </c>
      <c r="P104" s="196">
        <f t="shared" si="4"/>
        <v>0.623</v>
      </c>
      <c r="Q104" s="191">
        <f t="shared" si="5"/>
        <v>0.80724286080448326</v>
      </c>
      <c r="R104" s="197">
        <f>IF(ABS(U104)&gt;80, 0, LOOKUP(V104,'Force mapping'!$B$7:$B$167,'Force mapping'!$D$7:$D$167) * (N104/5) * SIGN(U104))</f>
        <v>0</v>
      </c>
      <c r="S104" s="198">
        <f t="shared" si="6"/>
        <v>0</v>
      </c>
      <c r="T104" s="199">
        <f t="shared" si="14"/>
        <v>32.399883813688163</v>
      </c>
      <c r="U104" s="200">
        <f t="shared" si="15"/>
        <v>-75.136182571352208</v>
      </c>
      <c r="V104" s="176">
        <f t="shared" si="7"/>
        <v>75</v>
      </c>
      <c r="Y104" s="91"/>
      <c r="Z104" s="88"/>
    </row>
    <row r="105" spans="5:26" ht="12.5" x14ac:dyDescent="0.25">
      <c r="E105" s="186">
        <f t="shared" si="8"/>
        <v>101</v>
      </c>
      <c r="F105" s="187">
        <f t="shared" si="0"/>
        <v>5.0500000000000007</v>
      </c>
      <c r="G105" s="188">
        <f t="shared" si="1"/>
        <v>5.6730000000000009</v>
      </c>
      <c r="H105" s="189">
        <f t="shared" si="2"/>
        <v>246.14657230296032</v>
      </c>
      <c r="I105" s="190">
        <f t="shared" si="9"/>
        <v>1.129812766870588</v>
      </c>
      <c r="J105" s="191">
        <f t="shared" si="10"/>
        <v>39.834408321167963</v>
      </c>
      <c r="K105" s="192" t="b">
        <f t="shared" si="3"/>
        <v>0</v>
      </c>
      <c r="L105" s="193">
        <f t="shared" si="11"/>
        <v>0</v>
      </c>
      <c r="M105" s="194">
        <f t="shared" si="12"/>
        <v>7.2664817772745657E-23</v>
      </c>
      <c r="N105" s="194">
        <f t="shared" si="13"/>
        <v>3.3669521464776198</v>
      </c>
      <c r="O105" s="195">
        <f>IF(ABS(U105)&gt;80,$B$7, LOOKUP(V105,'Force mapping'!$B$7:$B$167,'Force mapping'!$E$7:$E$167))</f>
        <v>536</v>
      </c>
      <c r="P105" s="196">
        <f t="shared" si="4"/>
        <v>0.623</v>
      </c>
      <c r="Q105" s="191">
        <f t="shared" si="5"/>
        <v>0.74245611435147507</v>
      </c>
      <c r="R105" s="197">
        <f>IF(ABS(U105)&gt;80, 0, LOOKUP(V105,'Force mapping'!$B$7:$B$167,'Force mapping'!$D$7:$D$167) * (N105/5) * SIGN(U105))</f>
        <v>0</v>
      </c>
      <c r="S105" s="198">
        <f t="shared" si="6"/>
        <v>0</v>
      </c>
      <c r="T105" s="199">
        <f t="shared" si="14"/>
        <v>32.399883813688163</v>
      </c>
      <c r="U105" s="200">
        <f t="shared" si="15"/>
        <v>-76.756176762036617</v>
      </c>
      <c r="V105" s="176">
        <f t="shared" si="7"/>
        <v>77</v>
      </c>
      <c r="Y105" s="91"/>
      <c r="Z105" s="88"/>
    </row>
    <row r="106" spans="5:26" ht="12.5" x14ac:dyDescent="0.25">
      <c r="E106" s="186">
        <f t="shared" si="8"/>
        <v>102</v>
      </c>
      <c r="F106" s="187">
        <f t="shared" si="0"/>
        <v>5.1000000000000005</v>
      </c>
      <c r="G106" s="188">
        <f t="shared" si="1"/>
        <v>5.7230000000000008</v>
      </c>
      <c r="H106" s="189">
        <f t="shared" si="2"/>
        <v>246.14657230296032</v>
      </c>
      <c r="I106" s="190">
        <f t="shared" si="9"/>
        <v>1.129812766870588</v>
      </c>
      <c r="J106" s="191">
        <f t="shared" si="10"/>
        <v>39.834408321167963</v>
      </c>
      <c r="K106" s="192" t="b">
        <f t="shared" si="3"/>
        <v>0</v>
      </c>
      <c r="L106" s="193">
        <f t="shared" si="11"/>
        <v>0</v>
      </c>
      <c r="M106" s="194">
        <f t="shared" si="12"/>
        <v>2.6885982575915893E-23</v>
      </c>
      <c r="N106" s="194">
        <f t="shared" si="13"/>
        <v>3.0967312679481158</v>
      </c>
      <c r="O106" s="195">
        <f>IF(ABS(U106)&gt;80,$B$7, LOOKUP(V106,'Force mapping'!$B$7:$B$167,'Force mapping'!$E$7:$E$167))</f>
        <v>536</v>
      </c>
      <c r="P106" s="196">
        <f t="shared" si="4"/>
        <v>0.623</v>
      </c>
      <c r="Q106" s="191">
        <f t="shared" si="5"/>
        <v>0.682868946265482</v>
      </c>
      <c r="R106" s="197">
        <f>IF(ABS(U106)&gt;80, 0, LOOKUP(V106,'Force mapping'!$B$7:$B$167,'Force mapping'!$D$7:$D$167) * (N106/5) * SIGN(U106))</f>
        <v>0</v>
      </c>
      <c r="S106" s="198">
        <f t="shared" si="6"/>
        <v>0</v>
      </c>
      <c r="T106" s="199">
        <f t="shared" si="14"/>
        <v>32.399883813688163</v>
      </c>
      <c r="U106" s="200">
        <f t="shared" si="15"/>
        <v>-78.376170952721026</v>
      </c>
      <c r="V106" s="176">
        <f t="shared" si="7"/>
        <v>78.5</v>
      </c>
      <c r="Y106" s="91"/>
      <c r="Z106" s="88"/>
    </row>
    <row r="107" spans="5:26" ht="12.5" x14ac:dyDescent="0.25">
      <c r="E107" s="186">
        <f t="shared" si="8"/>
        <v>103</v>
      </c>
      <c r="F107" s="187">
        <f t="shared" si="0"/>
        <v>5.15</v>
      </c>
      <c r="G107" s="188">
        <f t="shared" si="1"/>
        <v>5.7730000000000006</v>
      </c>
      <c r="H107" s="189">
        <f t="shared" si="2"/>
        <v>246.14657230296032</v>
      </c>
      <c r="I107" s="190">
        <f t="shared" si="9"/>
        <v>1.129812766870588</v>
      </c>
      <c r="J107" s="191">
        <f t="shared" si="10"/>
        <v>39.834408321167963</v>
      </c>
      <c r="K107" s="192" t="b">
        <f t="shared" si="3"/>
        <v>0</v>
      </c>
      <c r="L107" s="193">
        <f t="shared" si="11"/>
        <v>0</v>
      </c>
      <c r="M107" s="194">
        <f t="shared" si="12"/>
        <v>9.9478135530888805E-24</v>
      </c>
      <c r="N107" s="194">
        <f t="shared" si="13"/>
        <v>2.8481974583214615</v>
      </c>
      <c r="O107" s="195">
        <f>IF(ABS(U107)&gt;80,$B$7, LOOKUP(V107,'Force mapping'!$B$7:$B$167,'Force mapping'!$E$7:$E$167))</f>
        <v>536</v>
      </c>
      <c r="P107" s="196">
        <f t="shared" si="4"/>
        <v>0.623</v>
      </c>
      <c r="Q107" s="191">
        <f t="shared" si="5"/>
        <v>0.62806405491191208</v>
      </c>
      <c r="R107" s="197">
        <f>IF(ABS(U107)&gt;80, 0, LOOKUP(V107,'Force mapping'!$B$7:$B$167,'Force mapping'!$D$7:$D$167) * (N107/5) * SIGN(U107))</f>
        <v>0</v>
      </c>
      <c r="S107" s="198">
        <f t="shared" si="6"/>
        <v>0</v>
      </c>
      <c r="T107" s="199">
        <f t="shared" si="14"/>
        <v>32.399883813688163</v>
      </c>
      <c r="U107" s="200">
        <f t="shared" si="15"/>
        <v>-79.996165143405435</v>
      </c>
      <c r="V107" s="176">
        <f t="shared" si="7"/>
        <v>80</v>
      </c>
      <c r="Y107" s="91"/>
      <c r="Z107" s="88"/>
    </row>
    <row r="108" spans="5:26" ht="12.5" x14ac:dyDescent="0.25">
      <c r="E108" s="186">
        <f t="shared" si="8"/>
        <v>104</v>
      </c>
      <c r="F108" s="187">
        <f t="shared" si="0"/>
        <v>5.2</v>
      </c>
      <c r="G108" s="188">
        <f t="shared" si="1"/>
        <v>5.8230000000000004</v>
      </c>
      <c r="H108" s="189">
        <f t="shared" si="2"/>
        <v>246.14657230296032</v>
      </c>
      <c r="I108" s="190">
        <f t="shared" si="9"/>
        <v>1.129812766870588</v>
      </c>
      <c r="J108" s="191">
        <f t="shared" si="10"/>
        <v>39.834408321167963</v>
      </c>
      <c r="K108" s="192" t="b">
        <f t="shared" si="3"/>
        <v>0</v>
      </c>
      <c r="L108" s="193">
        <f t="shared" si="11"/>
        <v>0</v>
      </c>
      <c r="M108" s="194">
        <f t="shared" si="12"/>
        <v>3.6806910146428858E-24</v>
      </c>
      <c r="N108" s="194">
        <f t="shared" si="13"/>
        <v>2.6196101823727087</v>
      </c>
      <c r="O108" s="195">
        <f>IF(ABS(U108)&gt;80,$B$7, LOOKUP(V108,'Force mapping'!$B$7:$B$167,'Force mapping'!$E$7:$E$167))</f>
        <v>536</v>
      </c>
      <c r="P108" s="196">
        <f t="shared" si="4"/>
        <v>0.623</v>
      </c>
      <c r="Q108" s="191">
        <f t="shared" si="5"/>
        <v>0.57765762995911019</v>
      </c>
      <c r="R108" s="197">
        <f>IF(ABS(U108)&gt;80, 0, LOOKUP(V108,'Force mapping'!$B$7:$B$167,'Force mapping'!$D$7:$D$167) * (N108/5) * SIGN(U108))</f>
        <v>0</v>
      </c>
      <c r="S108" s="198">
        <f t="shared" si="6"/>
        <v>0</v>
      </c>
      <c r="T108" s="199">
        <f t="shared" si="14"/>
        <v>32.399883813688163</v>
      </c>
      <c r="U108" s="200">
        <f t="shared" si="15"/>
        <v>-81.616159334089843</v>
      </c>
      <c r="V108" s="176">
        <f t="shared" si="7"/>
        <v>81.5</v>
      </c>
      <c r="Y108" s="91"/>
      <c r="Z108" s="88"/>
    </row>
    <row r="109" spans="5:26" ht="12.5" x14ac:dyDescent="0.25">
      <c r="E109" s="186">
        <f t="shared" si="8"/>
        <v>105</v>
      </c>
      <c r="F109" s="187">
        <f t="shared" si="0"/>
        <v>5.25</v>
      </c>
      <c r="G109" s="188">
        <f t="shared" si="1"/>
        <v>5.8730000000000002</v>
      </c>
      <c r="H109" s="189">
        <f t="shared" si="2"/>
        <v>246.14657230296032</v>
      </c>
      <c r="I109" s="190">
        <f t="shared" si="9"/>
        <v>1.129812766870588</v>
      </c>
      <c r="J109" s="191">
        <f t="shared" si="10"/>
        <v>39.834408321167963</v>
      </c>
      <c r="K109" s="192" t="b">
        <f t="shared" si="3"/>
        <v>0</v>
      </c>
      <c r="L109" s="193">
        <f t="shared" si="11"/>
        <v>0</v>
      </c>
      <c r="M109" s="194">
        <f t="shared" si="12"/>
        <v>1.3618556754178678E-24</v>
      </c>
      <c r="N109" s="194">
        <f t="shared" si="13"/>
        <v>2.4093685947023471</v>
      </c>
      <c r="O109" s="195">
        <f>IF(ABS(U109)&gt;80,$B$7, LOOKUP(V109,'Force mapping'!$B$7:$B$167,'Force mapping'!$E$7:$E$167))</f>
        <v>536</v>
      </c>
      <c r="P109" s="196">
        <f t="shared" si="4"/>
        <v>0.623</v>
      </c>
      <c r="Q109" s="191">
        <f t="shared" si="5"/>
        <v>0.5312966644728252</v>
      </c>
      <c r="R109" s="197">
        <f>IF(ABS(U109)&gt;80, 0, LOOKUP(V109,'Force mapping'!$B$7:$B$167,'Force mapping'!$D$7:$D$167) * (N109/5) * SIGN(U109))</f>
        <v>0</v>
      </c>
      <c r="S109" s="198">
        <f t="shared" si="6"/>
        <v>0</v>
      </c>
      <c r="T109" s="199">
        <f t="shared" si="14"/>
        <v>32.399883813688163</v>
      </c>
      <c r="U109" s="200">
        <f t="shared" si="15"/>
        <v>-83.236153524774252</v>
      </c>
      <c r="V109" s="176">
        <f t="shared" si="7"/>
        <v>83</v>
      </c>
      <c r="Y109" s="91"/>
      <c r="Z109" s="88"/>
    </row>
    <row r="110" spans="5:26" ht="12.5" x14ac:dyDescent="0.25">
      <c r="E110" s="186">
        <f t="shared" si="8"/>
        <v>106</v>
      </c>
      <c r="F110" s="187">
        <f t="shared" si="0"/>
        <v>5.3000000000000007</v>
      </c>
      <c r="G110" s="188">
        <f t="shared" si="1"/>
        <v>5.9230000000000009</v>
      </c>
      <c r="H110" s="189">
        <f t="shared" si="2"/>
        <v>246.14657230296032</v>
      </c>
      <c r="I110" s="190">
        <f t="shared" si="9"/>
        <v>1.129812766870588</v>
      </c>
      <c r="J110" s="191">
        <f t="shared" si="10"/>
        <v>39.834408321167963</v>
      </c>
      <c r="K110" s="192" t="b">
        <f t="shared" si="3"/>
        <v>0</v>
      </c>
      <c r="L110" s="193">
        <f t="shared" si="11"/>
        <v>0</v>
      </c>
      <c r="M110" s="194">
        <f t="shared" si="12"/>
        <v>5.0388659990461113E-25</v>
      </c>
      <c r="N110" s="194">
        <f t="shared" si="13"/>
        <v>2.2160003286748715</v>
      </c>
      <c r="O110" s="195">
        <f>IF(ABS(U110)&gt;80,$B$7, LOOKUP(V110,'Force mapping'!$B$7:$B$167,'Force mapping'!$E$7:$E$167))</f>
        <v>536</v>
      </c>
      <c r="P110" s="196">
        <f t="shared" si="4"/>
        <v>0.623</v>
      </c>
      <c r="Q110" s="191">
        <f t="shared" si="5"/>
        <v>0.48865648273343315</v>
      </c>
      <c r="R110" s="197">
        <f>IF(ABS(U110)&gt;80, 0, LOOKUP(V110,'Force mapping'!$B$7:$B$167,'Force mapping'!$D$7:$D$167) * (N110/5) * SIGN(U110))</f>
        <v>0</v>
      </c>
      <c r="S110" s="198">
        <f t="shared" si="6"/>
        <v>0</v>
      </c>
      <c r="T110" s="199">
        <f t="shared" si="14"/>
        <v>32.399883813688163</v>
      </c>
      <c r="U110" s="200">
        <f t="shared" si="15"/>
        <v>-84.856147715458661</v>
      </c>
      <c r="V110" s="176">
        <f t="shared" si="7"/>
        <v>85</v>
      </c>
      <c r="Y110" s="91"/>
      <c r="Z110" s="88"/>
    </row>
    <row r="111" spans="5:26" ht="12.5" x14ac:dyDescent="0.25">
      <c r="E111" s="186">
        <f t="shared" si="8"/>
        <v>107</v>
      </c>
      <c r="F111" s="187">
        <f t="shared" si="0"/>
        <v>5.3500000000000005</v>
      </c>
      <c r="G111" s="188">
        <f t="shared" si="1"/>
        <v>5.9730000000000008</v>
      </c>
      <c r="H111" s="189">
        <f t="shared" si="2"/>
        <v>246.14657230296032</v>
      </c>
      <c r="I111" s="190">
        <f t="shared" si="9"/>
        <v>1.129812766870588</v>
      </c>
      <c r="J111" s="191">
        <f t="shared" si="10"/>
        <v>39.834408321167963</v>
      </c>
      <c r="K111" s="192" t="b">
        <f t="shared" si="3"/>
        <v>0</v>
      </c>
      <c r="L111" s="193">
        <f t="shared" si="11"/>
        <v>0</v>
      </c>
      <c r="M111" s="194">
        <f t="shared" si="12"/>
        <v>1.8643804196470613E-25</v>
      </c>
      <c r="N111" s="194">
        <f t="shared" si="13"/>
        <v>2.0381511851215111</v>
      </c>
      <c r="O111" s="195">
        <f>IF(ABS(U111)&gt;80,$B$7, LOOKUP(V111,'Force mapping'!$B$7:$B$167,'Force mapping'!$E$7:$E$167))</f>
        <v>536</v>
      </c>
      <c r="P111" s="196">
        <f t="shared" si="4"/>
        <v>0.623</v>
      </c>
      <c r="Q111" s="191">
        <f t="shared" si="5"/>
        <v>0.4494384664626922</v>
      </c>
      <c r="R111" s="197">
        <f>IF(ABS(U111)&gt;80, 0, LOOKUP(V111,'Force mapping'!$B$7:$B$167,'Force mapping'!$D$7:$D$167) * (N111/5) * SIGN(U111))</f>
        <v>0</v>
      </c>
      <c r="S111" s="198">
        <f t="shared" si="6"/>
        <v>0</v>
      </c>
      <c r="T111" s="199">
        <f t="shared" si="14"/>
        <v>32.399883813688163</v>
      </c>
      <c r="U111" s="200">
        <f t="shared" si="15"/>
        <v>-86.47614190614307</v>
      </c>
      <c r="V111" s="176">
        <f t="shared" si="7"/>
        <v>86.5</v>
      </c>
      <c r="Y111" s="91"/>
      <c r="Z111" s="88"/>
    </row>
    <row r="112" spans="5:26" ht="12.5" x14ac:dyDescent="0.25">
      <c r="E112" s="186">
        <f t="shared" si="8"/>
        <v>108</v>
      </c>
      <c r="F112" s="187">
        <f t="shared" si="0"/>
        <v>5.4</v>
      </c>
      <c r="G112" s="188">
        <f t="shared" si="1"/>
        <v>6.0230000000000006</v>
      </c>
      <c r="H112" s="189">
        <f t="shared" si="2"/>
        <v>246.14657230296032</v>
      </c>
      <c r="I112" s="190">
        <f t="shared" si="9"/>
        <v>1.129812766870588</v>
      </c>
      <c r="J112" s="191">
        <f t="shared" si="10"/>
        <v>39.834408321167963</v>
      </c>
      <c r="K112" s="192" t="b">
        <f t="shared" si="3"/>
        <v>0</v>
      </c>
      <c r="L112" s="193">
        <f t="shared" si="11"/>
        <v>0</v>
      </c>
      <c r="M112" s="194">
        <f t="shared" si="12"/>
        <v>6.8982075526941261E-26</v>
      </c>
      <c r="N112" s="194">
        <f t="shared" si="13"/>
        <v>1.874575648594905</v>
      </c>
      <c r="O112" s="195">
        <f>IF(ABS(U112)&gt;80,$B$7, LOOKUP(V112,'Force mapping'!$B$7:$B$167,'Force mapping'!$E$7:$E$167))</f>
        <v>536</v>
      </c>
      <c r="P112" s="196">
        <f t="shared" si="4"/>
        <v>0.623</v>
      </c>
      <c r="Q112" s="191">
        <f t="shared" si="5"/>
        <v>0.41336796353631233</v>
      </c>
      <c r="R112" s="197">
        <f>IF(ABS(U112)&gt;80, 0, LOOKUP(V112,'Force mapping'!$B$7:$B$167,'Force mapping'!$D$7:$D$167) * (N112/5) * SIGN(U112))</f>
        <v>0</v>
      </c>
      <c r="S112" s="198">
        <f t="shared" si="6"/>
        <v>0</v>
      </c>
      <c r="T112" s="199">
        <f t="shared" si="14"/>
        <v>32.399883813688163</v>
      </c>
      <c r="U112" s="200">
        <f t="shared" si="15"/>
        <v>-88.096136096827479</v>
      </c>
      <c r="V112" s="176">
        <f t="shared" si="7"/>
        <v>88</v>
      </c>
      <c r="Y112" s="91"/>
      <c r="Z112" s="88"/>
    </row>
    <row r="113" spans="5:26" ht="12.5" x14ac:dyDescent="0.25">
      <c r="E113" s="186">
        <f t="shared" si="8"/>
        <v>109</v>
      </c>
      <c r="F113" s="187">
        <f t="shared" si="0"/>
        <v>5.45</v>
      </c>
      <c r="G113" s="188">
        <f t="shared" si="1"/>
        <v>6.0730000000000004</v>
      </c>
      <c r="H113" s="189">
        <f t="shared" si="2"/>
        <v>246.14657230296032</v>
      </c>
      <c r="I113" s="190">
        <f t="shared" si="9"/>
        <v>1.129812766870588</v>
      </c>
      <c r="J113" s="191">
        <f t="shared" si="10"/>
        <v>39.834408321167963</v>
      </c>
      <c r="K113" s="192" t="b">
        <f t="shared" si="3"/>
        <v>0</v>
      </c>
      <c r="L113" s="193">
        <f t="shared" si="11"/>
        <v>0</v>
      </c>
      <c r="M113" s="194">
        <f t="shared" si="12"/>
        <v>2.5523367944968266E-26</v>
      </c>
      <c r="N113" s="194">
        <f t="shared" si="13"/>
        <v>1.7241281647590379</v>
      </c>
      <c r="O113" s="195">
        <f>IF(ABS(U113)&gt;80,$B$7, LOOKUP(V113,'Force mapping'!$B$7:$B$167,'Force mapping'!$E$7:$E$167))</f>
        <v>536</v>
      </c>
      <c r="P113" s="196">
        <f t="shared" si="4"/>
        <v>0.623</v>
      </c>
      <c r="Q113" s="191">
        <f t="shared" si="5"/>
        <v>0.38019236453660837</v>
      </c>
      <c r="R113" s="197">
        <f>IF(ABS(U113)&gt;80, 0, LOOKUP(V113,'Force mapping'!$B$7:$B$167,'Force mapping'!$D$7:$D$167) * (N113/5) * SIGN(U113))</f>
        <v>0</v>
      </c>
      <c r="S113" s="198">
        <f t="shared" si="6"/>
        <v>0</v>
      </c>
      <c r="T113" s="199">
        <f t="shared" si="14"/>
        <v>32.399883813688163</v>
      </c>
      <c r="U113" s="200">
        <f t="shared" si="15"/>
        <v>-89.716130287511888</v>
      </c>
      <c r="V113" s="176">
        <f t="shared" si="7"/>
        <v>89.5</v>
      </c>
      <c r="Y113" s="91"/>
      <c r="Z113" s="88"/>
    </row>
    <row r="114" spans="5:26" ht="12.5" x14ac:dyDescent="0.25">
      <c r="E114" s="186">
        <f t="shared" si="8"/>
        <v>110</v>
      </c>
      <c r="F114" s="187">
        <f t="shared" si="0"/>
        <v>5.5</v>
      </c>
      <c r="G114" s="188">
        <f t="shared" si="1"/>
        <v>6.1230000000000002</v>
      </c>
      <c r="H114" s="189">
        <f t="shared" si="2"/>
        <v>246.14657230296032</v>
      </c>
      <c r="I114" s="190">
        <f t="shared" si="9"/>
        <v>1.129812766870588</v>
      </c>
      <c r="J114" s="191">
        <f t="shared" si="10"/>
        <v>39.834408321167963</v>
      </c>
      <c r="K114" s="192" t="b">
        <f t="shared" si="3"/>
        <v>0</v>
      </c>
      <c r="L114" s="193">
        <f t="shared" si="11"/>
        <v>0</v>
      </c>
      <c r="M114" s="194">
        <f t="shared" si="12"/>
        <v>9.4436461396382576E-27</v>
      </c>
      <c r="N114" s="194">
        <f t="shared" si="13"/>
        <v>1.5857551178281359</v>
      </c>
      <c r="O114" s="195">
        <f>IF(ABS(U114)&gt;80,$B$7, LOOKUP(V114,'Force mapping'!$B$7:$B$167,'Force mapping'!$E$7:$E$167))</f>
        <v>536</v>
      </c>
      <c r="P114" s="196">
        <f t="shared" si="4"/>
        <v>0.623</v>
      </c>
      <c r="Q114" s="191">
        <f t="shared" si="5"/>
        <v>0.34967933367492227</v>
      </c>
      <c r="R114" s="197">
        <f>IF(ABS(U114)&gt;80, 0, LOOKUP(V114,'Force mapping'!$B$7:$B$167,'Force mapping'!$D$7:$D$167) * (N114/5) * SIGN(U114))</f>
        <v>0</v>
      </c>
      <c r="S114" s="198">
        <f t="shared" si="6"/>
        <v>0</v>
      </c>
      <c r="T114" s="199">
        <f t="shared" si="14"/>
        <v>32.399883813688163</v>
      </c>
      <c r="U114" s="200">
        <f t="shared" si="15"/>
        <v>-91.336124478196297</v>
      </c>
      <c r="V114" s="176">
        <f t="shared" si="7"/>
        <v>91.5</v>
      </c>
      <c r="Y114" s="91"/>
      <c r="Z114" s="88"/>
    </row>
    <row r="115" spans="5:26" ht="12.5" x14ac:dyDescent="0.25">
      <c r="E115" s="186">
        <f t="shared" si="8"/>
        <v>111</v>
      </c>
      <c r="F115" s="187">
        <f t="shared" si="0"/>
        <v>5.5500000000000007</v>
      </c>
      <c r="G115" s="188">
        <f t="shared" si="1"/>
        <v>6.1730000000000009</v>
      </c>
      <c r="H115" s="189">
        <f t="shared" si="2"/>
        <v>246.14657230296032</v>
      </c>
      <c r="I115" s="190">
        <f t="shared" si="9"/>
        <v>1.129812766870588</v>
      </c>
      <c r="J115" s="191">
        <f t="shared" si="10"/>
        <v>39.834408321167963</v>
      </c>
      <c r="K115" s="192" t="b">
        <f t="shared" si="3"/>
        <v>0</v>
      </c>
      <c r="L115" s="193">
        <f t="shared" si="11"/>
        <v>0</v>
      </c>
      <c r="M115" s="194">
        <f t="shared" si="12"/>
        <v>3.4941490716661553E-27</v>
      </c>
      <c r="N115" s="194">
        <f t="shared" si="13"/>
        <v>1.4584874518708217</v>
      </c>
      <c r="O115" s="195">
        <f>IF(ABS(U115)&gt;80,$B$7, LOOKUP(V115,'Force mapping'!$B$7:$B$167,'Force mapping'!$E$7:$E$167))</f>
        <v>536</v>
      </c>
      <c r="P115" s="196">
        <f t="shared" si="4"/>
        <v>0.623</v>
      </c>
      <c r="Q115" s="191">
        <f t="shared" si="5"/>
        <v>0.32161518169459147</v>
      </c>
      <c r="R115" s="197">
        <f>IF(ABS(U115)&gt;80, 0, LOOKUP(V115,'Force mapping'!$B$7:$B$167,'Force mapping'!$D$7:$D$167) * (N115/5) * SIGN(U115))</f>
        <v>0</v>
      </c>
      <c r="S115" s="198">
        <f t="shared" si="6"/>
        <v>0</v>
      </c>
      <c r="T115" s="199">
        <f t="shared" si="14"/>
        <v>32.399883813688163</v>
      </c>
      <c r="U115" s="200">
        <f t="shared" si="15"/>
        <v>-92.956118668880706</v>
      </c>
      <c r="V115" s="176">
        <f t="shared" si="7"/>
        <v>93</v>
      </c>
      <c r="Y115" s="91"/>
      <c r="Z115" s="88"/>
    </row>
    <row r="116" spans="5:26" ht="12.5" x14ac:dyDescent="0.25">
      <c r="E116" s="186">
        <f t="shared" si="8"/>
        <v>112</v>
      </c>
      <c r="F116" s="187">
        <f t="shared" si="0"/>
        <v>5.6000000000000005</v>
      </c>
      <c r="G116" s="188">
        <f t="shared" si="1"/>
        <v>6.2230000000000008</v>
      </c>
      <c r="H116" s="189">
        <f t="shared" si="2"/>
        <v>246.14657230296032</v>
      </c>
      <c r="I116" s="190">
        <f t="shared" si="9"/>
        <v>1.129812766870588</v>
      </c>
      <c r="J116" s="191">
        <f t="shared" si="10"/>
        <v>39.834408321167963</v>
      </c>
      <c r="K116" s="192" t="b">
        <f t="shared" si="3"/>
        <v>0</v>
      </c>
      <c r="L116" s="193">
        <f t="shared" si="11"/>
        <v>0</v>
      </c>
      <c r="M116" s="194">
        <f t="shared" si="12"/>
        <v>1.2928351565164776E-27</v>
      </c>
      <c r="N116" s="194">
        <f t="shared" si="13"/>
        <v>1.3414338843049451</v>
      </c>
      <c r="O116" s="195">
        <f>IF(ABS(U116)&gt;80,$B$7, LOOKUP(V116,'Force mapping'!$B$7:$B$167,'Force mapping'!$E$7:$E$167))</f>
        <v>536</v>
      </c>
      <c r="P116" s="196">
        <f t="shared" si="4"/>
        <v>0.623</v>
      </c>
      <c r="Q116" s="191">
        <f t="shared" si="5"/>
        <v>0.29580336935955198</v>
      </c>
      <c r="R116" s="197">
        <f>IF(ABS(U116)&gt;80, 0, LOOKUP(V116,'Force mapping'!$B$7:$B$167,'Force mapping'!$D$7:$D$167) * (N116/5) * SIGN(U116))</f>
        <v>0</v>
      </c>
      <c r="S116" s="198">
        <f t="shared" si="6"/>
        <v>0</v>
      </c>
      <c r="T116" s="199">
        <f t="shared" si="14"/>
        <v>32.399883813688163</v>
      </c>
      <c r="U116" s="200">
        <f t="shared" si="15"/>
        <v>-94.576112859565114</v>
      </c>
      <c r="V116" s="176">
        <f t="shared" si="7"/>
        <v>94.5</v>
      </c>
      <c r="Y116" s="91"/>
      <c r="Z116" s="88"/>
    </row>
    <row r="117" spans="5:26" ht="12.5" x14ac:dyDescent="0.25">
      <c r="E117" s="186">
        <f t="shared" si="8"/>
        <v>113</v>
      </c>
      <c r="F117" s="187">
        <f t="shared" si="0"/>
        <v>5.65</v>
      </c>
      <c r="G117" s="188">
        <f t="shared" si="1"/>
        <v>6.2730000000000006</v>
      </c>
      <c r="H117" s="189">
        <f t="shared" si="2"/>
        <v>246.14657230296032</v>
      </c>
      <c r="I117" s="190">
        <f t="shared" si="9"/>
        <v>1.129812766870588</v>
      </c>
      <c r="J117" s="191">
        <f t="shared" si="10"/>
        <v>39.834408321167963</v>
      </c>
      <c r="K117" s="192" t="b">
        <f t="shared" si="3"/>
        <v>0</v>
      </c>
      <c r="L117" s="193">
        <f t="shared" si="11"/>
        <v>0</v>
      </c>
      <c r="M117" s="194">
        <f t="shared" si="12"/>
        <v>4.7834900791109666E-28</v>
      </c>
      <c r="N117" s="194">
        <f t="shared" si="13"/>
        <v>1.2337746640557521</v>
      </c>
      <c r="O117" s="195">
        <f>IF(ABS(U117)&gt;80,$B$7, LOOKUP(V117,'Force mapping'!$B$7:$B$167,'Force mapping'!$E$7:$E$167))</f>
        <v>536</v>
      </c>
      <c r="P117" s="196">
        <f t="shared" si="4"/>
        <v>0.623</v>
      </c>
      <c r="Q117" s="191">
        <f t="shared" si="5"/>
        <v>0.27206313104819146</v>
      </c>
      <c r="R117" s="197">
        <f>IF(ABS(U117)&gt;80, 0, LOOKUP(V117,'Force mapping'!$B$7:$B$167,'Force mapping'!$D$7:$D$167) * (N117/5) * SIGN(U117))</f>
        <v>0</v>
      </c>
      <c r="S117" s="198">
        <f t="shared" si="6"/>
        <v>0</v>
      </c>
      <c r="T117" s="199">
        <f t="shared" si="14"/>
        <v>32.399883813688163</v>
      </c>
      <c r="U117" s="200">
        <f t="shared" si="15"/>
        <v>-96.196107050249523</v>
      </c>
      <c r="V117" s="176">
        <f t="shared" si="7"/>
        <v>96</v>
      </c>
      <c r="Y117" s="91"/>
      <c r="Z117" s="88"/>
    </row>
    <row r="118" spans="5:26" ht="12.5" x14ac:dyDescent="0.25">
      <c r="E118" s="186">
        <f t="shared" si="8"/>
        <v>114</v>
      </c>
      <c r="F118" s="187">
        <f t="shared" si="0"/>
        <v>5.7</v>
      </c>
      <c r="G118" s="188">
        <f t="shared" si="1"/>
        <v>6.3230000000000004</v>
      </c>
      <c r="H118" s="189">
        <f t="shared" si="2"/>
        <v>246.14657230296032</v>
      </c>
      <c r="I118" s="190">
        <f t="shared" si="9"/>
        <v>1.129812766870588</v>
      </c>
      <c r="J118" s="191">
        <f t="shared" si="10"/>
        <v>39.834408321167963</v>
      </c>
      <c r="K118" s="192" t="b">
        <f t="shared" si="3"/>
        <v>0</v>
      </c>
      <c r="L118" s="193">
        <f t="shared" si="11"/>
        <v>0</v>
      </c>
      <c r="M118" s="194">
        <f t="shared" si="12"/>
        <v>1.7698913292710576E-28</v>
      </c>
      <c r="N118" s="194">
        <f t="shared" si="13"/>
        <v>1.1347558306644399</v>
      </c>
      <c r="O118" s="195">
        <f>IF(ABS(U118)&gt;80,$B$7, LOOKUP(V118,'Force mapping'!$B$7:$B$167,'Force mapping'!$E$7:$E$167))</f>
        <v>536</v>
      </c>
      <c r="P118" s="196">
        <f t="shared" si="4"/>
        <v>0.623</v>
      </c>
      <c r="Q118" s="191">
        <f t="shared" si="5"/>
        <v>0.25022820881318419</v>
      </c>
      <c r="R118" s="197">
        <f>IF(ABS(U118)&gt;80, 0, LOOKUP(V118,'Force mapping'!$B$7:$B$167,'Force mapping'!$D$7:$D$167) * (N118/5) * SIGN(U118))</f>
        <v>0</v>
      </c>
      <c r="S118" s="198">
        <f t="shared" si="6"/>
        <v>0</v>
      </c>
      <c r="T118" s="199">
        <f t="shared" si="14"/>
        <v>32.399883813688163</v>
      </c>
      <c r="U118" s="200">
        <f t="shared" si="15"/>
        <v>-97.816101240933932</v>
      </c>
      <c r="V118" s="176">
        <f t="shared" si="7"/>
        <v>98</v>
      </c>
      <c r="Y118" s="91"/>
      <c r="Z118" s="88"/>
    </row>
    <row r="119" spans="5:26" ht="12.5" x14ac:dyDescent="0.25">
      <c r="E119" s="186">
        <f t="shared" si="8"/>
        <v>115</v>
      </c>
      <c r="F119" s="187">
        <f t="shared" si="0"/>
        <v>5.75</v>
      </c>
      <c r="G119" s="188">
        <f t="shared" si="1"/>
        <v>6.3730000000000002</v>
      </c>
      <c r="H119" s="189">
        <f t="shared" si="2"/>
        <v>246.14657230296032</v>
      </c>
      <c r="I119" s="190">
        <f t="shared" si="9"/>
        <v>1.129812766870588</v>
      </c>
      <c r="J119" s="191">
        <f t="shared" si="10"/>
        <v>39.834408321167963</v>
      </c>
      <c r="K119" s="192" t="b">
        <f t="shared" si="3"/>
        <v>0</v>
      </c>
      <c r="L119" s="193">
        <f t="shared" si="11"/>
        <v>0</v>
      </c>
      <c r="M119" s="194">
        <f t="shared" si="12"/>
        <v>6.5485979183029121E-29</v>
      </c>
      <c r="N119" s="194">
        <f t="shared" si="13"/>
        <v>1.0436839341424142</v>
      </c>
      <c r="O119" s="195">
        <f>IF(ABS(U119)&gt;80,$B$7, LOOKUP(V119,'Force mapping'!$B$7:$B$167,'Force mapping'!$E$7:$E$167))</f>
        <v>536</v>
      </c>
      <c r="P119" s="196">
        <f t="shared" si="4"/>
        <v>0.623</v>
      </c>
      <c r="Q119" s="191">
        <f t="shared" si="5"/>
        <v>0.23014568804166058</v>
      </c>
      <c r="R119" s="197">
        <f>IF(ABS(U119)&gt;80, 0, LOOKUP(V119,'Force mapping'!$B$7:$B$167,'Force mapping'!$D$7:$D$167) * (N119/5) * SIGN(U119))</f>
        <v>0</v>
      </c>
      <c r="S119" s="198">
        <f t="shared" si="6"/>
        <v>0</v>
      </c>
      <c r="T119" s="199">
        <f t="shared" si="14"/>
        <v>32.399883813688163</v>
      </c>
      <c r="U119" s="200">
        <f t="shared" si="15"/>
        <v>-99.436095431618341</v>
      </c>
      <c r="V119" s="176">
        <f t="shared" si="7"/>
        <v>99.5</v>
      </c>
      <c r="Y119" s="91"/>
      <c r="Z119" s="88"/>
    </row>
    <row r="120" spans="5:26" ht="12.5" x14ac:dyDescent="0.25">
      <c r="E120" s="186">
        <f t="shared" si="8"/>
        <v>116</v>
      </c>
      <c r="F120" s="187">
        <f t="shared" si="0"/>
        <v>5.8000000000000007</v>
      </c>
      <c r="G120" s="188">
        <f t="shared" si="1"/>
        <v>6.4230000000000009</v>
      </c>
      <c r="H120" s="189">
        <f t="shared" si="2"/>
        <v>246.14657230296032</v>
      </c>
      <c r="I120" s="190">
        <f t="shared" si="9"/>
        <v>1.129812766870588</v>
      </c>
      <c r="J120" s="191">
        <f t="shared" si="10"/>
        <v>39.834408321167963</v>
      </c>
      <c r="K120" s="192" t="b">
        <f t="shared" si="3"/>
        <v>0</v>
      </c>
      <c r="L120" s="193">
        <f t="shared" si="11"/>
        <v>0</v>
      </c>
      <c r="M120" s="194">
        <f t="shared" si="12"/>
        <v>2.4229812297720772E-29</v>
      </c>
      <c r="N120" s="194">
        <f t="shared" si="13"/>
        <v>0.95992117859326387</v>
      </c>
      <c r="O120" s="195">
        <f>IF(ABS(U120)&gt;80,$B$7, LOOKUP(V120,'Force mapping'!$B$7:$B$167,'Force mapping'!$E$7:$E$167))</f>
        <v>536</v>
      </c>
      <c r="P120" s="196">
        <f t="shared" si="4"/>
        <v>0.623</v>
      </c>
      <c r="Q120" s="191">
        <f t="shared" si="5"/>
        <v>0.21167492656159154</v>
      </c>
      <c r="R120" s="197">
        <f>IF(ABS(U120)&gt;80, 0, LOOKUP(V120,'Force mapping'!$B$7:$B$167,'Force mapping'!$D$7:$D$167) * (N120/5) * SIGN(U120))</f>
        <v>0</v>
      </c>
      <c r="S120" s="198">
        <f t="shared" si="6"/>
        <v>0</v>
      </c>
      <c r="T120" s="199">
        <f t="shared" si="14"/>
        <v>32.399883813688163</v>
      </c>
      <c r="U120" s="200">
        <f t="shared" si="15"/>
        <v>-101.05608962230275</v>
      </c>
      <c r="V120" s="176">
        <f t="shared" si="7"/>
        <v>101</v>
      </c>
      <c r="Y120" s="91"/>
      <c r="Z120" s="88"/>
    </row>
    <row r="121" spans="5:26" ht="12.5" x14ac:dyDescent="0.25">
      <c r="E121" s="186">
        <f t="shared" si="8"/>
        <v>117</v>
      </c>
      <c r="F121" s="187">
        <f t="shared" si="0"/>
        <v>5.8500000000000005</v>
      </c>
      <c r="G121" s="188">
        <f t="shared" si="1"/>
        <v>6.4730000000000008</v>
      </c>
      <c r="H121" s="189">
        <f t="shared" si="2"/>
        <v>246.14657230296032</v>
      </c>
      <c r="I121" s="190">
        <f t="shared" si="9"/>
        <v>1.129812766870588</v>
      </c>
      <c r="J121" s="191">
        <f t="shared" si="10"/>
        <v>39.834408321167963</v>
      </c>
      <c r="K121" s="192" t="b">
        <f t="shared" si="3"/>
        <v>0</v>
      </c>
      <c r="L121" s="193">
        <f t="shared" si="11"/>
        <v>0</v>
      </c>
      <c r="M121" s="194">
        <f t="shared" si="12"/>
        <v>8.9650305501566858E-30</v>
      </c>
      <c r="N121" s="194">
        <f t="shared" si="13"/>
        <v>0.88288095559219937</v>
      </c>
      <c r="O121" s="195">
        <f>IF(ABS(U121)&gt;80,$B$7, LOOKUP(V121,'Force mapping'!$B$7:$B$167,'Force mapping'!$E$7:$E$167))</f>
        <v>536</v>
      </c>
      <c r="P121" s="196">
        <f t="shared" si="4"/>
        <v>0.623</v>
      </c>
      <c r="Q121" s="191">
        <f t="shared" si="5"/>
        <v>0.19468656969469011</v>
      </c>
      <c r="R121" s="197">
        <f>IF(ABS(U121)&gt;80, 0, LOOKUP(V121,'Force mapping'!$B$7:$B$167,'Force mapping'!$D$7:$D$167) * (N121/5) * SIGN(U121))</f>
        <v>0</v>
      </c>
      <c r="S121" s="198">
        <f t="shared" si="6"/>
        <v>0</v>
      </c>
      <c r="T121" s="199">
        <f t="shared" si="14"/>
        <v>32.399883813688163</v>
      </c>
      <c r="U121" s="200">
        <f t="shared" si="15"/>
        <v>-102.67608381298716</v>
      </c>
      <c r="V121" s="176">
        <f t="shared" si="7"/>
        <v>102.5</v>
      </c>
      <c r="Y121" s="91"/>
      <c r="Z121" s="88"/>
    </row>
    <row r="122" spans="5:26" ht="12.5" x14ac:dyDescent="0.25">
      <c r="E122" s="186">
        <f t="shared" si="8"/>
        <v>118</v>
      </c>
      <c r="F122" s="187">
        <f t="shared" si="0"/>
        <v>5.9</v>
      </c>
      <c r="G122" s="188">
        <f t="shared" si="1"/>
        <v>6.5230000000000006</v>
      </c>
      <c r="H122" s="189">
        <f t="shared" si="2"/>
        <v>246.14657230296032</v>
      </c>
      <c r="I122" s="190">
        <f t="shared" si="9"/>
        <v>1.129812766870588</v>
      </c>
      <c r="J122" s="191">
        <f t="shared" si="10"/>
        <v>39.834408321167963</v>
      </c>
      <c r="K122" s="192" t="b">
        <f t="shared" si="3"/>
        <v>0</v>
      </c>
      <c r="L122" s="193">
        <f t="shared" si="11"/>
        <v>0</v>
      </c>
      <c r="M122" s="194">
        <f t="shared" si="12"/>
        <v>3.317061303557974E-30</v>
      </c>
      <c r="N122" s="194">
        <f t="shared" si="13"/>
        <v>0.81202373604226363</v>
      </c>
      <c r="O122" s="195">
        <f>IF(ABS(U122)&gt;80,$B$7, LOOKUP(V122,'Force mapping'!$B$7:$B$167,'Force mapping'!$E$7:$E$167))</f>
        <v>536</v>
      </c>
      <c r="P122" s="196">
        <f t="shared" si="4"/>
        <v>0.623</v>
      </c>
      <c r="Q122" s="191">
        <f t="shared" si="5"/>
        <v>0.17906164435803762</v>
      </c>
      <c r="R122" s="197">
        <f>IF(ABS(U122)&gt;80, 0, LOOKUP(V122,'Force mapping'!$B$7:$B$167,'Force mapping'!$D$7:$D$167) * (N122/5) * SIGN(U122))</f>
        <v>0</v>
      </c>
      <c r="S122" s="198">
        <f t="shared" si="6"/>
        <v>0</v>
      </c>
      <c r="T122" s="199">
        <f t="shared" si="14"/>
        <v>32.399883813688163</v>
      </c>
      <c r="U122" s="200">
        <f t="shared" si="15"/>
        <v>-104.29607800367157</v>
      </c>
      <c r="V122" s="176">
        <f t="shared" si="7"/>
        <v>104.5</v>
      </c>
      <c r="Y122" s="91"/>
      <c r="Z122" s="88"/>
    </row>
    <row r="123" spans="5:26" ht="12.5" x14ac:dyDescent="0.25">
      <c r="E123" s="186">
        <f t="shared" si="8"/>
        <v>119</v>
      </c>
      <c r="F123" s="187">
        <f t="shared" si="0"/>
        <v>5.95</v>
      </c>
      <c r="G123" s="188">
        <f t="shared" si="1"/>
        <v>6.5730000000000004</v>
      </c>
      <c r="H123" s="189">
        <f t="shared" si="2"/>
        <v>246.14657230296032</v>
      </c>
      <c r="I123" s="190">
        <f t="shared" si="9"/>
        <v>1.129812766870588</v>
      </c>
      <c r="J123" s="191">
        <f t="shared" si="10"/>
        <v>39.834408321167963</v>
      </c>
      <c r="K123" s="192" t="b">
        <f t="shared" si="3"/>
        <v>0</v>
      </c>
      <c r="L123" s="193">
        <f t="shared" si="11"/>
        <v>0</v>
      </c>
      <c r="M123" s="194">
        <f t="shared" si="12"/>
        <v>1.2273126823164504E-30</v>
      </c>
      <c r="N123" s="194">
        <f t="shared" si="13"/>
        <v>0.74685329173710602</v>
      </c>
      <c r="O123" s="195">
        <f>IF(ABS(U123)&gt;80,$B$7, LOOKUP(V123,'Force mapping'!$B$7:$B$167,'Force mapping'!$E$7:$E$167))</f>
        <v>536</v>
      </c>
      <c r="P123" s="196">
        <f t="shared" si="4"/>
        <v>0.623</v>
      </c>
      <c r="Q123" s="191">
        <f t="shared" si="5"/>
        <v>0.16469072587023365</v>
      </c>
      <c r="R123" s="197">
        <f>IF(ABS(U123)&gt;80, 0, LOOKUP(V123,'Force mapping'!$B$7:$B$167,'Force mapping'!$D$7:$D$167) * (N123/5) * SIGN(U123))</f>
        <v>0</v>
      </c>
      <c r="S123" s="198">
        <f t="shared" si="6"/>
        <v>0</v>
      </c>
      <c r="T123" s="199">
        <f t="shared" si="14"/>
        <v>32.399883813688163</v>
      </c>
      <c r="U123" s="200">
        <f t="shared" si="15"/>
        <v>-105.91607219435598</v>
      </c>
      <c r="V123" s="176">
        <f t="shared" si="7"/>
        <v>106</v>
      </c>
      <c r="Y123" s="91"/>
      <c r="Z123" s="88"/>
    </row>
    <row r="124" spans="5:26" ht="12.5" x14ac:dyDescent="0.25">
      <c r="E124" s="186">
        <f t="shared" si="8"/>
        <v>120</v>
      </c>
      <c r="F124" s="187">
        <f t="shared" si="0"/>
        <v>6</v>
      </c>
      <c r="G124" s="188">
        <f t="shared" si="1"/>
        <v>6.6230000000000002</v>
      </c>
      <c r="H124" s="189">
        <f t="shared" si="2"/>
        <v>246.14657230296032</v>
      </c>
      <c r="I124" s="190">
        <f t="shared" si="9"/>
        <v>1.129812766870588</v>
      </c>
      <c r="J124" s="191">
        <f t="shared" si="10"/>
        <v>39.834408321167963</v>
      </c>
      <c r="K124" s="192" t="b">
        <f t="shared" si="3"/>
        <v>0</v>
      </c>
      <c r="L124" s="193">
        <f t="shared" si="11"/>
        <v>0</v>
      </c>
      <c r="M124" s="194">
        <f t="shared" si="12"/>
        <v>4.5410569245708665E-31</v>
      </c>
      <c r="N124" s="194">
        <f t="shared" si="13"/>
        <v>0.68691322016912004</v>
      </c>
      <c r="O124" s="195">
        <f>IF(ABS(U124)&gt;80,$B$7, LOOKUP(V124,'Force mapping'!$B$7:$B$167,'Force mapping'!$E$7:$E$167))</f>
        <v>536</v>
      </c>
      <c r="P124" s="196">
        <f t="shared" si="4"/>
        <v>0.623</v>
      </c>
      <c r="Q124" s="191">
        <f t="shared" si="5"/>
        <v>0.15147317162703672</v>
      </c>
      <c r="R124" s="197">
        <f>IF(ABS(U124)&gt;80, 0, LOOKUP(V124,'Force mapping'!$B$7:$B$167,'Force mapping'!$D$7:$D$167) * (N124/5) * SIGN(U124))</f>
        <v>0</v>
      </c>
      <c r="S124" s="198">
        <f t="shared" si="6"/>
        <v>0</v>
      </c>
      <c r="T124" s="199">
        <f t="shared" si="14"/>
        <v>32.399883813688163</v>
      </c>
      <c r="U124" s="200">
        <f t="shared" si="15"/>
        <v>-107.53606638504039</v>
      </c>
      <c r="V124" s="176">
        <f t="shared" si="7"/>
        <v>107.5</v>
      </c>
      <c r="Y124" s="91"/>
      <c r="Z124" s="88"/>
    </row>
    <row r="125" spans="5:26" ht="12.5" x14ac:dyDescent="0.25">
      <c r="E125" s="186">
        <f t="shared" si="8"/>
        <v>121</v>
      </c>
      <c r="F125" s="187">
        <f t="shared" si="0"/>
        <v>6.0500000000000007</v>
      </c>
      <c r="G125" s="188">
        <f t="shared" si="1"/>
        <v>6.6730000000000009</v>
      </c>
      <c r="H125" s="189">
        <f t="shared" si="2"/>
        <v>246.14657230296032</v>
      </c>
      <c r="I125" s="190">
        <f t="shared" si="9"/>
        <v>1.129812766870588</v>
      </c>
      <c r="J125" s="191">
        <f t="shared" si="10"/>
        <v>39.834408321167963</v>
      </c>
      <c r="K125" s="192" t="b">
        <f t="shared" si="3"/>
        <v>0</v>
      </c>
      <c r="L125" s="193">
        <f t="shared" si="11"/>
        <v>0</v>
      </c>
      <c r="M125" s="194">
        <f t="shared" si="12"/>
        <v>1.6801910620912205E-31</v>
      </c>
      <c r="N125" s="194">
        <f t="shared" si="13"/>
        <v>0.63178374824543471</v>
      </c>
      <c r="O125" s="195">
        <f>IF(ABS(U125)&gt;80,$B$7, LOOKUP(V125,'Force mapping'!$B$7:$B$167,'Force mapping'!$E$7:$E$167))</f>
        <v>536</v>
      </c>
      <c r="P125" s="196">
        <f t="shared" si="4"/>
        <v>0.623</v>
      </c>
      <c r="Q125" s="191">
        <f t="shared" si="5"/>
        <v>0.13931641627976254</v>
      </c>
      <c r="R125" s="197">
        <f>IF(ABS(U125)&gt;80, 0, LOOKUP(V125,'Force mapping'!$B$7:$B$167,'Force mapping'!$D$7:$D$167) * (N125/5) * SIGN(U125))</f>
        <v>0</v>
      </c>
      <c r="S125" s="198">
        <f t="shared" si="6"/>
        <v>0</v>
      </c>
      <c r="T125" s="199">
        <f t="shared" si="14"/>
        <v>32.399883813688163</v>
      </c>
      <c r="U125" s="200">
        <f t="shared" si="15"/>
        <v>-109.15606057572479</v>
      </c>
      <c r="V125" s="176">
        <f t="shared" si="7"/>
        <v>109</v>
      </c>
      <c r="Y125" s="91"/>
      <c r="Z125" s="88"/>
    </row>
    <row r="126" spans="5:26" ht="12.5" x14ac:dyDescent="0.25">
      <c r="E126" s="186">
        <f t="shared" si="8"/>
        <v>122</v>
      </c>
      <c r="F126" s="187">
        <f t="shared" si="0"/>
        <v>6.1000000000000005</v>
      </c>
      <c r="G126" s="188">
        <f t="shared" si="1"/>
        <v>6.7230000000000008</v>
      </c>
      <c r="H126" s="189">
        <f t="shared" si="2"/>
        <v>246.14657230296032</v>
      </c>
      <c r="I126" s="190">
        <f t="shared" si="9"/>
        <v>1.129812766870588</v>
      </c>
      <c r="J126" s="191">
        <f t="shared" si="10"/>
        <v>39.834408321167963</v>
      </c>
      <c r="K126" s="192" t="b">
        <f t="shared" si="3"/>
        <v>0</v>
      </c>
      <c r="L126" s="193">
        <f t="shared" si="11"/>
        <v>0</v>
      </c>
      <c r="M126" s="194">
        <f t="shared" si="12"/>
        <v>6.2167069297375162E-32</v>
      </c>
      <c r="N126" s="194">
        <f t="shared" si="13"/>
        <v>0.58107879252750261</v>
      </c>
      <c r="O126" s="195">
        <f>IF(ABS(U126)&gt;80,$B$7, LOOKUP(V126,'Force mapping'!$B$7:$B$167,'Force mapping'!$E$7:$E$167))</f>
        <v>536</v>
      </c>
      <c r="P126" s="196">
        <f t="shared" si="4"/>
        <v>0.623</v>
      </c>
      <c r="Q126" s="191">
        <f t="shared" si="5"/>
        <v>0.12813532348042364</v>
      </c>
      <c r="R126" s="197">
        <f>IF(ABS(U126)&gt;80, 0, LOOKUP(V126,'Force mapping'!$B$7:$B$167,'Force mapping'!$D$7:$D$167) * (N126/5) * SIGN(U126))</f>
        <v>0</v>
      </c>
      <c r="S126" s="198">
        <f t="shared" si="6"/>
        <v>0</v>
      </c>
      <c r="T126" s="199">
        <f t="shared" si="14"/>
        <v>32.399883813688163</v>
      </c>
      <c r="U126" s="200">
        <f t="shared" si="15"/>
        <v>-110.7760547664092</v>
      </c>
      <c r="V126" s="176">
        <f t="shared" si="7"/>
        <v>111</v>
      </c>
      <c r="Y126" s="91"/>
      <c r="Z126" s="88"/>
    </row>
    <row r="127" spans="5:26" ht="12.5" x14ac:dyDescent="0.25">
      <c r="E127" s="186">
        <f t="shared" si="8"/>
        <v>123</v>
      </c>
      <c r="F127" s="187">
        <f t="shared" si="0"/>
        <v>6.15</v>
      </c>
      <c r="G127" s="188">
        <f t="shared" si="1"/>
        <v>6.7730000000000006</v>
      </c>
      <c r="H127" s="189">
        <f t="shared" si="2"/>
        <v>246.14657230296032</v>
      </c>
      <c r="I127" s="190">
        <f t="shared" si="9"/>
        <v>1.129812766870588</v>
      </c>
      <c r="J127" s="191">
        <f t="shared" si="10"/>
        <v>39.834408321167963</v>
      </c>
      <c r="K127" s="192" t="b">
        <f t="shared" si="3"/>
        <v>0</v>
      </c>
      <c r="L127" s="193">
        <f t="shared" si="11"/>
        <v>0</v>
      </c>
      <c r="M127" s="194">
        <f t="shared" si="12"/>
        <v>2.3001815640028812E-32</v>
      </c>
      <c r="N127" s="194">
        <f t="shared" si="13"/>
        <v>0.53444325540651527</v>
      </c>
      <c r="O127" s="195">
        <f>IF(ABS(U127)&gt;80,$B$7, LOOKUP(V127,'Force mapping'!$B$7:$B$167,'Force mapping'!$E$7:$E$167))</f>
        <v>536</v>
      </c>
      <c r="P127" s="196">
        <f t="shared" si="4"/>
        <v>0.623</v>
      </c>
      <c r="Q127" s="191">
        <f t="shared" si="5"/>
        <v>0.11785158965374438</v>
      </c>
      <c r="R127" s="197">
        <f>IF(ABS(U127)&gt;80, 0, LOOKUP(V127,'Force mapping'!$B$7:$B$167,'Force mapping'!$D$7:$D$167) * (N127/5) * SIGN(U127))</f>
        <v>0</v>
      </c>
      <c r="S127" s="198">
        <f t="shared" si="6"/>
        <v>0</v>
      </c>
      <c r="T127" s="199">
        <f t="shared" si="14"/>
        <v>32.399883813688163</v>
      </c>
      <c r="U127" s="200">
        <f t="shared" si="15"/>
        <v>-112.39604895709361</v>
      </c>
      <c r="V127" s="176">
        <f t="shared" si="7"/>
        <v>112.5</v>
      </c>
      <c r="Y127" s="91"/>
      <c r="Z127" s="88"/>
    </row>
    <row r="128" spans="5:26" ht="12.5" x14ac:dyDescent="0.25">
      <c r="E128" s="186">
        <f t="shared" si="8"/>
        <v>124</v>
      </c>
      <c r="F128" s="187">
        <f t="shared" si="0"/>
        <v>6.2</v>
      </c>
      <c r="G128" s="188">
        <f t="shared" si="1"/>
        <v>6.8230000000000004</v>
      </c>
      <c r="H128" s="189">
        <f t="shared" si="2"/>
        <v>246.14657230296032</v>
      </c>
      <c r="I128" s="190">
        <f t="shared" si="9"/>
        <v>1.129812766870588</v>
      </c>
      <c r="J128" s="191">
        <f t="shared" si="10"/>
        <v>39.834408321167963</v>
      </c>
      <c r="K128" s="192" t="b">
        <f t="shared" si="3"/>
        <v>0</v>
      </c>
      <c r="L128" s="193">
        <f t="shared" si="11"/>
        <v>0</v>
      </c>
      <c r="M128" s="194">
        <f t="shared" si="12"/>
        <v>8.5106717868106595E-33</v>
      </c>
      <c r="N128" s="194">
        <f t="shared" si="13"/>
        <v>0.4915505382791866</v>
      </c>
      <c r="O128" s="195">
        <f>IF(ABS(U128)&gt;80,$B$7, LOOKUP(V128,'Force mapping'!$B$7:$B$167,'Force mapping'!$E$7:$E$167))</f>
        <v>536</v>
      </c>
      <c r="P128" s="196">
        <f t="shared" si="4"/>
        <v>0.623</v>
      </c>
      <c r="Q128" s="191">
        <f t="shared" si="5"/>
        <v>0.10839319562053859</v>
      </c>
      <c r="R128" s="197">
        <f>IF(ABS(U128)&gt;80, 0, LOOKUP(V128,'Force mapping'!$B$7:$B$167,'Force mapping'!$D$7:$D$167) * (N128/5) * SIGN(U128))</f>
        <v>0</v>
      </c>
      <c r="S128" s="198">
        <f t="shared" si="6"/>
        <v>0</v>
      </c>
      <c r="T128" s="199">
        <f t="shared" si="14"/>
        <v>32.399883813688163</v>
      </c>
      <c r="U128" s="200">
        <f t="shared" si="15"/>
        <v>-114.01604314777802</v>
      </c>
      <c r="V128" s="176">
        <f t="shared" si="7"/>
        <v>114</v>
      </c>
      <c r="Y128" s="91"/>
      <c r="Z128" s="88"/>
    </row>
    <row r="129" spans="5:26" ht="12.5" x14ac:dyDescent="0.25">
      <c r="E129" s="186">
        <f t="shared" si="8"/>
        <v>125</v>
      </c>
      <c r="F129" s="187">
        <f t="shared" si="0"/>
        <v>6.25</v>
      </c>
      <c r="G129" s="188">
        <f t="shared" si="1"/>
        <v>6.8730000000000002</v>
      </c>
      <c r="H129" s="189">
        <f t="shared" si="2"/>
        <v>246.14657230296032</v>
      </c>
      <c r="I129" s="190">
        <f t="shared" si="9"/>
        <v>1.129812766870588</v>
      </c>
      <c r="J129" s="191">
        <f t="shared" si="10"/>
        <v>39.834408321167963</v>
      </c>
      <c r="K129" s="192" t="b">
        <f t="shared" si="3"/>
        <v>0</v>
      </c>
      <c r="L129" s="193">
        <f t="shared" si="11"/>
        <v>0</v>
      </c>
      <c r="M129" s="194">
        <f t="shared" si="12"/>
        <v>3.148948561119944E-33</v>
      </c>
      <c r="N129" s="194">
        <f t="shared" si="13"/>
        <v>0.45210025430814438</v>
      </c>
      <c r="O129" s="195">
        <f>IF(ABS(U129)&gt;80,$B$7, LOOKUP(V129,'Force mapping'!$B$7:$B$167,'Force mapping'!$E$7:$E$167))</f>
        <v>536</v>
      </c>
      <c r="P129" s="196">
        <f t="shared" si="4"/>
        <v>0.623</v>
      </c>
      <c r="Q129" s="191">
        <f t="shared" si="5"/>
        <v>9.969390223205235E-2</v>
      </c>
      <c r="R129" s="197">
        <f>IF(ABS(U129)&gt;80, 0, LOOKUP(V129,'Force mapping'!$B$7:$B$167,'Force mapping'!$D$7:$D$167) * (N129/5) * SIGN(U129))</f>
        <v>0</v>
      </c>
      <c r="S129" s="198">
        <f t="shared" si="6"/>
        <v>0</v>
      </c>
      <c r="T129" s="199">
        <f t="shared" si="14"/>
        <v>32.399883813688163</v>
      </c>
      <c r="U129" s="200">
        <f t="shared" si="15"/>
        <v>-115.63603733846243</v>
      </c>
      <c r="V129" s="176">
        <f t="shared" si="7"/>
        <v>115.5</v>
      </c>
      <c r="Y129" s="91"/>
      <c r="Z129" s="88"/>
    </row>
    <row r="130" spans="5:26" ht="12.5" x14ac:dyDescent="0.25">
      <c r="E130" s="186">
        <f t="shared" si="8"/>
        <v>126</v>
      </c>
      <c r="F130" s="187">
        <f t="shared" si="0"/>
        <v>6.3000000000000007</v>
      </c>
      <c r="G130" s="188">
        <f t="shared" si="1"/>
        <v>6.9230000000000009</v>
      </c>
      <c r="H130" s="189">
        <f t="shared" si="2"/>
        <v>246.14657230296032</v>
      </c>
      <c r="I130" s="190">
        <f t="shared" si="9"/>
        <v>1.129812766870588</v>
      </c>
      <c r="J130" s="191">
        <f t="shared" si="10"/>
        <v>39.834408321167963</v>
      </c>
      <c r="K130" s="192" t="b">
        <f t="shared" si="3"/>
        <v>0</v>
      </c>
      <c r="L130" s="193">
        <f t="shared" si="11"/>
        <v>0</v>
      </c>
      <c r="M130" s="194">
        <f t="shared" si="12"/>
        <v>1.1651109676143793E-33</v>
      </c>
      <c r="N130" s="194">
        <f t="shared" si="13"/>
        <v>0.41581612474890328</v>
      </c>
      <c r="O130" s="195">
        <f>IF(ABS(U130)&gt;80,$B$7, LOOKUP(V130,'Force mapping'!$B$7:$B$167,'Force mapping'!$E$7:$E$167))</f>
        <v>536</v>
      </c>
      <c r="P130" s="196">
        <f t="shared" si="4"/>
        <v>0.623</v>
      </c>
      <c r="Q130" s="191">
        <f t="shared" si="5"/>
        <v>9.1692786483091482E-2</v>
      </c>
      <c r="R130" s="197">
        <f>IF(ABS(U130)&gt;80, 0, LOOKUP(V130,'Force mapping'!$B$7:$B$167,'Force mapping'!$D$7:$D$167) * (N130/5) * SIGN(U130))</f>
        <v>0</v>
      </c>
      <c r="S130" s="198">
        <f t="shared" si="6"/>
        <v>0</v>
      </c>
      <c r="T130" s="199">
        <f t="shared" si="14"/>
        <v>32.399883813688163</v>
      </c>
      <c r="U130" s="200">
        <f t="shared" si="15"/>
        <v>-117.25603152914684</v>
      </c>
      <c r="V130" s="176">
        <f t="shared" si="7"/>
        <v>117.5</v>
      </c>
      <c r="Y130" s="91"/>
      <c r="Z130" s="88"/>
    </row>
    <row r="131" spans="5:26" ht="12.5" x14ac:dyDescent="0.25">
      <c r="E131" s="186">
        <f t="shared" si="8"/>
        <v>127</v>
      </c>
      <c r="F131" s="187">
        <f t="shared" si="0"/>
        <v>6.3500000000000005</v>
      </c>
      <c r="G131" s="188">
        <f t="shared" si="1"/>
        <v>6.9730000000000008</v>
      </c>
      <c r="H131" s="189">
        <f t="shared" si="2"/>
        <v>246.14657230296032</v>
      </c>
      <c r="I131" s="190">
        <f t="shared" si="9"/>
        <v>1.129812766870588</v>
      </c>
      <c r="J131" s="191">
        <f t="shared" si="10"/>
        <v>39.834408321167963</v>
      </c>
      <c r="K131" s="192" t="b">
        <f t="shared" si="3"/>
        <v>0</v>
      </c>
      <c r="L131" s="193">
        <f t="shared" si="11"/>
        <v>0</v>
      </c>
      <c r="M131" s="194">
        <f t="shared" si="12"/>
        <v>4.3109105801732038E-34</v>
      </c>
      <c r="N131" s="194">
        <f t="shared" si="13"/>
        <v>0.38244404411094957</v>
      </c>
      <c r="O131" s="195">
        <f>IF(ABS(U131)&gt;80,$B$7, LOOKUP(V131,'Force mapping'!$B$7:$B$167,'Force mapping'!$E$7:$E$167))</f>
        <v>536</v>
      </c>
      <c r="P131" s="196">
        <f t="shared" si="4"/>
        <v>0.623</v>
      </c>
      <c r="Q131" s="191">
        <f t="shared" si="5"/>
        <v>8.4333814855235029E-2</v>
      </c>
      <c r="R131" s="197">
        <f>IF(ABS(U131)&gt;80, 0, LOOKUP(V131,'Force mapping'!$B$7:$B$167,'Force mapping'!$D$7:$D$167) * (N131/5) * SIGN(U131))</f>
        <v>0</v>
      </c>
      <c r="S131" s="198">
        <f t="shared" si="6"/>
        <v>0</v>
      </c>
      <c r="T131" s="199">
        <f t="shared" si="14"/>
        <v>32.399883813688163</v>
      </c>
      <c r="U131" s="200">
        <f t="shared" si="15"/>
        <v>-118.87602571983125</v>
      </c>
      <c r="V131" s="176">
        <f t="shared" si="7"/>
        <v>119</v>
      </c>
      <c r="Y131" s="91"/>
      <c r="Z131" s="88"/>
    </row>
    <row r="132" spans="5:26" ht="12.5" x14ac:dyDescent="0.25">
      <c r="E132" s="186">
        <f t="shared" si="8"/>
        <v>128</v>
      </c>
      <c r="F132" s="187">
        <f t="shared" si="0"/>
        <v>6.4</v>
      </c>
      <c r="G132" s="188">
        <f t="shared" si="1"/>
        <v>7.0230000000000006</v>
      </c>
      <c r="H132" s="189">
        <f t="shared" si="2"/>
        <v>246.14657230296032</v>
      </c>
      <c r="I132" s="190">
        <f t="shared" si="9"/>
        <v>1.129812766870588</v>
      </c>
      <c r="J132" s="191">
        <f t="shared" si="10"/>
        <v>39.834408321167963</v>
      </c>
      <c r="K132" s="192" t="b">
        <f t="shared" si="3"/>
        <v>0</v>
      </c>
      <c r="L132" s="193">
        <f t="shared" si="11"/>
        <v>0</v>
      </c>
      <c r="M132" s="194">
        <f t="shared" si="12"/>
        <v>1.5950369146640854E-34</v>
      </c>
      <c r="N132" s="194">
        <f t="shared" si="13"/>
        <v>0.35175030060284768</v>
      </c>
      <c r="O132" s="195">
        <f>IF(ABS(U132)&gt;80,$B$7, LOOKUP(V132,'Force mapping'!$B$7:$B$167,'Force mapping'!$E$7:$E$167))</f>
        <v>536</v>
      </c>
      <c r="P132" s="196">
        <f t="shared" si="4"/>
        <v>0.623</v>
      </c>
      <c r="Q132" s="191">
        <f t="shared" si="5"/>
        <v>7.7565450902166405E-2</v>
      </c>
      <c r="R132" s="197">
        <f>IF(ABS(U132)&gt;80, 0, LOOKUP(V132,'Force mapping'!$B$7:$B$167,'Force mapping'!$D$7:$D$167) * (N132/5) * SIGN(U132))</f>
        <v>0</v>
      </c>
      <c r="S132" s="198">
        <f t="shared" si="6"/>
        <v>0</v>
      </c>
      <c r="T132" s="199">
        <f t="shared" si="14"/>
        <v>32.399883813688163</v>
      </c>
      <c r="U132" s="200">
        <f t="shared" si="15"/>
        <v>-120.49601991051566</v>
      </c>
      <c r="V132" s="176">
        <f t="shared" si="7"/>
        <v>120.5</v>
      </c>
      <c r="Y132" s="91"/>
      <c r="Z132" s="88"/>
    </row>
    <row r="133" spans="5:26" ht="12.5" x14ac:dyDescent="0.25">
      <c r="E133" s="186">
        <f t="shared" si="8"/>
        <v>129</v>
      </c>
      <c r="F133" s="187">
        <f t="shared" si="0"/>
        <v>6.45</v>
      </c>
      <c r="G133" s="188">
        <f t="shared" si="1"/>
        <v>7.0730000000000004</v>
      </c>
      <c r="H133" s="189">
        <f t="shared" si="2"/>
        <v>246.14657230296032</v>
      </c>
      <c r="I133" s="190">
        <f t="shared" si="9"/>
        <v>1.129812766870588</v>
      </c>
      <c r="J133" s="191">
        <f t="shared" si="10"/>
        <v>39.834408321167963</v>
      </c>
      <c r="K133" s="192" t="b">
        <f t="shared" si="3"/>
        <v>0</v>
      </c>
      <c r="L133" s="193">
        <f t="shared" si="11"/>
        <v>0</v>
      </c>
      <c r="M133" s="194">
        <f t="shared" si="12"/>
        <v>5.9016365842571153E-35</v>
      </c>
      <c r="N133" s="194">
        <f t="shared" si="13"/>
        <v>0.32351993939876683</v>
      </c>
      <c r="O133" s="195">
        <f>IF(ABS(U133)&gt;80,$B$7, LOOKUP(V133,'Force mapping'!$B$7:$B$167,'Force mapping'!$E$7:$E$167))</f>
        <v>536</v>
      </c>
      <c r="P133" s="196">
        <f t="shared" si="4"/>
        <v>0.623</v>
      </c>
      <c r="Q133" s="191">
        <f t="shared" si="5"/>
        <v>7.1340294328958845E-2</v>
      </c>
      <c r="R133" s="197">
        <f>IF(ABS(U133)&gt;80, 0, LOOKUP(V133,'Force mapping'!$B$7:$B$167,'Force mapping'!$D$7:$D$167) * (N133/5) * SIGN(U133))</f>
        <v>0</v>
      </c>
      <c r="S133" s="198">
        <f t="shared" si="6"/>
        <v>0</v>
      </c>
      <c r="T133" s="199">
        <f t="shared" si="14"/>
        <v>32.399883813688163</v>
      </c>
      <c r="U133" s="200">
        <f t="shared" si="15"/>
        <v>-122.11601410120007</v>
      </c>
      <c r="V133" s="176">
        <f t="shared" si="7"/>
        <v>122</v>
      </c>
      <c r="Y133" s="91"/>
      <c r="Z133" s="88"/>
    </row>
    <row r="134" spans="5:26" ht="12.5" x14ac:dyDescent="0.25">
      <c r="E134" s="186">
        <f t="shared" si="8"/>
        <v>130</v>
      </c>
      <c r="F134" s="187">
        <f t="shared" si="0"/>
        <v>6.5</v>
      </c>
      <c r="G134" s="188">
        <f t="shared" si="1"/>
        <v>7.1230000000000002</v>
      </c>
      <c r="H134" s="189">
        <f t="shared" si="2"/>
        <v>246.14657230296032</v>
      </c>
      <c r="I134" s="190">
        <f t="shared" si="9"/>
        <v>1.129812766870588</v>
      </c>
      <c r="J134" s="191">
        <f t="shared" si="10"/>
        <v>39.834408321167963</v>
      </c>
      <c r="K134" s="192" t="b">
        <f t="shared" si="3"/>
        <v>0</v>
      </c>
      <c r="L134" s="193">
        <f t="shared" si="11"/>
        <v>0</v>
      </c>
      <c r="M134" s="194">
        <f t="shared" si="12"/>
        <v>2.1836055361751326E-35</v>
      </c>
      <c r="N134" s="194">
        <f t="shared" si="13"/>
        <v>0.29755525726403437</v>
      </c>
      <c r="O134" s="195">
        <f>IF(ABS(U134)&gt;80,$B$7, LOOKUP(V134,'Force mapping'!$B$7:$B$167,'Force mapping'!$E$7:$E$167))</f>
        <v>536</v>
      </c>
      <c r="P134" s="196">
        <f t="shared" si="4"/>
        <v>0.623</v>
      </c>
      <c r="Q134" s="191">
        <f t="shared" si="5"/>
        <v>6.5614749037710141E-2</v>
      </c>
      <c r="R134" s="197">
        <f>IF(ABS(U134)&gt;80, 0, LOOKUP(V134,'Force mapping'!$B$7:$B$167,'Force mapping'!$D$7:$D$167) * (N134/5) * SIGN(U134))</f>
        <v>0</v>
      </c>
      <c r="S134" s="198">
        <f t="shared" si="6"/>
        <v>0</v>
      </c>
      <c r="T134" s="199">
        <f t="shared" si="14"/>
        <v>32.399883813688163</v>
      </c>
      <c r="U134" s="200">
        <f t="shared" si="15"/>
        <v>-123.73600829188447</v>
      </c>
      <c r="V134" s="176">
        <f t="shared" si="7"/>
        <v>123.5</v>
      </c>
      <c r="Y134" s="91"/>
      <c r="Z134" s="88"/>
    </row>
    <row r="135" spans="5:26" ht="12.5" x14ac:dyDescent="0.25">
      <c r="E135" s="186">
        <f t="shared" si="8"/>
        <v>131</v>
      </c>
      <c r="F135" s="187">
        <f t="shared" si="0"/>
        <v>6.5500000000000007</v>
      </c>
      <c r="G135" s="188">
        <f t="shared" si="1"/>
        <v>7.1730000000000009</v>
      </c>
      <c r="H135" s="189">
        <f t="shared" si="2"/>
        <v>246.14657230296032</v>
      </c>
      <c r="I135" s="190">
        <f t="shared" si="9"/>
        <v>1.129812766870588</v>
      </c>
      <c r="J135" s="191">
        <f t="shared" si="10"/>
        <v>39.834408321167963</v>
      </c>
      <c r="K135" s="192" t="b">
        <f t="shared" si="3"/>
        <v>0</v>
      </c>
      <c r="L135" s="193">
        <f t="shared" si="11"/>
        <v>0</v>
      </c>
      <c r="M135" s="194">
        <f t="shared" si="12"/>
        <v>8.0793404838479905E-36</v>
      </c>
      <c r="N135" s="194">
        <f t="shared" si="13"/>
        <v>0.27367441799725795</v>
      </c>
      <c r="O135" s="195">
        <f>IF(ABS(U135)&gt;80,$B$7, LOOKUP(V135,'Force mapping'!$B$7:$B$167,'Force mapping'!$E$7:$E$167))</f>
        <v>536</v>
      </c>
      <c r="P135" s="196">
        <f t="shared" si="4"/>
        <v>0.623</v>
      </c>
      <c r="Q135" s="191">
        <f t="shared" si="5"/>
        <v>6.0348717814779955E-2</v>
      </c>
      <c r="R135" s="197">
        <f>IF(ABS(U135)&gt;80, 0, LOOKUP(V135,'Force mapping'!$B$7:$B$167,'Force mapping'!$D$7:$D$167) * (N135/5) * SIGN(U135))</f>
        <v>0</v>
      </c>
      <c r="S135" s="198">
        <f t="shared" si="6"/>
        <v>0</v>
      </c>
      <c r="T135" s="199">
        <f t="shared" si="14"/>
        <v>32.399883813688163</v>
      </c>
      <c r="U135" s="200">
        <f t="shared" si="15"/>
        <v>-125.35600248256888</v>
      </c>
      <c r="V135" s="176">
        <f t="shared" si="7"/>
        <v>125.5</v>
      </c>
      <c r="Y135" s="91"/>
      <c r="Z135" s="88"/>
    </row>
    <row r="136" spans="5:26" ht="12.5" x14ac:dyDescent="0.25">
      <c r="E136" s="186">
        <f t="shared" si="8"/>
        <v>132</v>
      </c>
      <c r="F136" s="187">
        <f t="shared" si="0"/>
        <v>6.6000000000000005</v>
      </c>
      <c r="G136" s="188">
        <f t="shared" si="1"/>
        <v>7.2230000000000008</v>
      </c>
      <c r="H136" s="189">
        <f t="shared" si="2"/>
        <v>246.14657230296032</v>
      </c>
      <c r="I136" s="190">
        <f t="shared" si="9"/>
        <v>1.129812766870588</v>
      </c>
      <c r="J136" s="191">
        <f t="shared" si="10"/>
        <v>39.834408321167963</v>
      </c>
      <c r="K136" s="192" t="b">
        <f t="shared" si="3"/>
        <v>0</v>
      </c>
      <c r="L136" s="193">
        <f t="shared" si="11"/>
        <v>0</v>
      </c>
      <c r="M136" s="194">
        <f t="shared" si="12"/>
        <v>2.9893559790237566E-36</v>
      </c>
      <c r="N136" s="194">
        <f t="shared" si="13"/>
        <v>0.25171017899266263</v>
      </c>
      <c r="O136" s="195">
        <f>IF(ABS(U136)&gt;80,$B$7, LOOKUP(V136,'Force mapping'!$B$7:$B$167,'Force mapping'!$E$7:$E$167))</f>
        <v>536</v>
      </c>
      <c r="P136" s="196">
        <f t="shared" si="4"/>
        <v>0.623</v>
      </c>
      <c r="Q136" s="191">
        <f t="shared" si="5"/>
        <v>5.5505321521458935E-2</v>
      </c>
      <c r="R136" s="197">
        <f>IF(ABS(U136)&gt;80, 0, LOOKUP(V136,'Force mapping'!$B$7:$B$167,'Force mapping'!$D$7:$D$167) * (N136/5) * SIGN(U136))</f>
        <v>0</v>
      </c>
      <c r="S136" s="198">
        <f t="shared" si="6"/>
        <v>0</v>
      </c>
      <c r="T136" s="199">
        <f t="shared" si="14"/>
        <v>32.399883813688163</v>
      </c>
      <c r="U136" s="200">
        <f t="shared" si="15"/>
        <v>-126.97599667325329</v>
      </c>
      <c r="V136" s="176">
        <f t="shared" si="7"/>
        <v>127</v>
      </c>
      <c r="Y136" s="91"/>
      <c r="Z136" s="88"/>
    </row>
    <row r="137" spans="5:26" ht="12.5" x14ac:dyDescent="0.25">
      <c r="E137" s="186">
        <f t="shared" si="8"/>
        <v>133</v>
      </c>
      <c r="F137" s="187">
        <f t="shared" si="0"/>
        <v>6.65</v>
      </c>
      <c r="G137" s="188">
        <f t="shared" si="1"/>
        <v>7.2730000000000006</v>
      </c>
      <c r="H137" s="189">
        <f t="shared" si="2"/>
        <v>246.14657230296032</v>
      </c>
      <c r="I137" s="190">
        <f t="shared" si="9"/>
        <v>1.129812766870588</v>
      </c>
      <c r="J137" s="191">
        <f t="shared" si="10"/>
        <v>39.834408321167963</v>
      </c>
      <c r="K137" s="192" t="b">
        <f t="shared" si="3"/>
        <v>0</v>
      </c>
      <c r="L137" s="193">
        <f t="shared" si="11"/>
        <v>0</v>
      </c>
      <c r="M137" s="194">
        <f t="shared" si="12"/>
        <v>1.1060617122387901E-36</v>
      </c>
      <c r="N137" s="194">
        <f t="shared" si="13"/>
        <v>0.23150872000448747</v>
      </c>
      <c r="O137" s="195">
        <f>IF(ABS(U137)&gt;80,$B$7, LOOKUP(V137,'Force mapping'!$B$7:$B$167,'Force mapping'!$E$7:$E$167))</f>
        <v>536</v>
      </c>
      <c r="P137" s="196">
        <f t="shared" si="4"/>
        <v>0.623</v>
      </c>
      <c r="Q137" s="191">
        <f t="shared" si="5"/>
        <v>5.105064082150236E-2</v>
      </c>
      <c r="R137" s="197">
        <f>IF(ABS(U137)&gt;80, 0, LOOKUP(V137,'Force mapping'!$B$7:$B$167,'Force mapping'!$D$7:$D$167) * (N137/5) * SIGN(U137))</f>
        <v>0</v>
      </c>
      <c r="S137" s="198">
        <f t="shared" si="6"/>
        <v>0</v>
      </c>
      <c r="T137" s="199">
        <f t="shared" si="14"/>
        <v>32.399883813688163</v>
      </c>
      <c r="U137" s="200">
        <f t="shared" si="15"/>
        <v>-128.59599086393769</v>
      </c>
      <c r="V137" s="176">
        <f t="shared" si="7"/>
        <v>128.5</v>
      </c>
      <c r="Y137" s="91"/>
      <c r="Z137" s="88"/>
    </row>
    <row r="138" spans="5:26" ht="12.5" x14ac:dyDescent="0.25">
      <c r="E138" s="186">
        <f t="shared" si="8"/>
        <v>134</v>
      </c>
      <c r="F138" s="187">
        <f t="shared" si="0"/>
        <v>6.7</v>
      </c>
      <c r="G138" s="188">
        <f t="shared" si="1"/>
        <v>7.3230000000000004</v>
      </c>
      <c r="H138" s="189">
        <f t="shared" si="2"/>
        <v>246.14657230296032</v>
      </c>
      <c r="I138" s="190">
        <f t="shared" si="9"/>
        <v>1.129812766870588</v>
      </c>
      <c r="J138" s="191">
        <f t="shared" si="10"/>
        <v>39.834408321167963</v>
      </c>
      <c r="K138" s="192" t="b">
        <f t="shared" si="3"/>
        <v>0</v>
      </c>
      <c r="L138" s="193">
        <f t="shared" si="11"/>
        <v>0</v>
      </c>
      <c r="M138" s="194">
        <f t="shared" si="12"/>
        <v>4.0924283352835229E-37</v>
      </c>
      <c r="N138" s="194">
        <f t="shared" si="13"/>
        <v>0.2129285659110294</v>
      </c>
      <c r="O138" s="195">
        <f>IF(ABS(U138)&gt;80,$B$7, LOOKUP(V138,'Force mapping'!$B$7:$B$167,'Force mapping'!$E$7:$E$167))</f>
        <v>536</v>
      </c>
      <c r="P138" s="196">
        <f t="shared" si="4"/>
        <v>0.623</v>
      </c>
      <c r="Q138" s="191">
        <f t="shared" si="5"/>
        <v>4.6953478636791099E-2</v>
      </c>
      <c r="R138" s="197">
        <f>IF(ABS(U138)&gt;80, 0, LOOKUP(V138,'Force mapping'!$B$7:$B$167,'Force mapping'!$D$7:$D$167) * (N138/5) * SIGN(U138))</f>
        <v>0</v>
      </c>
      <c r="S138" s="198">
        <f t="shared" si="6"/>
        <v>0</v>
      </c>
      <c r="T138" s="199">
        <f t="shared" si="14"/>
        <v>32.399883813688163</v>
      </c>
      <c r="U138" s="200">
        <f t="shared" si="15"/>
        <v>-130.21598505462208</v>
      </c>
      <c r="V138" s="176">
        <f t="shared" si="7"/>
        <v>130</v>
      </c>
      <c r="Y138" s="91"/>
      <c r="Z138" s="88"/>
    </row>
    <row r="139" spans="5:26" ht="12.5" x14ac:dyDescent="0.25">
      <c r="E139" s="186">
        <f t="shared" si="8"/>
        <v>135</v>
      </c>
      <c r="F139" s="187">
        <f t="shared" si="0"/>
        <v>6.75</v>
      </c>
      <c r="G139" s="188">
        <f t="shared" si="1"/>
        <v>7.3730000000000002</v>
      </c>
      <c r="H139" s="189">
        <f t="shared" si="2"/>
        <v>246.14657230296032</v>
      </c>
      <c r="I139" s="190">
        <f t="shared" si="9"/>
        <v>1.129812766870588</v>
      </c>
      <c r="J139" s="191">
        <f t="shared" si="10"/>
        <v>39.834408321167963</v>
      </c>
      <c r="K139" s="192" t="b">
        <f t="shared" si="3"/>
        <v>0</v>
      </c>
      <c r="L139" s="193">
        <f t="shared" si="11"/>
        <v>0</v>
      </c>
      <c r="M139" s="194">
        <f t="shared" si="12"/>
        <v>1.5141984840549034E-37</v>
      </c>
      <c r="N139" s="194">
        <f t="shared" si="13"/>
        <v>0.19583959593422126</v>
      </c>
      <c r="O139" s="195">
        <f>IF(ABS(U139)&gt;80,$B$7, LOOKUP(V139,'Force mapping'!$B$7:$B$167,'Force mapping'!$E$7:$E$167))</f>
        <v>536</v>
      </c>
      <c r="P139" s="196">
        <f t="shared" si="4"/>
        <v>0.623</v>
      </c>
      <c r="Q139" s="191">
        <f t="shared" si="5"/>
        <v>4.318514166754623E-2</v>
      </c>
      <c r="R139" s="197">
        <f>IF(ABS(U139)&gt;80, 0, LOOKUP(V139,'Force mapping'!$B$7:$B$167,'Force mapping'!$D$7:$D$167) * (N139/5) * SIGN(U139))</f>
        <v>0</v>
      </c>
      <c r="S139" s="198">
        <f t="shared" si="6"/>
        <v>0</v>
      </c>
      <c r="T139" s="199">
        <f t="shared" si="14"/>
        <v>32.399883813688163</v>
      </c>
      <c r="U139" s="200">
        <f t="shared" si="15"/>
        <v>-131.83597924530648</v>
      </c>
      <c r="V139" s="176">
        <f t="shared" si="7"/>
        <v>132</v>
      </c>
      <c r="Y139" s="91"/>
      <c r="Z139" s="88"/>
    </row>
    <row r="140" spans="5:26" ht="12.5" x14ac:dyDescent="0.25">
      <c r="E140" s="186">
        <f t="shared" si="8"/>
        <v>136</v>
      </c>
      <c r="F140" s="187">
        <f t="shared" si="0"/>
        <v>6.8000000000000007</v>
      </c>
      <c r="G140" s="188">
        <f t="shared" si="1"/>
        <v>7.4230000000000009</v>
      </c>
      <c r="H140" s="189">
        <f t="shared" si="2"/>
        <v>246.14657230296032</v>
      </c>
      <c r="I140" s="190">
        <f t="shared" si="9"/>
        <v>1.129812766870588</v>
      </c>
      <c r="J140" s="191">
        <f t="shared" si="10"/>
        <v>39.834408321167963</v>
      </c>
      <c r="K140" s="192" t="b">
        <f t="shared" si="3"/>
        <v>0</v>
      </c>
      <c r="L140" s="193">
        <f t="shared" si="11"/>
        <v>0</v>
      </c>
      <c r="M140" s="194">
        <f t="shared" si="12"/>
        <v>5.6025343910031435E-38</v>
      </c>
      <c r="N140" s="194">
        <f t="shared" si="13"/>
        <v>0.18012213237609756</v>
      </c>
      <c r="O140" s="195">
        <f>IF(ABS(U140)&gt;80,$B$7, LOOKUP(V140,'Force mapping'!$B$7:$B$167,'Force mapping'!$E$7:$E$167))</f>
        <v>536</v>
      </c>
      <c r="P140" s="196">
        <f t="shared" si="4"/>
        <v>0.623</v>
      </c>
      <c r="Q140" s="191">
        <f t="shared" si="5"/>
        <v>3.9719239447036897E-2</v>
      </c>
      <c r="R140" s="197">
        <f>IF(ABS(U140)&gt;80, 0, LOOKUP(V140,'Force mapping'!$B$7:$B$167,'Force mapping'!$D$7:$D$167) * (N140/5) * SIGN(U140))</f>
        <v>0</v>
      </c>
      <c r="S140" s="198">
        <f t="shared" si="6"/>
        <v>0</v>
      </c>
      <c r="T140" s="199">
        <f t="shared" si="14"/>
        <v>32.399883813688163</v>
      </c>
      <c r="U140" s="200">
        <f t="shared" si="15"/>
        <v>-133.45597343599087</v>
      </c>
      <c r="V140" s="176">
        <f t="shared" si="7"/>
        <v>133.5</v>
      </c>
      <c r="Y140" s="91"/>
      <c r="Z140" s="88"/>
    </row>
    <row r="141" spans="5:26" ht="12.5" x14ac:dyDescent="0.25">
      <c r="E141" s="186">
        <f t="shared" si="8"/>
        <v>137</v>
      </c>
      <c r="F141" s="187">
        <f t="shared" si="0"/>
        <v>6.8500000000000005</v>
      </c>
      <c r="G141" s="188">
        <f t="shared" si="1"/>
        <v>7.4730000000000008</v>
      </c>
      <c r="H141" s="189">
        <f t="shared" si="2"/>
        <v>246.14657230296032</v>
      </c>
      <c r="I141" s="190">
        <f t="shared" si="9"/>
        <v>1.129812766870588</v>
      </c>
      <c r="J141" s="191">
        <f t="shared" si="10"/>
        <v>39.834408321167963</v>
      </c>
      <c r="K141" s="192" t="b">
        <f t="shared" si="3"/>
        <v>0</v>
      </c>
      <c r="L141" s="193">
        <f t="shared" si="11"/>
        <v>0</v>
      </c>
      <c r="M141" s="194">
        <f t="shared" si="12"/>
        <v>2.0729377246711632E-38</v>
      </c>
      <c r="N141" s="194">
        <f t="shared" si="13"/>
        <v>0.16566610249037544</v>
      </c>
      <c r="O141" s="195">
        <f>IF(ABS(U141)&gt;80,$B$7, LOOKUP(V141,'Force mapping'!$B$7:$B$167,'Force mapping'!$E$7:$E$167))</f>
        <v>536</v>
      </c>
      <c r="P141" s="196">
        <f t="shared" si="4"/>
        <v>0.623</v>
      </c>
      <c r="Q141" s="191">
        <f t="shared" si="5"/>
        <v>3.6531499523518689E-2</v>
      </c>
      <c r="R141" s="197">
        <f>IF(ABS(U141)&gt;80, 0, LOOKUP(V141,'Force mapping'!$B$7:$B$167,'Force mapping'!$D$7:$D$167) * (N141/5) * SIGN(U141))</f>
        <v>0</v>
      </c>
      <c r="S141" s="198">
        <f t="shared" si="6"/>
        <v>0</v>
      </c>
      <c r="T141" s="199">
        <f t="shared" si="14"/>
        <v>32.399883813688163</v>
      </c>
      <c r="U141" s="200">
        <f t="shared" si="15"/>
        <v>-135.07596762667526</v>
      </c>
      <c r="V141" s="176">
        <f t="shared" si="7"/>
        <v>135</v>
      </c>
      <c r="Y141" s="91"/>
      <c r="Z141" s="88"/>
    </row>
    <row r="142" spans="5:26" ht="12.5" x14ac:dyDescent="0.25">
      <c r="E142" s="186">
        <f t="shared" si="8"/>
        <v>138</v>
      </c>
      <c r="F142" s="187">
        <f t="shared" si="0"/>
        <v>6.9</v>
      </c>
      <c r="G142" s="188">
        <f t="shared" si="1"/>
        <v>7.5230000000000006</v>
      </c>
      <c r="H142" s="189">
        <f t="shared" si="2"/>
        <v>246.14657230296032</v>
      </c>
      <c r="I142" s="190">
        <f t="shared" si="9"/>
        <v>1.129812766870588</v>
      </c>
      <c r="J142" s="191">
        <f t="shared" si="10"/>
        <v>39.834408321167963</v>
      </c>
      <c r="K142" s="192" t="b">
        <f t="shared" si="3"/>
        <v>0</v>
      </c>
      <c r="L142" s="193">
        <f t="shared" si="11"/>
        <v>0</v>
      </c>
      <c r="M142" s="194">
        <f t="shared" si="12"/>
        <v>7.669869581283303E-39</v>
      </c>
      <c r="N142" s="194">
        <f t="shared" si="13"/>
        <v>0.1523702676195588</v>
      </c>
      <c r="O142" s="195">
        <f>IF(ABS(U142)&gt;80,$B$7, LOOKUP(V142,'Force mapping'!$B$7:$B$167,'Force mapping'!$E$7:$E$167))</f>
        <v>536</v>
      </c>
      <c r="P142" s="196">
        <f t="shared" si="4"/>
        <v>0.623</v>
      </c>
      <c r="Q142" s="191">
        <f t="shared" si="5"/>
        <v>3.3599597475082198E-2</v>
      </c>
      <c r="R142" s="197">
        <f>IF(ABS(U142)&gt;80, 0, LOOKUP(V142,'Force mapping'!$B$7:$B$167,'Force mapping'!$D$7:$D$167) * (N142/5) * SIGN(U142))</f>
        <v>0</v>
      </c>
      <c r="S142" s="198">
        <f t="shared" si="6"/>
        <v>0</v>
      </c>
      <c r="T142" s="199">
        <f t="shared" si="14"/>
        <v>32.399883813688163</v>
      </c>
      <c r="U142" s="200">
        <f t="shared" si="15"/>
        <v>-136.69596181735966</v>
      </c>
      <c r="V142" s="176">
        <f t="shared" si="7"/>
        <v>136.5</v>
      </c>
      <c r="Y142" s="91"/>
      <c r="Z142" s="88"/>
    </row>
    <row r="143" spans="5:26" ht="12.5" x14ac:dyDescent="0.25">
      <c r="E143" s="186">
        <f t="shared" si="8"/>
        <v>139</v>
      </c>
      <c r="F143" s="187">
        <f t="shared" si="0"/>
        <v>6.95</v>
      </c>
      <c r="G143" s="188">
        <f t="shared" si="1"/>
        <v>7.5730000000000004</v>
      </c>
      <c r="H143" s="189">
        <f t="shared" si="2"/>
        <v>246.14657230296032</v>
      </c>
      <c r="I143" s="190">
        <f t="shared" si="9"/>
        <v>1.129812766870588</v>
      </c>
      <c r="J143" s="191">
        <f t="shared" si="10"/>
        <v>39.834408321167963</v>
      </c>
      <c r="K143" s="192" t="b">
        <f t="shared" si="3"/>
        <v>0</v>
      </c>
      <c r="L143" s="193">
        <f t="shared" si="11"/>
        <v>0</v>
      </c>
      <c r="M143" s="194">
        <f t="shared" si="12"/>
        <v>2.8378517450748221E-39</v>
      </c>
      <c r="N143" s="194">
        <f t="shared" si="13"/>
        <v>0.14014151419904847</v>
      </c>
      <c r="O143" s="195">
        <f>IF(ABS(U143)&gt;80,$B$7, LOOKUP(V143,'Force mapping'!$B$7:$B$167,'Force mapping'!$E$7:$E$167))</f>
        <v>536</v>
      </c>
      <c r="P143" s="196">
        <f t="shared" si="4"/>
        <v>0.623</v>
      </c>
      <c r="Q143" s="191">
        <f t="shared" si="5"/>
        <v>3.0903000566969662E-2</v>
      </c>
      <c r="R143" s="197">
        <f>IF(ABS(U143)&gt;80, 0, LOOKUP(V143,'Force mapping'!$B$7:$B$167,'Force mapping'!$D$7:$D$167) * (N143/5) * SIGN(U143))</f>
        <v>0</v>
      </c>
      <c r="S143" s="198">
        <f t="shared" si="6"/>
        <v>0</v>
      </c>
      <c r="T143" s="199">
        <f t="shared" si="14"/>
        <v>32.399883813688163</v>
      </c>
      <c r="U143" s="200">
        <f t="shared" si="15"/>
        <v>-138.31595600804405</v>
      </c>
      <c r="V143" s="176">
        <f t="shared" si="7"/>
        <v>138.5</v>
      </c>
      <c r="Y143" s="91"/>
      <c r="Z143" s="88"/>
    </row>
    <row r="144" spans="5:26" ht="12.5" x14ac:dyDescent="0.25">
      <c r="E144" s="186">
        <f t="shared" si="8"/>
        <v>140</v>
      </c>
      <c r="F144" s="187">
        <f t="shared" si="0"/>
        <v>7</v>
      </c>
      <c r="G144" s="188">
        <f t="shared" si="1"/>
        <v>7.6230000000000002</v>
      </c>
      <c r="H144" s="189">
        <f t="shared" si="2"/>
        <v>246.14657230296032</v>
      </c>
      <c r="I144" s="190">
        <f t="shared" si="9"/>
        <v>1.129812766870588</v>
      </c>
      <c r="J144" s="191">
        <f t="shared" si="10"/>
        <v>39.834408321167963</v>
      </c>
      <c r="K144" s="192" t="b">
        <f t="shared" si="3"/>
        <v>0</v>
      </c>
      <c r="L144" s="193">
        <f t="shared" si="11"/>
        <v>0</v>
      </c>
      <c r="M144" s="194">
        <f t="shared" si="12"/>
        <v>1.0500051456776842E-39</v>
      </c>
      <c r="N144" s="194">
        <f t="shared" si="13"/>
        <v>0.12889420166300927</v>
      </c>
      <c r="O144" s="195">
        <f>IF(ABS(U144)&gt;80,$B$7, LOOKUP(V144,'Force mapping'!$B$7:$B$167,'Force mapping'!$E$7:$E$167))</f>
        <v>536</v>
      </c>
      <c r="P144" s="196">
        <f t="shared" si="4"/>
        <v>0.623</v>
      </c>
      <c r="Q144" s="191">
        <f t="shared" si="5"/>
        <v>2.8422823956458457E-2</v>
      </c>
      <c r="R144" s="197">
        <f>IF(ABS(U144)&gt;80, 0, LOOKUP(V144,'Force mapping'!$B$7:$B$167,'Force mapping'!$D$7:$D$167) * (N144/5) * SIGN(U144))</f>
        <v>0</v>
      </c>
      <c r="S144" s="198">
        <f t="shared" si="6"/>
        <v>0</v>
      </c>
      <c r="T144" s="199">
        <f t="shared" si="14"/>
        <v>32.399883813688163</v>
      </c>
      <c r="U144" s="200">
        <f t="shared" si="15"/>
        <v>-139.93595019872845</v>
      </c>
      <c r="V144" s="176">
        <f t="shared" si="7"/>
        <v>140</v>
      </c>
      <c r="Y144" s="91"/>
      <c r="Z144" s="88"/>
    </row>
    <row r="145" spans="5:26" ht="12.5" x14ac:dyDescent="0.25">
      <c r="E145" s="186">
        <f t="shared" si="8"/>
        <v>141</v>
      </c>
      <c r="F145" s="187">
        <f t="shared" si="0"/>
        <v>7.0500000000000007</v>
      </c>
      <c r="G145" s="188">
        <f t="shared" si="1"/>
        <v>7.6730000000000009</v>
      </c>
      <c r="H145" s="189">
        <f t="shared" si="2"/>
        <v>246.14657230296032</v>
      </c>
      <c r="I145" s="190">
        <f t="shared" si="9"/>
        <v>1.129812766870588</v>
      </c>
      <c r="J145" s="191">
        <f t="shared" si="10"/>
        <v>39.834408321167963</v>
      </c>
      <c r="K145" s="192" t="b">
        <f t="shared" si="3"/>
        <v>0</v>
      </c>
      <c r="L145" s="193">
        <f t="shared" si="11"/>
        <v>0</v>
      </c>
      <c r="M145" s="194">
        <f t="shared" si="12"/>
        <v>3.885019039007431E-40</v>
      </c>
      <c r="N145" s="194">
        <f t="shared" si="13"/>
        <v>0.11854956268523967</v>
      </c>
      <c r="O145" s="195">
        <f>IF(ABS(U145)&gt;80,$B$7, LOOKUP(V145,'Force mapping'!$B$7:$B$167,'Force mapping'!$E$7:$E$167))</f>
        <v>536</v>
      </c>
      <c r="P145" s="196">
        <f t="shared" si="4"/>
        <v>0.623</v>
      </c>
      <c r="Q145" s="191">
        <f t="shared" si="5"/>
        <v>2.6141698438283619E-2</v>
      </c>
      <c r="R145" s="197">
        <f>IF(ABS(U145)&gt;80, 0, LOOKUP(V145,'Force mapping'!$B$7:$B$167,'Force mapping'!$D$7:$D$167) * (N145/5) * SIGN(U145))</f>
        <v>0</v>
      </c>
      <c r="S145" s="198">
        <f t="shared" si="6"/>
        <v>0</v>
      </c>
      <c r="T145" s="199">
        <f t="shared" si="14"/>
        <v>32.399883813688163</v>
      </c>
      <c r="U145" s="200">
        <f t="shared" si="15"/>
        <v>-141.55594438941284</v>
      </c>
      <c r="V145" s="176">
        <f t="shared" si="7"/>
        <v>141.5</v>
      </c>
      <c r="Y145" s="91"/>
      <c r="Z145" s="88"/>
    </row>
    <row r="146" spans="5:26" ht="12.5" x14ac:dyDescent="0.25">
      <c r="E146" s="186">
        <f t="shared" si="8"/>
        <v>142</v>
      </c>
      <c r="F146" s="187">
        <f t="shared" si="0"/>
        <v>7.1000000000000005</v>
      </c>
      <c r="G146" s="188">
        <f t="shared" si="1"/>
        <v>7.7230000000000008</v>
      </c>
      <c r="H146" s="189">
        <f t="shared" si="2"/>
        <v>246.14657230296032</v>
      </c>
      <c r="I146" s="190">
        <f t="shared" si="9"/>
        <v>1.129812766870588</v>
      </c>
      <c r="J146" s="191">
        <f t="shared" si="10"/>
        <v>39.834408321167963</v>
      </c>
      <c r="K146" s="192" t="b">
        <f t="shared" si="3"/>
        <v>0</v>
      </c>
      <c r="L146" s="193">
        <f t="shared" si="11"/>
        <v>0</v>
      </c>
      <c r="M146" s="194">
        <f t="shared" si="12"/>
        <v>1.4374570444327493E-40</v>
      </c>
      <c r="N146" s="194">
        <f t="shared" si="13"/>
        <v>0.1090351515548031</v>
      </c>
      <c r="O146" s="195">
        <f>IF(ABS(U146)&gt;80,$B$7, LOOKUP(V146,'Force mapping'!$B$7:$B$167,'Force mapping'!$E$7:$E$167))</f>
        <v>536</v>
      </c>
      <c r="P146" s="196">
        <f t="shared" si="4"/>
        <v>0.623</v>
      </c>
      <c r="Q146" s="191">
        <f t="shared" si="5"/>
        <v>2.4043648804392477E-2</v>
      </c>
      <c r="R146" s="197">
        <f>IF(ABS(U146)&gt;80, 0, LOOKUP(V146,'Force mapping'!$B$7:$B$167,'Force mapping'!$D$7:$D$167) * (N146/5) * SIGN(U146))</f>
        <v>0</v>
      </c>
      <c r="S146" s="198">
        <f t="shared" si="6"/>
        <v>0</v>
      </c>
      <c r="T146" s="199">
        <f t="shared" si="14"/>
        <v>32.399883813688163</v>
      </c>
      <c r="U146" s="200">
        <f t="shared" si="15"/>
        <v>-143.17593858009724</v>
      </c>
      <c r="V146" s="176">
        <f t="shared" si="7"/>
        <v>143</v>
      </c>
      <c r="Y146" s="91"/>
      <c r="Z146" s="88"/>
    </row>
    <row r="147" spans="5:26" ht="12.5" x14ac:dyDescent="0.25">
      <c r="E147" s="186">
        <f t="shared" si="8"/>
        <v>143</v>
      </c>
      <c r="F147" s="187">
        <f t="shared" si="0"/>
        <v>7.15</v>
      </c>
      <c r="G147" s="188">
        <f t="shared" si="1"/>
        <v>7.7730000000000006</v>
      </c>
      <c r="H147" s="189">
        <f t="shared" si="2"/>
        <v>246.14657230296032</v>
      </c>
      <c r="I147" s="190">
        <f t="shared" si="9"/>
        <v>1.129812766870588</v>
      </c>
      <c r="J147" s="191">
        <f t="shared" si="10"/>
        <v>39.834408321167963</v>
      </c>
      <c r="K147" s="192" t="b">
        <f t="shared" si="3"/>
        <v>0</v>
      </c>
      <c r="L147" s="193">
        <f t="shared" si="11"/>
        <v>0</v>
      </c>
      <c r="M147" s="194">
        <f t="shared" si="12"/>
        <v>5.3185910644011721E-41</v>
      </c>
      <c r="N147" s="194">
        <f t="shared" si="13"/>
        <v>0.10028433682327798</v>
      </c>
      <c r="O147" s="195">
        <f>IF(ABS(U147)&gt;80,$B$7, LOOKUP(V147,'Force mapping'!$B$7:$B$167,'Force mapping'!$E$7:$E$167))</f>
        <v>536</v>
      </c>
      <c r="P147" s="196">
        <f t="shared" si="4"/>
        <v>0.623</v>
      </c>
      <c r="Q147" s="191">
        <f t="shared" si="5"/>
        <v>2.2113981966158734E-2</v>
      </c>
      <c r="R147" s="197">
        <f>IF(ABS(U147)&gt;80, 0, LOOKUP(V147,'Force mapping'!$B$7:$B$167,'Force mapping'!$D$7:$D$167) * (N147/5) * SIGN(U147))</f>
        <v>0</v>
      </c>
      <c r="S147" s="198">
        <f t="shared" si="6"/>
        <v>0</v>
      </c>
      <c r="T147" s="199">
        <f t="shared" si="14"/>
        <v>32.399883813688163</v>
      </c>
      <c r="U147" s="200">
        <f t="shared" si="15"/>
        <v>-144.79593277078163</v>
      </c>
      <c r="V147" s="176">
        <f t="shared" si="7"/>
        <v>145</v>
      </c>
      <c r="Y147" s="91"/>
      <c r="Z147" s="88"/>
    </row>
    <row r="148" spans="5:26" ht="12.5" x14ac:dyDescent="0.25">
      <c r="E148" s="186">
        <f t="shared" si="8"/>
        <v>144</v>
      </c>
      <c r="F148" s="187">
        <f t="shared" si="0"/>
        <v>7.2</v>
      </c>
      <c r="G148" s="188">
        <f t="shared" si="1"/>
        <v>7.8230000000000004</v>
      </c>
      <c r="H148" s="189">
        <f t="shared" si="2"/>
        <v>246.14657230296032</v>
      </c>
      <c r="I148" s="190">
        <f t="shared" si="9"/>
        <v>1.129812766870588</v>
      </c>
      <c r="J148" s="191">
        <f t="shared" si="10"/>
        <v>39.834408321167963</v>
      </c>
      <c r="K148" s="192" t="b">
        <f t="shared" si="3"/>
        <v>0</v>
      </c>
      <c r="L148" s="193">
        <f t="shared" si="11"/>
        <v>0</v>
      </c>
      <c r="M148" s="194">
        <f t="shared" si="12"/>
        <v>1.9678786938284335E-41</v>
      </c>
      <c r="N148" s="194">
        <f t="shared" si="13"/>
        <v>9.2235834670526942E-2</v>
      </c>
      <c r="O148" s="195">
        <f>IF(ABS(U148)&gt;80,$B$7, LOOKUP(V148,'Force mapping'!$B$7:$B$167,'Force mapping'!$E$7:$E$167))</f>
        <v>536</v>
      </c>
      <c r="P148" s="196">
        <f t="shared" si="4"/>
        <v>0.623</v>
      </c>
      <c r="Q148" s="191">
        <f t="shared" si="5"/>
        <v>2.0339184055552094E-2</v>
      </c>
      <c r="R148" s="197">
        <f>IF(ABS(U148)&gt;80, 0, LOOKUP(V148,'Force mapping'!$B$7:$B$167,'Force mapping'!$D$7:$D$167) * (N148/5) * SIGN(U148))</f>
        <v>0</v>
      </c>
      <c r="S148" s="198">
        <f t="shared" si="6"/>
        <v>0</v>
      </c>
      <c r="T148" s="199">
        <f t="shared" si="14"/>
        <v>32.399883813688163</v>
      </c>
      <c r="U148" s="200">
        <f t="shared" si="15"/>
        <v>-146.41592696146603</v>
      </c>
      <c r="V148" s="176">
        <f t="shared" si="7"/>
        <v>146.5</v>
      </c>
      <c r="Y148" s="91"/>
      <c r="Z148" s="88"/>
    </row>
    <row r="149" spans="5:26" ht="12.5" x14ac:dyDescent="0.25">
      <c r="E149" s="186">
        <f t="shared" si="8"/>
        <v>145</v>
      </c>
      <c r="F149" s="187">
        <f t="shared" si="0"/>
        <v>7.25</v>
      </c>
      <c r="G149" s="188">
        <f t="shared" si="1"/>
        <v>7.8730000000000002</v>
      </c>
      <c r="H149" s="189">
        <f t="shared" si="2"/>
        <v>246.14657230296032</v>
      </c>
      <c r="I149" s="190">
        <f t="shared" si="9"/>
        <v>1.129812766870588</v>
      </c>
      <c r="J149" s="191">
        <f t="shared" si="10"/>
        <v>39.834408321167963</v>
      </c>
      <c r="K149" s="192" t="b">
        <f t="shared" si="3"/>
        <v>0</v>
      </c>
      <c r="L149" s="193">
        <f t="shared" si="11"/>
        <v>0</v>
      </c>
      <c r="M149" s="194">
        <f t="shared" si="12"/>
        <v>7.2811511671652037E-42</v>
      </c>
      <c r="N149" s="194">
        <f t="shared" si="13"/>
        <v>8.4833279721046456E-2</v>
      </c>
      <c r="O149" s="195">
        <f>IF(ABS(U149)&gt;80,$B$7, LOOKUP(V149,'Force mapping'!$B$7:$B$167,'Force mapping'!$E$7:$E$167))</f>
        <v>536</v>
      </c>
      <c r="P149" s="196">
        <f t="shared" si="4"/>
        <v>0.623</v>
      </c>
      <c r="Q149" s="191">
        <f t="shared" si="5"/>
        <v>1.8706825784641015E-2</v>
      </c>
      <c r="R149" s="197">
        <f>IF(ABS(U149)&gt;80, 0, LOOKUP(V149,'Force mapping'!$B$7:$B$167,'Force mapping'!$D$7:$D$167) * (N149/5) * SIGN(U149))</f>
        <v>0</v>
      </c>
      <c r="S149" s="198">
        <f t="shared" si="6"/>
        <v>0</v>
      </c>
      <c r="T149" s="199">
        <f t="shared" si="14"/>
        <v>32.399883813688163</v>
      </c>
      <c r="U149" s="200">
        <f t="shared" si="15"/>
        <v>-148.03592115215042</v>
      </c>
      <c r="V149" s="176">
        <f t="shared" si="7"/>
        <v>148</v>
      </c>
      <c r="Y149" s="91"/>
      <c r="Z149" s="88"/>
    </row>
    <row r="150" spans="5:26" ht="12.5" x14ac:dyDescent="0.25">
      <c r="E150" s="186">
        <f t="shared" si="8"/>
        <v>146</v>
      </c>
      <c r="F150" s="187">
        <f t="shared" si="0"/>
        <v>7.3000000000000007</v>
      </c>
      <c r="G150" s="188">
        <f t="shared" si="1"/>
        <v>7.9230000000000009</v>
      </c>
      <c r="H150" s="189">
        <f t="shared" si="2"/>
        <v>246.14657230296032</v>
      </c>
      <c r="I150" s="190">
        <f t="shared" si="9"/>
        <v>1.129812766870588</v>
      </c>
      <c r="J150" s="191">
        <f t="shared" si="10"/>
        <v>39.834408321167963</v>
      </c>
      <c r="K150" s="192" t="b">
        <f t="shared" si="3"/>
        <v>0</v>
      </c>
      <c r="L150" s="193">
        <f t="shared" si="11"/>
        <v>0</v>
      </c>
      <c r="M150" s="194">
        <f t="shared" si="12"/>
        <v>2.6940259318511256E-42</v>
      </c>
      <c r="N150" s="194">
        <f t="shared" si="13"/>
        <v>7.8024830305232135E-2</v>
      </c>
      <c r="O150" s="195">
        <f>IF(ABS(U150)&gt;80,$B$7, LOOKUP(V150,'Force mapping'!$B$7:$B$167,'Force mapping'!$E$7:$E$167))</f>
        <v>536</v>
      </c>
      <c r="P150" s="196">
        <f t="shared" si="4"/>
        <v>0.623</v>
      </c>
      <c r="Q150" s="191">
        <f t="shared" si="5"/>
        <v>1.7205475400640931E-2</v>
      </c>
      <c r="R150" s="197">
        <f>IF(ABS(U150)&gt;80, 0, LOOKUP(V150,'Force mapping'!$B$7:$B$167,'Force mapping'!$D$7:$D$167) * (N150/5) * SIGN(U150))</f>
        <v>0</v>
      </c>
      <c r="S150" s="198">
        <f t="shared" si="6"/>
        <v>0</v>
      </c>
      <c r="T150" s="199">
        <f t="shared" si="14"/>
        <v>32.399883813688163</v>
      </c>
      <c r="U150" s="200">
        <f t="shared" si="15"/>
        <v>-149.65591534283482</v>
      </c>
      <c r="V150" s="176">
        <f t="shared" si="7"/>
        <v>149.5</v>
      </c>
      <c r="Y150" s="91"/>
      <c r="Z150" s="88"/>
    </row>
    <row r="151" spans="5:26" ht="12.5" x14ac:dyDescent="0.25">
      <c r="E151" s="186">
        <f t="shared" si="8"/>
        <v>147</v>
      </c>
      <c r="F151" s="187">
        <f t="shared" si="0"/>
        <v>7.3500000000000005</v>
      </c>
      <c r="G151" s="188">
        <f t="shared" si="1"/>
        <v>7.9730000000000008</v>
      </c>
      <c r="H151" s="189">
        <f t="shared" si="2"/>
        <v>246.14657230296032</v>
      </c>
      <c r="I151" s="190">
        <f t="shared" si="9"/>
        <v>1.129812766870588</v>
      </c>
      <c r="J151" s="191">
        <f t="shared" si="10"/>
        <v>39.834408321167963</v>
      </c>
      <c r="K151" s="192" t="b">
        <f t="shared" si="3"/>
        <v>0</v>
      </c>
      <c r="L151" s="193">
        <f t="shared" si="11"/>
        <v>0</v>
      </c>
      <c r="M151" s="194">
        <f t="shared" si="12"/>
        <v>9.9678959478491655E-43</v>
      </c>
      <c r="N151" s="194">
        <f t="shared" si="13"/>
        <v>7.1762805401120414E-2</v>
      </c>
      <c r="O151" s="195">
        <f>IF(ABS(U151)&gt;80,$B$7, LOOKUP(V151,'Force mapping'!$B$7:$B$167,'Force mapping'!$E$7:$E$167))</f>
        <v>536</v>
      </c>
      <c r="P151" s="196">
        <f t="shared" si="4"/>
        <v>0.623</v>
      </c>
      <c r="Q151" s="191">
        <f t="shared" si="5"/>
        <v>1.5824618626913731E-2</v>
      </c>
      <c r="R151" s="197">
        <f>IF(ABS(U151)&gt;80, 0, LOOKUP(V151,'Force mapping'!$B$7:$B$167,'Force mapping'!$D$7:$D$167) * (N151/5) * SIGN(U151))</f>
        <v>0</v>
      </c>
      <c r="S151" s="198">
        <f t="shared" si="6"/>
        <v>0</v>
      </c>
      <c r="T151" s="199">
        <f t="shared" si="14"/>
        <v>32.399883813688163</v>
      </c>
      <c r="U151" s="200">
        <f t="shared" si="15"/>
        <v>-151.27590953351921</v>
      </c>
      <c r="V151" s="176">
        <f t="shared" si="7"/>
        <v>151.5</v>
      </c>
      <c r="Y151" s="91"/>
      <c r="Z151" s="88"/>
    </row>
    <row r="152" spans="5:26" ht="12.5" x14ac:dyDescent="0.25">
      <c r="E152" s="186">
        <f t="shared" si="8"/>
        <v>148</v>
      </c>
      <c r="F152" s="187">
        <f t="shared" si="0"/>
        <v>7.4</v>
      </c>
      <c r="G152" s="188">
        <f t="shared" si="1"/>
        <v>8.0229999999999997</v>
      </c>
      <c r="H152" s="189">
        <f t="shared" si="2"/>
        <v>246.14657230296032</v>
      </c>
      <c r="I152" s="190">
        <f t="shared" si="9"/>
        <v>1.129812766870588</v>
      </c>
      <c r="J152" s="191">
        <f t="shared" si="10"/>
        <v>39.834408321167963</v>
      </c>
      <c r="K152" s="192" t="b">
        <f t="shared" si="3"/>
        <v>0</v>
      </c>
      <c r="L152" s="193">
        <f t="shared" si="11"/>
        <v>0</v>
      </c>
      <c r="M152" s="194">
        <f t="shared" si="12"/>
        <v>3.6881215007041915E-43</v>
      </c>
      <c r="N152" s="194">
        <f t="shared" si="13"/>
        <v>6.60033507140321E-2</v>
      </c>
      <c r="O152" s="195">
        <f>IF(ABS(U152)&gt;80,$B$7, LOOKUP(V152,'Force mapping'!$B$7:$B$167,'Force mapping'!$E$7:$E$167))</f>
        <v>536</v>
      </c>
      <c r="P152" s="196">
        <f t="shared" si="4"/>
        <v>0.623</v>
      </c>
      <c r="Q152" s="191">
        <f t="shared" si="5"/>
        <v>1.4554585029248102E-2</v>
      </c>
      <c r="R152" s="197">
        <f>IF(ABS(U152)&gt;80, 0, LOOKUP(V152,'Force mapping'!$B$7:$B$167,'Force mapping'!$D$7:$D$167) * (N152/5) * SIGN(U152))</f>
        <v>0</v>
      </c>
      <c r="S152" s="198">
        <f t="shared" si="6"/>
        <v>0</v>
      </c>
      <c r="T152" s="199">
        <f t="shared" si="14"/>
        <v>32.399883813688163</v>
      </c>
      <c r="U152" s="200">
        <f t="shared" si="15"/>
        <v>-152.89590372420361</v>
      </c>
      <c r="V152" s="176">
        <f t="shared" si="7"/>
        <v>153</v>
      </c>
      <c r="Y152" s="91"/>
      <c r="Z152" s="88"/>
    </row>
    <row r="153" spans="5:26" ht="12.5" x14ac:dyDescent="0.25">
      <c r="E153" s="186">
        <f t="shared" si="8"/>
        <v>149</v>
      </c>
      <c r="F153" s="187">
        <f t="shared" si="0"/>
        <v>7.45</v>
      </c>
      <c r="G153" s="188">
        <f t="shared" si="1"/>
        <v>8.0730000000000004</v>
      </c>
      <c r="H153" s="189">
        <f t="shared" si="2"/>
        <v>246.14657230296032</v>
      </c>
      <c r="I153" s="190">
        <f t="shared" si="9"/>
        <v>1.129812766870588</v>
      </c>
      <c r="J153" s="191">
        <f t="shared" si="10"/>
        <v>39.834408321167963</v>
      </c>
      <c r="K153" s="192" t="b">
        <f t="shared" si="3"/>
        <v>0</v>
      </c>
      <c r="L153" s="193">
        <f t="shared" si="11"/>
        <v>0</v>
      </c>
      <c r="M153" s="194">
        <f t="shared" si="12"/>
        <v>1.3646049552605508E-43</v>
      </c>
      <c r="N153" s="194">
        <f t="shared" si="13"/>
        <v>6.0706131555602554E-2</v>
      </c>
      <c r="O153" s="195">
        <f>IF(ABS(U153)&gt;80,$B$7, LOOKUP(V153,'Force mapping'!$B$7:$B$167,'Force mapping'!$E$7:$E$167))</f>
        <v>536</v>
      </c>
      <c r="P153" s="196">
        <f t="shared" si="4"/>
        <v>0.623</v>
      </c>
      <c r="Q153" s="191">
        <f t="shared" si="5"/>
        <v>1.3386480291748257E-2</v>
      </c>
      <c r="R153" s="197">
        <f>IF(ABS(U153)&gt;80, 0, LOOKUP(V153,'Force mapping'!$B$7:$B$167,'Force mapping'!$D$7:$D$167) * (N153/5) * SIGN(U153))</f>
        <v>0</v>
      </c>
      <c r="S153" s="198">
        <f t="shared" si="6"/>
        <v>0</v>
      </c>
      <c r="T153" s="199">
        <f t="shared" si="14"/>
        <v>32.399883813688163</v>
      </c>
      <c r="U153" s="200">
        <f t="shared" si="15"/>
        <v>-154.515897914888</v>
      </c>
      <c r="V153" s="176">
        <f t="shared" si="7"/>
        <v>154.5</v>
      </c>
      <c r="Y153" s="91"/>
      <c r="Z153" s="88"/>
    </row>
    <row r="154" spans="5:26" ht="12.5" x14ac:dyDescent="0.25">
      <c r="E154" s="186">
        <f t="shared" si="8"/>
        <v>150</v>
      </c>
      <c r="F154" s="187">
        <f t="shared" si="0"/>
        <v>7.5</v>
      </c>
      <c r="G154" s="188">
        <f t="shared" si="1"/>
        <v>8.1229999999999993</v>
      </c>
      <c r="H154" s="189">
        <f t="shared" si="2"/>
        <v>246.14657230296032</v>
      </c>
      <c r="I154" s="190">
        <f t="shared" si="9"/>
        <v>1.129812766870588</v>
      </c>
      <c r="J154" s="191">
        <f t="shared" si="10"/>
        <v>39.834408321167963</v>
      </c>
      <c r="K154" s="192" t="b">
        <f t="shared" si="3"/>
        <v>0</v>
      </c>
      <c r="L154" s="193">
        <f t="shared" si="11"/>
        <v>0</v>
      </c>
      <c r="M154" s="194">
        <f t="shared" si="12"/>
        <v>5.0490383344640377E-44</v>
      </c>
      <c r="N154" s="194">
        <f t="shared" si="13"/>
        <v>5.5834050371364789E-2</v>
      </c>
      <c r="O154" s="195">
        <f>IF(ABS(U154)&gt;80,$B$7, LOOKUP(V154,'Force mapping'!$B$7:$B$167,'Force mapping'!$E$7:$E$167))</f>
        <v>536</v>
      </c>
      <c r="P154" s="196">
        <f t="shared" si="4"/>
        <v>0.623</v>
      </c>
      <c r="Q154" s="191">
        <f t="shared" si="5"/>
        <v>1.2312123928044543E-2</v>
      </c>
      <c r="R154" s="197">
        <f>IF(ABS(U154)&gt;80, 0, LOOKUP(V154,'Force mapping'!$B$7:$B$167,'Force mapping'!$D$7:$D$167) * (N154/5) * SIGN(U154))</f>
        <v>0</v>
      </c>
      <c r="S154" s="198">
        <f t="shared" si="6"/>
        <v>0</v>
      </c>
      <c r="T154" s="199">
        <f t="shared" si="14"/>
        <v>32.399883813688163</v>
      </c>
      <c r="U154" s="200">
        <f t="shared" si="15"/>
        <v>-156.1358921055724</v>
      </c>
      <c r="V154" s="176">
        <f t="shared" si="7"/>
        <v>156</v>
      </c>
      <c r="Y154" s="91"/>
      <c r="Z154" s="88"/>
    </row>
    <row r="155" spans="5:26" ht="12.5" x14ac:dyDescent="0.25">
      <c r="E155" s="186">
        <f t="shared" si="8"/>
        <v>151</v>
      </c>
      <c r="F155" s="187">
        <f t="shared" si="0"/>
        <v>7.5500000000000007</v>
      </c>
      <c r="G155" s="188">
        <f t="shared" si="1"/>
        <v>8.173</v>
      </c>
      <c r="H155" s="189">
        <f t="shared" si="2"/>
        <v>246.14657230296032</v>
      </c>
      <c r="I155" s="190">
        <f t="shared" si="9"/>
        <v>1.129812766870588</v>
      </c>
      <c r="J155" s="191">
        <f t="shared" si="10"/>
        <v>39.834408321167963</v>
      </c>
      <c r="K155" s="192" t="b">
        <f t="shared" si="3"/>
        <v>0</v>
      </c>
      <c r="L155" s="193">
        <f t="shared" si="11"/>
        <v>0</v>
      </c>
      <c r="M155" s="194">
        <f t="shared" si="12"/>
        <v>1.8681441837516942E-44</v>
      </c>
      <c r="N155" s="194">
        <f t="shared" si="13"/>
        <v>5.1352986938670978E-2</v>
      </c>
      <c r="O155" s="195">
        <f>IF(ABS(U155)&gt;80,$B$7, LOOKUP(V155,'Force mapping'!$B$7:$B$167,'Force mapping'!$E$7:$E$167))</f>
        <v>536</v>
      </c>
      <c r="P155" s="196">
        <f t="shared" si="4"/>
        <v>0.623</v>
      </c>
      <c r="Q155" s="191">
        <f t="shared" si="5"/>
        <v>1.132399199160437E-2</v>
      </c>
      <c r="R155" s="197">
        <f>IF(ABS(U155)&gt;80, 0, LOOKUP(V155,'Force mapping'!$B$7:$B$167,'Force mapping'!$D$7:$D$167) * (N155/5) * SIGN(U155))</f>
        <v>0</v>
      </c>
      <c r="S155" s="198">
        <f t="shared" si="6"/>
        <v>0</v>
      </c>
      <c r="T155" s="199">
        <f t="shared" si="14"/>
        <v>32.399883813688163</v>
      </c>
      <c r="U155" s="200">
        <f t="shared" si="15"/>
        <v>-157.75588629625679</v>
      </c>
      <c r="V155" s="176">
        <f t="shared" si="7"/>
        <v>158</v>
      </c>
      <c r="Y155" s="91"/>
      <c r="Z155" s="88"/>
    </row>
    <row r="156" spans="5:26" ht="12.5" x14ac:dyDescent="0.25">
      <c r="E156" s="186">
        <f t="shared" si="8"/>
        <v>152</v>
      </c>
      <c r="F156" s="187">
        <f t="shared" si="0"/>
        <v>7.6000000000000005</v>
      </c>
      <c r="G156" s="188">
        <f t="shared" si="1"/>
        <v>8.2230000000000008</v>
      </c>
      <c r="H156" s="189">
        <f t="shared" si="2"/>
        <v>246.14657230296032</v>
      </c>
      <c r="I156" s="190">
        <f t="shared" si="9"/>
        <v>1.129812766870588</v>
      </c>
      <c r="J156" s="191">
        <f t="shared" si="10"/>
        <v>39.834408321167963</v>
      </c>
      <c r="K156" s="192" t="b">
        <f t="shared" si="3"/>
        <v>0</v>
      </c>
      <c r="L156" s="193">
        <f t="shared" si="11"/>
        <v>0</v>
      </c>
      <c r="M156" s="194">
        <f t="shared" si="12"/>
        <v>6.9121334798812696E-45</v>
      </c>
      <c r="N156" s="194">
        <f t="shared" si="13"/>
        <v>4.7231559415503159E-2</v>
      </c>
      <c r="O156" s="195">
        <f>IF(ABS(U156)&gt;80,$B$7, LOOKUP(V156,'Force mapping'!$B$7:$B$167,'Force mapping'!$E$7:$E$167))</f>
        <v>536</v>
      </c>
      <c r="P156" s="196">
        <f t="shared" si="4"/>
        <v>0.623</v>
      </c>
      <c r="Q156" s="191">
        <f t="shared" si="5"/>
        <v>1.0415164383931466E-2</v>
      </c>
      <c r="R156" s="197">
        <f>IF(ABS(U156)&gt;80, 0, LOOKUP(V156,'Force mapping'!$B$7:$B$167,'Force mapping'!$D$7:$D$167) * (N156/5) * SIGN(U156))</f>
        <v>0</v>
      </c>
      <c r="S156" s="198">
        <f t="shared" si="6"/>
        <v>0</v>
      </c>
      <c r="T156" s="199">
        <f t="shared" si="14"/>
        <v>32.399883813688163</v>
      </c>
      <c r="U156" s="200">
        <f t="shared" si="15"/>
        <v>-159.37588048694118</v>
      </c>
      <c r="V156" s="176">
        <f t="shared" si="7"/>
        <v>159.5</v>
      </c>
      <c r="Y156" s="91"/>
      <c r="Z156" s="88"/>
    </row>
    <row r="157" spans="5:26" ht="12.5" x14ac:dyDescent="0.25">
      <c r="E157" s="186">
        <f t="shared" si="8"/>
        <v>153</v>
      </c>
      <c r="F157" s="187">
        <f t="shared" si="0"/>
        <v>7.65</v>
      </c>
      <c r="G157" s="188">
        <f t="shared" si="1"/>
        <v>8.2729999999999997</v>
      </c>
      <c r="H157" s="189">
        <f t="shared" si="2"/>
        <v>246.14657230296032</v>
      </c>
      <c r="I157" s="190">
        <f t="shared" si="9"/>
        <v>1.129812766870588</v>
      </c>
      <c r="J157" s="191">
        <f t="shared" si="10"/>
        <v>39.834408321167963</v>
      </c>
      <c r="K157" s="192" t="b">
        <f t="shared" si="3"/>
        <v>0</v>
      </c>
      <c r="L157" s="193">
        <f t="shared" si="11"/>
        <v>0</v>
      </c>
      <c r="M157" s="194">
        <f t="shared" si="12"/>
        <v>2.5574893875560694E-45</v>
      </c>
      <c r="N157" s="194">
        <f t="shared" si="13"/>
        <v>4.3440904566746888E-2</v>
      </c>
      <c r="O157" s="195">
        <f>IF(ABS(U157)&gt;80,$B$7, LOOKUP(V157,'Force mapping'!$B$7:$B$167,'Force mapping'!$E$7:$E$167))</f>
        <v>536</v>
      </c>
      <c r="P157" s="196">
        <f t="shared" si="4"/>
        <v>0.623</v>
      </c>
      <c r="Q157" s="191">
        <f t="shared" si="5"/>
        <v>9.5792763916416213E-3</v>
      </c>
      <c r="R157" s="197">
        <f>IF(ABS(U157)&gt;80, 0, LOOKUP(V157,'Force mapping'!$B$7:$B$167,'Force mapping'!$D$7:$D$167) * (N157/5) * SIGN(U157))</f>
        <v>0</v>
      </c>
      <c r="S157" s="198">
        <f t="shared" si="6"/>
        <v>0</v>
      </c>
      <c r="T157" s="199">
        <f t="shared" si="14"/>
        <v>32.399883813688163</v>
      </c>
      <c r="U157" s="200">
        <f t="shared" si="15"/>
        <v>-160.99587467762558</v>
      </c>
      <c r="V157" s="176">
        <f t="shared" si="7"/>
        <v>161</v>
      </c>
      <c r="Y157" s="91"/>
      <c r="Z157" s="88"/>
    </row>
    <row r="158" spans="5:26" ht="12.5" x14ac:dyDescent="0.25">
      <c r="E158" s="186">
        <f t="shared" si="8"/>
        <v>154</v>
      </c>
      <c r="F158" s="187">
        <f t="shared" si="0"/>
        <v>7.7</v>
      </c>
      <c r="G158" s="188">
        <f t="shared" si="1"/>
        <v>8.3230000000000004</v>
      </c>
      <c r="H158" s="189">
        <f t="shared" si="2"/>
        <v>246.14657230296032</v>
      </c>
      <c r="I158" s="190">
        <f t="shared" si="9"/>
        <v>1.129812766870588</v>
      </c>
      <c r="J158" s="191">
        <f t="shared" si="10"/>
        <v>39.834408321167963</v>
      </c>
      <c r="K158" s="192" t="b">
        <f t="shared" si="3"/>
        <v>0</v>
      </c>
      <c r="L158" s="193">
        <f t="shared" si="11"/>
        <v>0</v>
      </c>
      <c r="M158" s="194">
        <f t="shared" si="12"/>
        <v>9.4627107339574568E-46</v>
      </c>
      <c r="N158" s="194">
        <f t="shared" si="13"/>
        <v>3.9954475628805719E-2</v>
      </c>
      <c r="O158" s="195">
        <f>IF(ABS(U158)&gt;80,$B$7, LOOKUP(V158,'Force mapping'!$B$7:$B$167,'Force mapping'!$E$7:$E$167))</f>
        <v>536</v>
      </c>
      <c r="P158" s="196">
        <f t="shared" si="4"/>
        <v>0.623</v>
      </c>
      <c r="Q158" s="191">
        <f t="shared" si="5"/>
        <v>8.8104741130186973E-3</v>
      </c>
      <c r="R158" s="197">
        <f>IF(ABS(U158)&gt;80, 0, LOOKUP(V158,'Force mapping'!$B$7:$B$167,'Force mapping'!$D$7:$D$167) * (N158/5) * SIGN(U158))</f>
        <v>0</v>
      </c>
      <c r="S158" s="198">
        <f t="shared" si="6"/>
        <v>0</v>
      </c>
      <c r="T158" s="199">
        <f t="shared" si="14"/>
        <v>32.399883813688163</v>
      </c>
      <c r="U158" s="200">
        <f t="shared" si="15"/>
        <v>-162.61586886830997</v>
      </c>
      <c r="V158" s="176">
        <f t="shared" si="7"/>
        <v>162.5</v>
      </c>
      <c r="Y158" s="91"/>
      <c r="Z158" s="88"/>
    </row>
    <row r="159" spans="5:26" ht="12.5" x14ac:dyDescent="0.25">
      <c r="E159" s="186">
        <f t="shared" si="8"/>
        <v>155</v>
      </c>
      <c r="F159" s="187">
        <f t="shared" si="0"/>
        <v>7.75</v>
      </c>
      <c r="G159" s="188">
        <f t="shared" si="1"/>
        <v>8.3729999999999993</v>
      </c>
      <c r="H159" s="189">
        <f t="shared" si="2"/>
        <v>246.14657230296032</v>
      </c>
      <c r="I159" s="190">
        <f t="shared" si="9"/>
        <v>1.129812766870588</v>
      </c>
      <c r="J159" s="191">
        <f t="shared" si="10"/>
        <v>39.834408321167963</v>
      </c>
      <c r="K159" s="192" t="b">
        <f t="shared" si="3"/>
        <v>0</v>
      </c>
      <c r="L159" s="193">
        <f t="shared" si="11"/>
        <v>0</v>
      </c>
      <c r="M159" s="194">
        <f t="shared" si="12"/>
        <v>3.5012029715642587E-46</v>
      </c>
      <c r="N159" s="194">
        <f t="shared" si="13"/>
        <v>3.6747856396959357E-2</v>
      </c>
      <c r="O159" s="195">
        <f>IF(ABS(U159)&gt;80,$B$7, LOOKUP(V159,'Force mapping'!$B$7:$B$167,'Force mapping'!$E$7:$E$167))</f>
        <v>536</v>
      </c>
      <c r="P159" s="196">
        <f t="shared" si="4"/>
        <v>0.623</v>
      </c>
      <c r="Q159" s="191">
        <f t="shared" si="5"/>
        <v>8.103373461893602E-3</v>
      </c>
      <c r="R159" s="197">
        <f>IF(ABS(U159)&gt;80, 0, LOOKUP(V159,'Force mapping'!$B$7:$B$167,'Force mapping'!$D$7:$D$167) * (N159/5) * SIGN(U159))</f>
        <v>0</v>
      </c>
      <c r="S159" s="198">
        <f t="shared" si="6"/>
        <v>0</v>
      </c>
      <c r="T159" s="199">
        <f t="shared" si="14"/>
        <v>32.399883813688163</v>
      </c>
      <c r="U159" s="200">
        <f t="shared" si="15"/>
        <v>-164.23586305899437</v>
      </c>
      <c r="V159" s="176">
        <f t="shared" si="7"/>
        <v>164</v>
      </c>
      <c r="Y159" s="91"/>
      <c r="Z159" s="88"/>
    </row>
    <row r="160" spans="5:26" ht="12.5" x14ac:dyDescent="0.25">
      <c r="E160" s="186">
        <f t="shared" si="8"/>
        <v>156</v>
      </c>
      <c r="F160" s="187">
        <f t="shared" si="0"/>
        <v>7.8000000000000007</v>
      </c>
      <c r="G160" s="188">
        <f t="shared" si="1"/>
        <v>8.423</v>
      </c>
      <c r="H160" s="189">
        <f t="shared" si="2"/>
        <v>246.14657230296032</v>
      </c>
      <c r="I160" s="190">
        <f t="shared" si="9"/>
        <v>1.129812766870588</v>
      </c>
      <c r="J160" s="191">
        <f t="shared" si="10"/>
        <v>39.834408321167963</v>
      </c>
      <c r="K160" s="192" t="b">
        <f t="shared" si="3"/>
        <v>0</v>
      </c>
      <c r="L160" s="193">
        <f t="shared" si="11"/>
        <v>0</v>
      </c>
      <c r="M160" s="194">
        <f t="shared" si="12"/>
        <v>1.2954450994787757E-46</v>
      </c>
      <c r="N160" s="194">
        <f t="shared" si="13"/>
        <v>3.3798590233479468E-2</v>
      </c>
      <c r="O160" s="195">
        <f>IF(ABS(U160)&gt;80,$B$7, LOOKUP(V160,'Force mapping'!$B$7:$B$167,'Force mapping'!$E$7:$E$167))</f>
        <v>536</v>
      </c>
      <c r="P160" s="196">
        <f t="shared" si="4"/>
        <v>0.623</v>
      </c>
      <c r="Q160" s="191">
        <f t="shared" si="5"/>
        <v>7.4530224617416268E-3</v>
      </c>
      <c r="R160" s="197">
        <f>IF(ABS(U160)&gt;80, 0, LOOKUP(V160,'Force mapping'!$B$7:$B$167,'Force mapping'!$D$7:$D$167) * (N160/5) * SIGN(U160))</f>
        <v>0</v>
      </c>
      <c r="S160" s="198">
        <f t="shared" si="6"/>
        <v>0</v>
      </c>
      <c r="T160" s="199">
        <f t="shared" si="14"/>
        <v>32.399883813688163</v>
      </c>
      <c r="U160" s="200">
        <f t="shared" si="15"/>
        <v>-165.85585724967876</v>
      </c>
      <c r="V160" s="176">
        <f t="shared" si="7"/>
        <v>166</v>
      </c>
      <c r="Y160" s="91"/>
      <c r="Z160" s="88"/>
    </row>
    <row r="161" spans="5:26" ht="12.5" x14ac:dyDescent="0.25">
      <c r="E161" s="186">
        <f t="shared" si="8"/>
        <v>157</v>
      </c>
      <c r="F161" s="187">
        <f t="shared" si="0"/>
        <v>7.8500000000000005</v>
      </c>
      <c r="G161" s="188">
        <f t="shared" si="1"/>
        <v>8.4730000000000008</v>
      </c>
      <c r="H161" s="189">
        <f t="shared" si="2"/>
        <v>246.14657230296032</v>
      </c>
      <c r="I161" s="190">
        <f t="shared" si="9"/>
        <v>1.129812766870588</v>
      </c>
      <c r="J161" s="191">
        <f t="shared" si="10"/>
        <v>39.834408321167963</v>
      </c>
      <c r="K161" s="192" t="b">
        <f t="shared" si="3"/>
        <v>0</v>
      </c>
      <c r="L161" s="193">
        <f t="shared" si="11"/>
        <v>0</v>
      </c>
      <c r="M161" s="194">
        <f t="shared" si="12"/>
        <v>4.7931468680714696E-47</v>
      </c>
      <c r="N161" s="194">
        <f t="shared" si="13"/>
        <v>3.1086022799010807E-2</v>
      </c>
      <c r="O161" s="195">
        <f>IF(ABS(U161)&gt;80,$B$7, LOOKUP(V161,'Force mapping'!$B$7:$B$167,'Force mapping'!$E$7:$E$167))</f>
        <v>536</v>
      </c>
      <c r="P161" s="196">
        <f t="shared" si="4"/>
        <v>0.623</v>
      </c>
      <c r="Q161" s="191">
        <f t="shared" si="5"/>
        <v>6.854866565935717E-3</v>
      </c>
      <c r="R161" s="197">
        <f>IF(ABS(U161)&gt;80, 0, LOOKUP(V161,'Force mapping'!$B$7:$B$167,'Force mapping'!$D$7:$D$167) * (N161/5) * SIGN(U161))</f>
        <v>0</v>
      </c>
      <c r="S161" s="198">
        <f t="shared" si="6"/>
        <v>0</v>
      </c>
      <c r="T161" s="199">
        <f t="shared" si="14"/>
        <v>32.399883813688163</v>
      </c>
      <c r="U161" s="200">
        <f t="shared" si="15"/>
        <v>-167.47585144036316</v>
      </c>
      <c r="V161" s="176">
        <f t="shared" si="7"/>
        <v>167.5</v>
      </c>
      <c r="Y161" s="91"/>
      <c r="Z161" s="88"/>
    </row>
    <row r="162" spans="5:26" ht="12.5" x14ac:dyDescent="0.25">
      <c r="E162" s="186">
        <f t="shared" si="8"/>
        <v>158</v>
      </c>
      <c r="F162" s="187">
        <f t="shared" si="0"/>
        <v>7.9</v>
      </c>
      <c r="G162" s="188">
        <f t="shared" si="1"/>
        <v>8.5229999999999997</v>
      </c>
      <c r="H162" s="189">
        <f t="shared" si="2"/>
        <v>246.14657230296032</v>
      </c>
      <c r="I162" s="190">
        <f t="shared" si="9"/>
        <v>1.129812766870588</v>
      </c>
      <c r="J162" s="191">
        <f t="shared" si="10"/>
        <v>39.834408321167963</v>
      </c>
      <c r="K162" s="192" t="b">
        <f t="shared" si="3"/>
        <v>0</v>
      </c>
      <c r="L162" s="193">
        <f t="shared" si="11"/>
        <v>0</v>
      </c>
      <c r="M162" s="194">
        <f t="shared" si="12"/>
        <v>1.7734643411864436E-47</v>
      </c>
      <c r="N162" s="194">
        <f t="shared" si="13"/>
        <v>2.859115740583177E-2</v>
      </c>
      <c r="O162" s="195">
        <f>IF(ABS(U162)&gt;80,$B$7, LOOKUP(V162,'Force mapping'!$B$7:$B$167,'Force mapping'!$E$7:$E$167))</f>
        <v>536</v>
      </c>
      <c r="P162" s="196">
        <f t="shared" si="4"/>
        <v>0.623</v>
      </c>
      <c r="Q162" s="191">
        <f t="shared" si="5"/>
        <v>6.3047167612859797E-3</v>
      </c>
      <c r="R162" s="197">
        <f>IF(ABS(U162)&gt;80, 0, LOOKUP(V162,'Force mapping'!$B$7:$B$167,'Force mapping'!$D$7:$D$167) * (N162/5) * SIGN(U162))</f>
        <v>0</v>
      </c>
      <c r="S162" s="198">
        <f t="shared" si="6"/>
        <v>0</v>
      </c>
      <c r="T162" s="199">
        <f t="shared" si="14"/>
        <v>32.399883813688163</v>
      </c>
      <c r="U162" s="200">
        <f t="shared" si="15"/>
        <v>-169.09584563104755</v>
      </c>
      <c r="V162" s="176">
        <f t="shared" si="7"/>
        <v>169</v>
      </c>
      <c r="Y162" s="91"/>
      <c r="Z162" s="88"/>
    </row>
    <row r="163" spans="5:26" ht="12.5" x14ac:dyDescent="0.25">
      <c r="E163" s="186">
        <f t="shared" si="8"/>
        <v>159</v>
      </c>
      <c r="F163" s="187">
        <f t="shared" si="0"/>
        <v>7.95</v>
      </c>
      <c r="G163" s="188">
        <f t="shared" si="1"/>
        <v>8.5730000000000004</v>
      </c>
      <c r="H163" s="189">
        <f t="shared" si="2"/>
        <v>246.14657230296032</v>
      </c>
      <c r="I163" s="190">
        <f t="shared" si="9"/>
        <v>1.129812766870588</v>
      </c>
      <c r="J163" s="191">
        <f t="shared" si="10"/>
        <v>39.834408321167963</v>
      </c>
      <c r="K163" s="192" t="b">
        <f t="shared" si="3"/>
        <v>0</v>
      </c>
      <c r="L163" s="193">
        <f t="shared" si="11"/>
        <v>0</v>
      </c>
      <c r="M163" s="194">
        <f t="shared" si="12"/>
        <v>6.5618180623898402E-48</v>
      </c>
      <c r="N163" s="194">
        <f t="shared" si="13"/>
        <v>2.6296521980002572E-2</v>
      </c>
      <c r="O163" s="195">
        <f>IF(ABS(U163)&gt;80,$B$7, LOOKUP(V163,'Force mapping'!$B$7:$B$167,'Force mapping'!$E$7:$E$167))</f>
        <v>536</v>
      </c>
      <c r="P163" s="196">
        <f t="shared" si="4"/>
        <v>0.623</v>
      </c>
      <c r="Q163" s="191">
        <f t="shared" si="5"/>
        <v>5.7987202314877468E-3</v>
      </c>
      <c r="R163" s="197">
        <f>IF(ABS(U163)&gt;80, 0, LOOKUP(V163,'Force mapping'!$B$7:$B$167,'Force mapping'!$D$7:$D$167) * (N163/5) * SIGN(U163))</f>
        <v>0</v>
      </c>
      <c r="S163" s="198">
        <f t="shared" si="6"/>
        <v>0</v>
      </c>
      <c r="T163" s="199">
        <f t="shared" si="14"/>
        <v>32.399883813688163</v>
      </c>
      <c r="U163" s="200">
        <f t="shared" si="15"/>
        <v>-170.71583982173195</v>
      </c>
      <c r="V163" s="176">
        <f t="shared" si="7"/>
        <v>170.5</v>
      </c>
      <c r="Y163" s="91"/>
      <c r="Z163" s="88"/>
    </row>
    <row r="164" spans="5:26" ht="12.5" x14ac:dyDescent="0.25">
      <c r="E164" s="186">
        <f t="shared" si="8"/>
        <v>160</v>
      </c>
      <c r="F164" s="187">
        <f t="shared" si="0"/>
        <v>8</v>
      </c>
      <c r="G164" s="188">
        <f t="shared" si="1"/>
        <v>8.6229999999999993</v>
      </c>
      <c r="H164" s="189">
        <f t="shared" si="2"/>
        <v>246.14657230296032</v>
      </c>
      <c r="I164" s="190">
        <f t="shared" si="9"/>
        <v>1.129812766870588</v>
      </c>
      <c r="J164" s="191">
        <f t="shared" si="10"/>
        <v>39.834408321167963</v>
      </c>
      <c r="K164" s="192" t="b">
        <f t="shared" si="3"/>
        <v>0</v>
      </c>
      <c r="L164" s="193">
        <f t="shared" si="11"/>
        <v>0</v>
      </c>
      <c r="M164" s="194">
        <f t="shared" si="12"/>
        <v>2.4278726830842411E-48</v>
      </c>
      <c r="N164" s="194">
        <f t="shared" si="13"/>
        <v>2.4186046700708626E-2</v>
      </c>
      <c r="O164" s="195">
        <f>IF(ABS(U164)&gt;80,$B$7, LOOKUP(V164,'Force mapping'!$B$7:$B$167,'Force mapping'!$E$7:$E$167))</f>
        <v>536</v>
      </c>
      <c r="P164" s="196">
        <f t="shared" si="4"/>
        <v>0.623</v>
      </c>
      <c r="Q164" s="191">
        <f t="shared" si="5"/>
        <v>5.3333333750280555E-3</v>
      </c>
      <c r="R164" s="197">
        <f>IF(ABS(U164)&gt;80, 0, LOOKUP(V164,'Force mapping'!$B$7:$B$167,'Force mapping'!$D$7:$D$167) * (N164/5) * SIGN(U164))</f>
        <v>0</v>
      </c>
      <c r="S164" s="198">
        <f t="shared" si="6"/>
        <v>0</v>
      </c>
      <c r="T164" s="199">
        <f t="shared" si="14"/>
        <v>32.399883813688163</v>
      </c>
      <c r="U164" s="200">
        <f t="shared" si="15"/>
        <v>-172.33583401241634</v>
      </c>
      <c r="V164" s="176">
        <f t="shared" si="7"/>
        <v>172.5</v>
      </c>
      <c r="Y164" s="91"/>
      <c r="Z164" s="88"/>
    </row>
    <row r="165" spans="5:26" ht="12.5" x14ac:dyDescent="0.25">
      <c r="E165" s="186">
        <f t="shared" si="8"/>
        <v>161</v>
      </c>
      <c r="F165" s="187">
        <f t="shared" si="0"/>
        <v>8.0500000000000007</v>
      </c>
      <c r="G165" s="188">
        <f t="shared" si="1"/>
        <v>8.673</v>
      </c>
      <c r="H165" s="189">
        <f t="shared" si="2"/>
        <v>246.14657230296032</v>
      </c>
      <c r="I165" s="190">
        <f t="shared" si="9"/>
        <v>1.129812766870588</v>
      </c>
      <c r="J165" s="191">
        <f t="shared" si="10"/>
        <v>39.834408321167963</v>
      </c>
      <c r="K165" s="192" t="b">
        <f t="shared" si="3"/>
        <v>0</v>
      </c>
      <c r="L165" s="193">
        <f t="shared" si="11"/>
        <v>0</v>
      </c>
      <c r="M165" s="194">
        <f t="shared" si="12"/>
        <v>8.983128927411691E-49</v>
      </c>
      <c r="N165" s="194">
        <f t="shared" si="13"/>
        <v>2.2244951459881285E-2</v>
      </c>
      <c r="O165" s="195">
        <f>IF(ABS(U165)&gt;80,$B$7, LOOKUP(V165,'Force mapping'!$B$7:$B$167,'Force mapping'!$E$7:$E$167))</f>
        <v>536</v>
      </c>
      <c r="P165" s="196">
        <f t="shared" si="4"/>
        <v>0.623</v>
      </c>
      <c r="Q165" s="191">
        <f t="shared" si="5"/>
        <v>4.9052969885892061E-3</v>
      </c>
      <c r="R165" s="197">
        <f>IF(ABS(U165)&gt;80, 0, LOOKUP(V165,'Force mapping'!$B$7:$B$167,'Force mapping'!$D$7:$D$167) * (N165/5) * SIGN(U165))</f>
        <v>0</v>
      </c>
      <c r="S165" s="198">
        <f t="shared" si="6"/>
        <v>0</v>
      </c>
      <c r="T165" s="199">
        <f t="shared" si="14"/>
        <v>32.399883813688163</v>
      </c>
      <c r="U165" s="200">
        <f t="shared" si="15"/>
        <v>-173.95582820310074</v>
      </c>
      <c r="V165" s="176">
        <f t="shared" si="7"/>
        <v>174</v>
      </c>
      <c r="Y165" s="91"/>
      <c r="Z165" s="88"/>
    </row>
    <row r="166" spans="5:26" ht="12.5" x14ac:dyDescent="0.25">
      <c r="E166" s="186">
        <f t="shared" si="8"/>
        <v>162</v>
      </c>
      <c r="F166" s="187">
        <f t="shared" si="0"/>
        <v>8.1</v>
      </c>
      <c r="G166" s="188">
        <f t="shared" si="1"/>
        <v>8.722999999999999</v>
      </c>
      <c r="H166" s="189">
        <f t="shared" si="2"/>
        <v>246.14657230296032</v>
      </c>
      <c r="I166" s="190">
        <f t="shared" si="9"/>
        <v>1.129812766870588</v>
      </c>
      <c r="J166" s="191">
        <f t="shared" si="10"/>
        <v>39.834408321167963</v>
      </c>
      <c r="K166" s="192" t="b">
        <f t="shared" si="3"/>
        <v>0</v>
      </c>
      <c r="L166" s="193">
        <f t="shared" si="11"/>
        <v>0</v>
      </c>
      <c r="M166" s="194">
        <f t="shared" si="12"/>
        <v>3.3237577031423257E-49</v>
      </c>
      <c r="N166" s="194">
        <f t="shared" si="13"/>
        <v>2.0459642353951805E-2</v>
      </c>
      <c r="O166" s="195">
        <f>IF(ABS(U166)&gt;80,$B$7, LOOKUP(V166,'Force mapping'!$B$7:$B$167,'Force mapping'!$E$7:$E$167))</f>
        <v>536</v>
      </c>
      <c r="P166" s="196">
        <f t="shared" si="4"/>
        <v>0.623</v>
      </c>
      <c r="Q166" s="191">
        <f t="shared" si="5"/>
        <v>4.5116134421534747E-3</v>
      </c>
      <c r="R166" s="197">
        <f>IF(ABS(U166)&gt;80, 0, LOOKUP(V166,'Force mapping'!$B$7:$B$167,'Force mapping'!$D$7:$D$167) * (N166/5) * SIGN(U166))</f>
        <v>0</v>
      </c>
      <c r="S166" s="198">
        <f t="shared" si="6"/>
        <v>0</v>
      </c>
      <c r="T166" s="199">
        <f t="shared" si="14"/>
        <v>32.399883813688163</v>
      </c>
      <c r="U166" s="200">
        <f t="shared" si="15"/>
        <v>-175.57582239378513</v>
      </c>
      <c r="V166" s="176">
        <f t="shared" si="7"/>
        <v>175.5</v>
      </c>
      <c r="Y166" s="91"/>
      <c r="Z166" s="88"/>
    </row>
    <row r="167" spans="5:26" ht="12.5" x14ac:dyDescent="0.25">
      <c r="E167" s="186">
        <f t="shared" si="8"/>
        <v>163</v>
      </c>
      <c r="F167" s="187">
        <f t="shared" si="0"/>
        <v>8.15</v>
      </c>
      <c r="G167" s="188">
        <f t="shared" si="1"/>
        <v>8.7729999999999997</v>
      </c>
      <c r="H167" s="189">
        <f t="shared" si="2"/>
        <v>246.14657230296032</v>
      </c>
      <c r="I167" s="190">
        <f t="shared" si="9"/>
        <v>1.129812766870588</v>
      </c>
      <c r="J167" s="191">
        <f t="shared" si="10"/>
        <v>39.834408321167963</v>
      </c>
      <c r="K167" s="192" t="b">
        <f t="shared" si="3"/>
        <v>0</v>
      </c>
      <c r="L167" s="193">
        <f t="shared" si="11"/>
        <v>0</v>
      </c>
      <c r="M167" s="194">
        <f t="shared" si="12"/>
        <v>1.2297903501626603E-49</v>
      </c>
      <c r="N167" s="194">
        <f t="shared" si="13"/>
        <v>1.8817616482848128E-2</v>
      </c>
      <c r="O167" s="195">
        <f>IF(ABS(U167)&gt;80,$B$7, LOOKUP(V167,'Force mapping'!$B$7:$B$167,'Force mapping'!$E$7:$E$167))</f>
        <v>536</v>
      </c>
      <c r="P167" s="196">
        <f t="shared" si="4"/>
        <v>0.623</v>
      </c>
      <c r="Q167" s="191">
        <f t="shared" si="5"/>
        <v>4.1495256859613817E-3</v>
      </c>
      <c r="R167" s="197">
        <f>IF(ABS(U167)&gt;80, 0, LOOKUP(V167,'Force mapping'!$B$7:$B$167,'Force mapping'!$D$7:$D$167) * (N167/5) * SIGN(U167))</f>
        <v>0</v>
      </c>
      <c r="S167" s="198">
        <f t="shared" si="6"/>
        <v>0</v>
      </c>
      <c r="T167" s="199">
        <f t="shared" si="14"/>
        <v>32.399883813688163</v>
      </c>
      <c r="U167" s="200">
        <f t="shared" si="15"/>
        <v>-177.19581658446953</v>
      </c>
      <c r="V167" s="176">
        <f t="shared" si="7"/>
        <v>177</v>
      </c>
      <c r="Y167" s="91"/>
      <c r="Z167" s="88"/>
    </row>
    <row r="168" spans="5:26" ht="12.5" x14ac:dyDescent="0.25">
      <c r="E168" s="186">
        <f t="shared" si="8"/>
        <v>164</v>
      </c>
      <c r="F168" s="187">
        <f t="shared" si="0"/>
        <v>8.2000000000000011</v>
      </c>
      <c r="G168" s="188">
        <f t="shared" si="1"/>
        <v>8.8230000000000004</v>
      </c>
      <c r="H168" s="189">
        <f t="shared" si="2"/>
        <v>246.14657230296032</v>
      </c>
      <c r="I168" s="190">
        <f t="shared" si="9"/>
        <v>1.129812766870588</v>
      </c>
      <c r="J168" s="191">
        <f t="shared" si="10"/>
        <v>39.834408321167963</v>
      </c>
      <c r="K168" s="192" t="b">
        <f t="shared" si="3"/>
        <v>0</v>
      </c>
      <c r="L168" s="193">
        <f t="shared" si="11"/>
        <v>0</v>
      </c>
      <c r="M168" s="194">
        <f t="shared" si="12"/>
        <v>4.5502242956018433E-50</v>
      </c>
      <c r="N168" s="194">
        <f t="shared" si="13"/>
        <v>1.7307374389521631E-2</v>
      </c>
      <c r="O168" s="195">
        <f>IF(ABS(U168)&gt;80,$B$7, LOOKUP(V168,'Force mapping'!$B$7:$B$167,'Force mapping'!$E$7:$E$167))</f>
        <v>536</v>
      </c>
      <c r="P168" s="196">
        <f t="shared" si="4"/>
        <v>0.623</v>
      </c>
      <c r="Q168" s="191">
        <f t="shared" si="5"/>
        <v>3.8164979423047701E-3</v>
      </c>
      <c r="R168" s="197">
        <f>IF(ABS(U168)&gt;80, 0, LOOKUP(V168,'Force mapping'!$B$7:$B$167,'Force mapping'!$D$7:$D$167) * (N168/5) * SIGN(U168))</f>
        <v>0</v>
      </c>
      <c r="S168" s="198">
        <f t="shared" si="6"/>
        <v>0</v>
      </c>
      <c r="T168" s="199">
        <f t="shared" si="14"/>
        <v>32.399883813688163</v>
      </c>
      <c r="U168" s="200">
        <f t="shared" si="15"/>
        <v>-178.81581077515392</v>
      </c>
      <c r="V168" s="176">
        <f t="shared" si="7"/>
        <v>179</v>
      </c>
      <c r="Y168" s="91"/>
      <c r="Z168" s="88"/>
    </row>
    <row r="169" spans="5:26" ht="12.5" x14ac:dyDescent="0.25">
      <c r="E169" s="186">
        <f t="shared" si="8"/>
        <v>165</v>
      </c>
      <c r="F169" s="187">
        <f t="shared" si="0"/>
        <v>8.25</v>
      </c>
      <c r="G169" s="188">
        <f t="shared" si="1"/>
        <v>8.8729999999999993</v>
      </c>
      <c r="H169" s="189">
        <f t="shared" si="2"/>
        <v>246.14657230296032</v>
      </c>
      <c r="I169" s="190">
        <f t="shared" si="9"/>
        <v>1.129812766870588</v>
      </c>
      <c r="J169" s="191">
        <f t="shared" si="10"/>
        <v>39.834408321167963</v>
      </c>
      <c r="K169" s="192" t="b">
        <f t="shared" si="3"/>
        <v>0</v>
      </c>
      <c r="L169" s="193">
        <f t="shared" si="11"/>
        <v>0</v>
      </c>
      <c r="M169" s="194">
        <f t="shared" si="12"/>
        <v>1.683582989372682E-50</v>
      </c>
      <c r="N169" s="194">
        <f t="shared" si="13"/>
        <v>1.5918339526799188E-2</v>
      </c>
      <c r="O169" s="195">
        <f>IF(ABS(U169)&gt;80,$B$7, LOOKUP(V169,'Force mapping'!$B$7:$B$167,'Force mapping'!$E$7:$E$167))</f>
        <v>536</v>
      </c>
      <c r="P169" s="196">
        <f t="shared" si="4"/>
        <v>0.623</v>
      </c>
      <c r="Q169" s="191">
        <f t="shared" si="5"/>
        <v>3.5101979469352057E-3</v>
      </c>
      <c r="R169" s="197">
        <f>IF(ABS(U169)&gt;80, 0, LOOKUP(V169,'Force mapping'!$B$7:$B$167,'Force mapping'!$D$7:$D$167) * (N169/5) * SIGN(U169))</f>
        <v>0</v>
      </c>
      <c r="S169" s="198">
        <f t="shared" si="6"/>
        <v>0</v>
      </c>
      <c r="T169" s="199">
        <f t="shared" si="14"/>
        <v>32.399883813688163</v>
      </c>
      <c r="U169" s="200">
        <f t="shared" si="15"/>
        <v>-180.43580496583832</v>
      </c>
      <c r="V169" s="176">
        <f t="shared" si="7"/>
        <v>180.5</v>
      </c>
      <c r="Y169" s="91"/>
      <c r="Z169" s="88"/>
    </row>
    <row r="170" spans="5:26" ht="12.5" x14ac:dyDescent="0.25">
      <c r="E170" s="186">
        <f t="shared" si="8"/>
        <v>166</v>
      </c>
      <c r="F170" s="187">
        <f t="shared" si="0"/>
        <v>8.3000000000000007</v>
      </c>
      <c r="G170" s="188">
        <f t="shared" si="1"/>
        <v>8.923</v>
      </c>
      <c r="H170" s="189">
        <f t="shared" si="2"/>
        <v>246.14657230296032</v>
      </c>
      <c r="I170" s="190">
        <f t="shared" si="9"/>
        <v>1.129812766870588</v>
      </c>
      <c r="J170" s="191">
        <f t="shared" si="10"/>
        <v>39.834408321167963</v>
      </c>
      <c r="K170" s="192" t="b">
        <f t="shared" si="3"/>
        <v>0</v>
      </c>
      <c r="L170" s="193">
        <f t="shared" si="11"/>
        <v>0</v>
      </c>
      <c r="M170" s="194">
        <f t="shared" si="12"/>
        <v>6.2292570606789233E-51</v>
      </c>
      <c r="N170" s="194">
        <f t="shared" si="13"/>
        <v>1.4640784187569717E-2</v>
      </c>
      <c r="O170" s="195">
        <f>IF(ABS(U170)&gt;80,$B$7, LOOKUP(V170,'Force mapping'!$B$7:$B$167,'Force mapping'!$E$7:$E$167))</f>
        <v>536</v>
      </c>
      <c r="P170" s="196">
        <f t="shared" si="4"/>
        <v>0.623</v>
      </c>
      <c r="Q170" s="191">
        <f t="shared" si="5"/>
        <v>3.2284806157205016E-3</v>
      </c>
      <c r="R170" s="197">
        <f>IF(ABS(U170)&gt;80, 0, LOOKUP(V170,'Force mapping'!$B$7:$B$167,'Force mapping'!$D$7:$D$167) * (N170/5) * SIGN(U170))</f>
        <v>0</v>
      </c>
      <c r="S170" s="198">
        <f t="shared" si="6"/>
        <v>0</v>
      </c>
      <c r="T170" s="199">
        <f t="shared" si="14"/>
        <v>32.399883813688163</v>
      </c>
      <c r="U170" s="200">
        <f t="shared" si="15"/>
        <v>-182.05579915652271</v>
      </c>
      <c r="V170" s="176">
        <f t="shared" si="7"/>
        <v>182</v>
      </c>
      <c r="Y170" s="91"/>
      <c r="Z170" s="88"/>
    </row>
    <row r="171" spans="5:26" ht="12.5" x14ac:dyDescent="0.25">
      <c r="E171" s="186">
        <f t="shared" si="8"/>
        <v>167</v>
      </c>
      <c r="F171" s="187">
        <f t="shared" si="0"/>
        <v>8.35</v>
      </c>
      <c r="G171" s="188">
        <f t="shared" si="1"/>
        <v>8.972999999999999</v>
      </c>
      <c r="H171" s="189">
        <f t="shared" si="2"/>
        <v>246.14657230296032</v>
      </c>
      <c r="I171" s="190">
        <f t="shared" si="9"/>
        <v>1.129812766870588</v>
      </c>
      <c r="J171" s="191">
        <f t="shared" si="10"/>
        <v>39.834408321167963</v>
      </c>
      <c r="K171" s="192" t="b">
        <f t="shared" si="3"/>
        <v>0</v>
      </c>
      <c r="L171" s="193">
        <f t="shared" si="11"/>
        <v>0</v>
      </c>
      <c r="M171" s="194">
        <f t="shared" si="12"/>
        <v>2.3048251124512016E-51</v>
      </c>
      <c r="N171" s="194">
        <f t="shared" si="13"/>
        <v>1.3465761379578566E-2</v>
      </c>
      <c r="O171" s="195">
        <f>IF(ABS(U171)&gt;80,$B$7, LOOKUP(V171,'Force mapping'!$B$7:$B$167,'Force mapping'!$E$7:$E$167))</f>
        <v>536</v>
      </c>
      <c r="P171" s="196">
        <f t="shared" si="4"/>
        <v>0.623</v>
      </c>
      <c r="Q171" s="191">
        <f t="shared" si="5"/>
        <v>2.9693730221634785E-3</v>
      </c>
      <c r="R171" s="197">
        <f>IF(ABS(U171)&gt;80, 0, LOOKUP(V171,'Force mapping'!$B$7:$B$167,'Force mapping'!$D$7:$D$167) * (N171/5) * SIGN(U171))</f>
        <v>0</v>
      </c>
      <c r="S171" s="198">
        <f t="shared" si="6"/>
        <v>0</v>
      </c>
      <c r="T171" s="199">
        <f t="shared" si="14"/>
        <v>32.399883813688163</v>
      </c>
      <c r="U171" s="200">
        <f t="shared" si="15"/>
        <v>-183.6757933472071</v>
      </c>
      <c r="V171" s="176">
        <f t="shared" si="7"/>
        <v>183.5</v>
      </c>
      <c r="Y171" s="91"/>
      <c r="Z171" s="88"/>
    </row>
    <row r="172" spans="5:26" ht="12.5" x14ac:dyDescent="0.25">
      <c r="E172" s="186">
        <f t="shared" si="8"/>
        <v>168</v>
      </c>
      <c r="F172" s="187">
        <f t="shared" si="0"/>
        <v>8.4</v>
      </c>
      <c r="G172" s="188">
        <f t="shared" si="1"/>
        <v>9.0229999999999997</v>
      </c>
      <c r="H172" s="189">
        <f t="shared" si="2"/>
        <v>246.14657230296032</v>
      </c>
      <c r="I172" s="190">
        <f t="shared" si="9"/>
        <v>1.129812766870588</v>
      </c>
      <c r="J172" s="191">
        <f t="shared" si="10"/>
        <v>39.834408321167963</v>
      </c>
      <c r="K172" s="192" t="b">
        <f t="shared" si="3"/>
        <v>0</v>
      </c>
      <c r="L172" s="193">
        <f t="shared" si="11"/>
        <v>0</v>
      </c>
      <c r="M172" s="194">
        <f t="shared" si="12"/>
        <v>8.5278529160694473E-52</v>
      </c>
      <c r="N172" s="194">
        <f t="shared" si="13"/>
        <v>1.2385042167734379E-2</v>
      </c>
      <c r="O172" s="195">
        <f>IF(ABS(U172)&gt;80,$B$7, LOOKUP(V172,'Force mapping'!$B$7:$B$167,'Force mapping'!$E$7:$E$167))</f>
        <v>536</v>
      </c>
      <c r="P172" s="196">
        <f t="shared" si="4"/>
        <v>0.623</v>
      </c>
      <c r="Q172" s="191">
        <f t="shared" si="5"/>
        <v>2.7310605805773245E-3</v>
      </c>
      <c r="R172" s="197">
        <f>IF(ABS(U172)&gt;80, 0, LOOKUP(V172,'Force mapping'!$B$7:$B$167,'Force mapping'!$D$7:$D$167) * (N172/5) * SIGN(U172))</f>
        <v>0</v>
      </c>
      <c r="S172" s="198">
        <f t="shared" si="6"/>
        <v>0</v>
      </c>
      <c r="T172" s="199">
        <f t="shared" si="14"/>
        <v>32.399883813688163</v>
      </c>
      <c r="U172" s="200">
        <f t="shared" si="15"/>
        <v>-185.2957875378915</v>
      </c>
      <c r="V172" s="176">
        <f t="shared" si="7"/>
        <v>185.5</v>
      </c>
      <c r="Y172" s="91"/>
      <c r="Z172" s="88"/>
    </row>
    <row r="173" spans="5:26" ht="12.5" x14ac:dyDescent="0.25">
      <c r="E173" s="186">
        <f t="shared" si="8"/>
        <v>169</v>
      </c>
      <c r="F173" s="187">
        <f t="shared" si="0"/>
        <v>8.4500000000000011</v>
      </c>
      <c r="G173" s="188">
        <f t="shared" si="1"/>
        <v>9.0730000000000004</v>
      </c>
      <c r="H173" s="189">
        <f t="shared" si="2"/>
        <v>246.14657230296032</v>
      </c>
      <c r="I173" s="190">
        <f t="shared" si="9"/>
        <v>1.129812766870588</v>
      </c>
      <c r="J173" s="191">
        <f t="shared" si="10"/>
        <v>39.834408321167963</v>
      </c>
      <c r="K173" s="192" t="b">
        <f t="shared" si="3"/>
        <v>0</v>
      </c>
      <c r="L173" s="193">
        <f t="shared" si="11"/>
        <v>0</v>
      </c>
      <c r="M173" s="194">
        <f t="shared" si="12"/>
        <v>3.1553055789456954E-52</v>
      </c>
      <c r="N173" s="194">
        <f t="shared" si="13"/>
        <v>1.1391058045123272E-2</v>
      </c>
      <c r="O173" s="195">
        <f>IF(ABS(U173)&gt;80,$B$7, LOOKUP(V173,'Force mapping'!$B$7:$B$167,'Force mapping'!$E$7:$E$167))</f>
        <v>536</v>
      </c>
      <c r="P173" s="196">
        <f t="shared" si="4"/>
        <v>0.623</v>
      </c>
      <c r="Q173" s="191">
        <f t="shared" si="5"/>
        <v>2.5118743381553886E-3</v>
      </c>
      <c r="R173" s="197">
        <f>IF(ABS(U173)&gt;80, 0, LOOKUP(V173,'Force mapping'!$B$7:$B$167,'Force mapping'!$D$7:$D$167) * (N173/5) * SIGN(U173))</f>
        <v>0</v>
      </c>
      <c r="S173" s="198">
        <f t="shared" si="6"/>
        <v>0</v>
      </c>
      <c r="T173" s="199">
        <f t="shared" si="14"/>
        <v>32.399883813688163</v>
      </c>
      <c r="U173" s="200">
        <f t="shared" si="15"/>
        <v>-186.91578172857589</v>
      </c>
      <c r="V173" s="176">
        <f t="shared" si="7"/>
        <v>187</v>
      </c>
      <c r="Y173" s="91"/>
      <c r="Z173" s="88"/>
    </row>
    <row r="174" spans="5:26" ht="12.5" x14ac:dyDescent="0.25">
      <c r="E174" s="186">
        <f t="shared" si="8"/>
        <v>170</v>
      </c>
      <c r="F174" s="187">
        <f t="shared" si="0"/>
        <v>8.5</v>
      </c>
      <c r="G174" s="188">
        <f t="shared" si="1"/>
        <v>9.1229999999999993</v>
      </c>
      <c r="H174" s="189">
        <f t="shared" si="2"/>
        <v>246.14657230296032</v>
      </c>
      <c r="I174" s="190">
        <f t="shared" si="9"/>
        <v>1.129812766870588</v>
      </c>
      <c r="J174" s="191">
        <f t="shared" si="10"/>
        <v>39.834408321167963</v>
      </c>
      <c r="K174" s="192" t="b">
        <f t="shared" si="3"/>
        <v>0</v>
      </c>
      <c r="L174" s="193">
        <f t="shared" si="11"/>
        <v>0</v>
      </c>
      <c r="M174" s="194">
        <f t="shared" si="12"/>
        <v>1.1674630642099072E-52</v>
      </c>
      <c r="N174" s="194">
        <f t="shared" si="13"/>
        <v>1.0476847929142271E-2</v>
      </c>
      <c r="O174" s="195">
        <f>IF(ABS(U174)&gt;80,$B$7, LOOKUP(V174,'Force mapping'!$B$7:$B$167,'Force mapping'!$E$7:$E$167))</f>
        <v>536</v>
      </c>
      <c r="P174" s="196">
        <f t="shared" si="4"/>
        <v>0.623</v>
      </c>
      <c r="Q174" s="191">
        <f t="shared" si="5"/>
        <v>2.3102792869390651E-3</v>
      </c>
      <c r="R174" s="197">
        <f>IF(ABS(U174)&gt;80, 0, LOOKUP(V174,'Force mapping'!$B$7:$B$167,'Force mapping'!$D$7:$D$167) * (N174/5) * SIGN(U174))</f>
        <v>0</v>
      </c>
      <c r="S174" s="198">
        <f t="shared" si="6"/>
        <v>0</v>
      </c>
      <c r="T174" s="199">
        <f t="shared" si="14"/>
        <v>32.399883813688163</v>
      </c>
      <c r="U174" s="200">
        <f t="shared" si="15"/>
        <v>-188.53577591926029</v>
      </c>
      <c r="V174" s="176">
        <f t="shared" si="7"/>
        <v>188.5</v>
      </c>
      <c r="Y174" s="91"/>
      <c r="Z174" s="88"/>
    </row>
    <row r="175" spans="5:26" ht="12.5" x14ac:dyDescent="0.25">
      <c r="E175" s="186">
        <f t="shared" si="8"/>
        <v>171</v>
      </c>
      <c r="F175" s="187">
        <f t="shared" si="0"/>
        <v>8.5500000000000007</v>
      </c>
      <c r="G175" s="188">
        <f t="shared" si="1"/>
        <v>9.173</v>
      </c>
      <c r="H175" s="189">
        <f t="shared" si="2"/>
        <v>246.14657230296032</v>
      </c>
      <c r="I175" s="190">
        <f t="shared" si="9"/>
        <v>1.129812766870588</v>
      </c>
      <c r="J175" s="191">
        <f t="shared" si="10"/>
        <v>39.834408321167963</v>
      </c>
      <c r="K175" s="192" t="b">
        <f t="shared" si="3"/>
        <v>0</v>
      </c>
      <c r="L175" s="193">
        <f t="shared" si="11"/>
        <v>0</v>
      </c>
      <c r="M175" s="194">
        <f t="shared" si="12"/>
        <v>4.3196133375766562E-53</v>
      </c>
      <c r="N175" s="194">
        <f t="shared" si="13"/>
        <v>9.6360094115546073E-3</v>
      </c>
      <c r="O175" s="195">
        <f>IF(ABS(U175)&gt;80,$B$7, LOOKUP(V175,'Force mapping'!$B$7:$B$167,'Force mapping'!$E$7:$E$167))</f>
        <v>536</v>
      </c>
      <c r="P175" s="196">
        <f t="shared" si="4"/>
        <v>0.623</v>
      </c>
      <c r="Q175" s="191">
        <f t="shared" si="5"/>
        <v>2.1248636138299906E-3</v>
      </c>
      <c r="R175" s="197">
        <f>IF(ABS(U175)&gt;80, 0, LOOKUP(V175,'Force mapping'!$B$7:$B$167,'Force mapping'!$D$7:$D$167) * (N175/5) * SIGN(U175))</f>
        <v>0</v>
      </c>
      <c r="S175" s="198">
        <f t="shared" si="6"/>
        <v>0</v>
      </c>
      <c r="T175" s="199">
        <f t="shared" si="14"/>
        <v>32.399883813688163</v>
      </c>
      <c r="U175" s="200">
        <f t="shared" si="15"/>
        <v>-190.15577010994468</v>
      </c>
      <c r="V175" s="176">
        <f t="shared" si="7"/>
        <v>190</v>
      </c>
      <c r="Y175" s="91"/>
      <c r="Z175" s="88"/>
    </row>
    <row r="176" spans="5:26" ht="12.5" x14ac:dyDescent="0.25">
      <c r="E176" s="186">
        <f t="shared" si="8"/>
        <v>172</v>
      </c>
      <c r="F176" s="187">
        <f t="shared" si="0"/>
        <v>8.6</v>
      </c>
      <c r="G176" s="188">
        <f t="shared" si="1"/>
        <v>9.222999999999999</v>
      </c>
      <c r="H176" s="189">
        <f t="shared" si="2"/>
        <v>246.14657230296032</v>
      </c>
      <c r="I176" s="190">
        <f t="shared" si="9"/>
        <v>1.129812766870588</v>
      </c>
      <c r="J176" s="191">
        <f t="shared" si="10"/>
        <v>39.834408321167963</v>
      </c>
      <c r="K176" s="192" t="b">
        <f t="shared" si="3"/>
        <v>0</v>
      </c>
      <c r="L176" s="193">
        <f t="shared" si="11"/>
        <v>0</v>
      </c>
      <c r="M176" s="194">
        <f t="shared" si="12"/>
        <v>1.5982569349033628E-53</v>
      </c>
      <c r="N176" s="194">
        <f t="shared" si="13"/>
        <v>8.8626539210606564E-3</v>
      </c>
      <c r="O176" s="195">
        <f>IF(ABS(U176)&gt;80,$B$7, LOOKUP(V176,'Force mapping'!$B$7:$B$167,'Force mapping'!$E$7:$E$167))</f>
        <v>536</v>
      </c>
      <c r="P176" s="196">
        <f t="shared" si="4"/>
        <v>0.623</v>
      </c>
      <c r="Q176" s="191">
        <f t="shared" si="5"/>
        <v>1.9543288133620934E-3</v>
      </c>
      <c r="R176" s="197">
        <f>IF(ABS(U176)&gt;80, 0, LOOKUP(V176,'Force mapping'!$B$7:$B$167,'Force mapping'!$D$7:$D$167) * (N176/5) * SIGN(U176))</f>
        <v>0</v>
      </c>
      <c r="S176" s="198">
        <f t="shared" si="6"/>
        <v>0</v>
      </c>
      <c r="T176" s="199">
        <f t="shared" si="14"/>
        <v>32.399883813688163</v>
      </c>
      <c r="U176" s="200">
        <f t="shared" si="15"/>
        <v>-191.77576430062908</v>
      </c>
      <c r="V176" s="176">
        <f t="shared" si="7"/>
        <v>192</v>
      </c>
      <c r="Y176" s="91"/>
      <c r="Z176" s="88"/>
    </row>
    <row r="177" spans="5:26" ht="12.5" x14ac:dyDescent="0.25">
      <c r="E177" s="186">
        <f t="shared" si="8"/>
        <v>173</v>
      </c>
      <c r="F177" s="187">
        <f t="shared" si="0"/>
        <v>8.65</v>
      </c>
      <c r="G177" s="188">
        <f t="shared" si="1"/>
        <v>9.2729999999999997</v>
      </c>
      <c r="H177" s="189">
        <f t="shared" si="2"/>
        <v>246.14657230296032</v>
      </c>
      <c r="I177" s="190">
        <f t="shared" si="9"/>
        <v>1.129812766870588</v>
      </c>
      <c r="J177" s="191">
        <f t="shared" si="10"/>
        <v>39.834408321167963</v>
      </c>
      <c r="K177" s="192" t="b">
        <f t="shared" si="3"/>
        <v>0</v>
      </c>
      <c r="L177" s="193">
        <f t="shared" si="11"/>
        <v>0</v>
      </c>
      <c r="M177" s="194">
        <f t="shared" si="12"/>
        <v>5.9135506591424421E-54</v>
      </c>
      <c r="N177" s="194">
        <f t="shared" si="13"/>
        <v>8.15136548437842E-3</v>
      </c>
      <c r="O177" s="195">
        <f>IF(ABS(U177)&gt;80,$B$7, LOOKUP(V177,'Force mapping'!$B$7:$B$167,'Force mapping'!$E$7:$E$167))</f>
        <v>536</v>
      </c>
      <c r="P177" s="196">
        <f t="shared" si="4"/>
        <v>0.623</v>
      </c>
      <c r="Q177" s="191">
        <f t="shared" si="5"/>
        <v>1.7974805939911388E-3</v>
      </c>
      <c r="R177" s="197">
        <f>IF(ABS(U177)&gt;80, 0, LOOKUP(V177,'Force mapping'!$B$7:$B$167,'Force mapping'!$D$7:$D$167) * (N177/5) * SIGN(U177))</f>
        <v>0</v>
      </c>
      <c r="S177" s="198">
        <f t="shared" si="6"/>
        <v>0</v>
      </c>
      <c r="T177" s="199">
        <f t="shared" si="14"/>
        <v>32.399883813688163</v>
      </c>
      <c r="U177" s="200">
        <f t="shared" si="15"/>
        <v>-193.39575849131347</v>
      </c>
      <c r="V177" s="176">
        <f t="shared" si="7"/>
        <v>193.5</v>
      </c>
      <c r="Y177" s="91"/>
      <c r="Z177" s="88"/>
    </row>
    <row r="178" spans="5:26" ht="12.5" x14ac:dyDescent="0.25">
      <c r="E178" s="186">
        <f t="shared" si="8"/>
        <v>174</v>
      </c>
      <c r="F178" s="187">
        <f t="shared" si="0"/>
        <v>8.7000000000000011</v>
      </c>
      <c r="G178" s="188">
        <f t="shared" si="1"/>
        <v>9.3230000000000004</v>
      </c>
      <c r="H178" s="189">
        <f t="shared" si="2"/>
        <v>246.14657230296032</v>
      </c>
      <c r="I178" s="190">
        <f t="shared" si="9"/>
        <v>1.129812766870588</v>
      </c>
      <c r="J178" s="191">
        <f t="shared" si="10"/>
        <v>39.834408321167963</v>
      </c>
      <c r="K178" s="192" t="b">
        <f t="shared" si="3"/>
        <v>0</v>
      </c>
      <c r="L178" s="193">
        <f t="shared" si="11"/>
        <v>0</v>
      </c>
      <c r="M178" s="194">
        <f t="shared" si="12"/>
        <v>2.1880137438827033E-54</v>
      </c>
      <c r="N178" s="194">
        <f t="shared" si="13"/>
        <v>7.4971627970286262E-3</v>
      </c>
      <c r="O178" s="195">
        <f>IF(ABS(U178)&gt;80,$B$7, LOOKUP(V178,'Force mapping'!$B$7:$B$167,'Force mapping'!$E$7:$E$167))</f>
        <v>536</v>
      </c>
      <c r="P178" s="196">
        <f t="shared" si="4"/>
        <v>0.623</v>
      </c>
      <c r="Q178" s="191">
        <f t="shared" si="5"/>
        <v>1.653220514216569E-3</v>
      </c>
      <c r="R178" s="197">
        <f>IF(ABS(U178)&gt;80, 0, LOOKUP(V178,'Force mapping'!$B$7:$B$167,'Force mapping'!$D$7:$D$167) * (N178/5) * SIGN(U178))</f>
        <v>0</v>
      </c>
      <c r="S178" s="198">
        <f t="shared" si="6"/>
        <v>0</v>
      </c>
      <c r="T178" s="199">
        <f t="shared" si="14"/>
        <v>32.399883813688163</v>
      </c>
      <c r="U178" s="200">
        <f t="shared" si="15"/>
        <v>-195.01575268199787</v>
      </c>
      <c r="V178" s="176">
        <f t="shared" si="7"/>
        <v>195</v>
      </c>
      <c r="Y178" s="91"/>
      <c r="Z178" s="88"/>
    </row>
    <row r="179" spans="5:26" ht="12.5" x14ac:dyDescent="0.25">
      <c r="E179" s="186">
        <f t="shared" si="8"/>
        <v>175</v>
      </c>
      <c r="F179" s="187">
        <f t="shared" si="0"/>
        <v>8.75</v>
      </c>
      <c r="G179" s="188">
        <f t="shared" si="1"/>
        <v>9.3729999999999993</v>
      </c>
      <c r="H179" s="189">
        <f t="shared" si="2"/>
        <v>246.14657230296032</v>
      </c>
      <c r="I179" s="190">
        <f t="shared" si="9"/>
        <v>1.129812766870588</v>
      </c>
      <c r="J179" s="191">
        <f t="shared" si="10"/>
        <v>39.834408321167963</v>
      </c>
      <c r="K179" s="192" t="b">
        <f t="shared" si="3"/>
        <v>0</v>
      </c>
      <c r="L179" s="193">
        <f t="shared" si="11"/>
        <v>0</v>
      </c>
      <c r="M179" s="194">
        <f t="shared" si="12"/>
        <v>8.0956508523660008E-55</v>
      </c>
      <c r="N179" s="194">
        <f t="shared" si="13"/>
        <v>6.8954643381980776E-3</v>
      </c>
      <c r="O179" s="195">
        <f>IF(ABS(U179)&gt;80,$B$7, LOOKUP(V179,'Force mapping'!$B$7:$B$167,'Force mapping'!$E$7:$E$167))</f>
        <v>536</v>
      </c>
      <c r="P179" s="196">
        <f t="shared" si="4"/>
        <v>0.623</v>
      </c>
      <c r="Q179" s="191">
        <f t="shared" si="5"/>
        <v>1.5205382899616275E-3</v>
      </c>
      <c r="R179" s="197">
        <f>IF(ABS(U179)&gt;80, 0, LOOKUP(V179,'Force mapping'!$B$7:$B$167,'Force mapping'!$D$7:$D$167) * (N179/5) * SIGN(U179))</f>
        <v>0</v>
      </c>
      <c r="S179" s="198">
        <f t="shared" si="6"/>
        <v>0</v>
      </c>
      <c r="T179" s="199">
        <f t="shared" si="14"/>
        <v>32.399883813688163</v>
      </c>
      <c r="U179" s="200">
        <f t="shared" si="15"/>
        <v>-196.63574687268226</v>
      </c>
      <c r="V179" s="176">
        <f t="shared" si="7"/>
        <v>196.5</v>
      </c>
      <c r="Y179" s="91"/>
      <c r="Z179" s="88"/>
    </row>
    <row r="180" spans="5:26" ht="12.5" x14ac:dyDescent="0.25">
      <c r="E180" s="186">
        <f t="shared" si="8"/>
        <v>176</v>
      </c>
      <c r="F180" s="187">
        <f t="shared" si="0"/>
        <v>8.8000000000000007</v>
      </c>
      <c r="G180" s="188">
        <f t="shared" si="1"/>
        <v>9.423</v>
      </c>
      <c r="H180" s="189">
        <f t="shared" si="2"/>
        <v>246.14657230296032</v>
      </c>
      <c r="I180" s="190">
        <f t="shared" si="9"/>
        <v>1.129812766870588</v>
      </c>
      <c r="J180" s="191">
        <f t="shared" si="10"/>
        <v>39.834408321167963</v>
      </c>
      <c r="K180" s="192" t="b">
        <f t="shared" si="3"/>
        <v>0</v>
      </c>
      <c r="L180" s="193">
        <f t="shared" si="11"/>
        <v>0</v>
      </c>
      <c r="M180" s="194">
        <f t="shared" si="12"/>
        <v>2.9953908153754203E-55</v>
      </c>
      <c r="N180" s="194">
        <f t="shared" si="13"/>
        <v>6.3420562853731908E-3</v>
      </c>
      <c r="O180" s="195">
        <f>IF(ABS(U180)&gt;80,$B$7, LOOKUP(V180,'Force mapping'!$B$7:$B$167,'Force mapping'!$E$7:$E$167))</f>
        <v>536</v>
      </c>
      <c r="P180" s="196">
        <f t="shared" si="4"/>
        <v>0.623</v>
      </c>
      <c r="Q180" s="191">
        <f t="shared" si="5"/>
        <v>1.3985047193387037E-3</v>
      </c>
      <c r="R180" s="197">
        <f>IF(ABS(U180)&gt;80, 0, LOOKUP(V180,'Force mapping'!$B$7:$B$167,'Force mapping'!$D$7:$D$167) * (N180/5) * SIGN(U180))</f>
        <v>0</v>
      </c>
      <c r="S180" s="198">
        <f t="shared" si="6"/>
        <v>0</v>
      </c>
      <c r="T180" s="199">
        <f t="shared" si="14"/>
        <v>32.399883813688163</v>
      </c>
      <c r="U180" s="200">
        <f t="shared" si="15"/>
        <v>-198.25574106336666</v>
      </c>
      <c r="V180" s="176">
        <f t="shared" si="7"/>
        <v>198.5</v>
      </c>
      <c r="Y180" s="91"/>
      <c r="Z180" s="88"/>
    </row>
    <row r="181" spans="5:26" ht="12.5" x14ac:dyDescent="0.25">
      <c r="E181" s="186">
        <f t="shared" si="8"/>
        <v>177</v>
      </c>
      <c r="F181" s="187">
        <f t="shared" si="0"/>
        <v>8.85</v>
      </c>
      <c r="G181" s="188">
        <f t="shared" si="1"/>
        <v>9.472999999999999</v>
      </c>
      <c r="H181" s="189">
        <f t="shared" si="2"/>
        <v>246.14657230296032</v>
      </c>
      <c r="I181" s="190">
        <f t="shared" si="9"/>
        <v>1.129812766870588</v>
      </c>
      <c r="J181" s="191">
        <f t="shared" si="10"/>
        <v>39.834408321167963</v>
      </c>
      <c r="K181" s="192" t="b">
        <f t="shared" si="3"/>
        <v>0</v>
      </c>
      <c r="L181" s="193">
        <f t="shared" si="11"/>
        <v>0</v>
      </c>
      <c r="M181" s="194">
        <f t="shared" si="12"/>
        <v>1.1082946016889056E-55</v>
      </c>
      <c r="N181" s="194">
        <f t="shared" si="13"/>
        <v>5.8330630040430787E-3</v>
      </c>
      <c r="O181" s="195">
        <f>IF(ABS(U181)&gt;80,$B$7, LOOKUP(V181,'Force mapping'!$B$7:$B$167,'Force mapping'!$E$7:$E$167))</f>
        <v>536</v>
      </c>
      <c r="P181" s="196">
        <f t="shared" si="4"/>
        <v>0.623</v>
      </c>
      <c r="Q181" s="191">
        <f t="shared" si="5"/>
        <v>1.286265175250525E-3</v>
      </c>
      <c r="R181" s="197">
        <f>IF(ABS(U181)&gt;80, 0, LOOKUP(V181,'Force mapping'!$B$7:$B$167,'Force mapping'!$D$7:$D$167) * (N181/5) * SIGN(U181))</f>
        <v>0</v>
      </c>
      <c r="S181" s="198">
        <f t="shared" si="6"/>
        <v>0</v>
      </c>
      <c r="T181" s="199">
        <f t="shared" si="14"/>
        <v>32.399883813688163</v>
      </c>
      <c r="U181" s="200">
        <f t="shared" si="15"/>
        <v>-199.87573525405105</v>
      </c>
      <c r="V181" s="176">
        <f t="shared" si="7"/>
        <v>200</v>
      </c>
      <c r="Y181" s="91"/>
      <c r="Z181" s="88"/>
    </row>
    <row r="182" spans="5:26" ht="12.5" x14ac:dyDescent="0.25">
      <c r="E182" s="186">
        <f t="shared" si="8"/>
        <v>178</v>
      </c>
      <c r="F182" s="187">
        <f t="shared" si="0"/>
        <v>8.9</v>
      </c>
      <c r="G182" s="188">
        <f t="shared" si="1"/>
        <v>9.5229999999999997</v>
      </c>
      <c r="H182" s="189">
        <f t="shared" si="2"/>
        <v>246.14657230296032</v>
      </c>
      <c r="I182" s="190">
        <f t="shared" si="9"/>
        <v>1.129812766870588</v>
      </c>
      <c r="J182" s="191">
        <f t="shared" si="10"/>
        <v>39.834408321167963</v>
      </c>
      <c r="K182" s="192" t="b">
        <f t="shared" si="3"/>
        <v>0</v>
      </c>
      <c r="L182" s="193">
        <f t="shared" si="11"/>
        <v>0</v>
      </c>
      <c r="M182" s="194">
        <f t="shared" si="12"/>
        <v>4.1006900262489512E-56</v>
      </c>
      <c r="N182" s="194">
        <f t="shared" si="13"/>
        <v>5.3649199058052712E-3</v>
      </c>
      <c r="O182" s="195">
        <f>IF(ABS(U182)&gt;80,$B$7, LOOKUP(V182,'Force mapping'!$B$7:$B$167,'Force mapping'!$E$7:$E$167))</f>
        <v>536</v>
      </c>
      <c r="P182" s="196">
        <f t="shared" si="4"/>
        <v>0.623</v>
      </c>
      <c r="Q182" s="191">
        <f t="shared" si="5"/>
        <v>1.1830336202544958E-3</v>
      </c>
      <c r="R182" s="197">
        <f>IF(ABS(U182)&gt;80, 0, LOOKUP(V182,'Force mapping'!$B$7:$B$167,'Force mapping'!$D$7:$D$167) * (N182/5) * SIGN(U182))</f>
        <v>0</v>
      </c>
      <c r="S182" s="198">
        <f t="shared" si="6"/>
        <v>0</v>
      </c>
      <c r="T182" s="199">
        <f t="shared" si="14"/>
        <v>32.399883813688163</v>
      </c>
      <c r="U182" s="200">
        <f t="shared" si="15"/>
        <v>-201.49572944473545</v>
      </c>
      <c r="V182" s="176">
        <f t="shared" si="7"/>
        <v>201.5</v>
      </c>
      <c r="Y182" s="91"/>
      <c r="Z182" s="88"/>
    </row>
    <row r="183" spans="5:26" ht="12.5" x14ac:dyDescent="0.25">
      <c r="E183" s="186">
        <f t="shared" si="8"/>
        <v>179</v>
      </c>
      <c r="F183" s="187">
        <f t="shared" si="0"/>
        <v>8.9500000000000011</v>
      </c>
      <c r="G183" s="188">
        <f t="shared" si="1"/>
        <v>9.5730000000000004</v>
      </c>
      <c r="H183" s="189">
        <f t="shared" si="2"/>
        <v>246.14657230296032</v>
      </c>
      <c r="I183" s="190">
        <f t="shared" si="9"/>
        <v>1.129812766870588</v>
      </c>
      <c r="J183" s="191">
        <f t="shared" si="10"/>
        <v>39.834408321167963</v>
      </c>
      <c r="K183" s="192" t="b">
        <f t="shared" si="3"/>
        <v>0</v>
      </c>
      <c r="L183" s="193">
        <f t="shared" si="11"/>
        <v>0</v>
      </c>
      <c r="M183" s="194">
        <f t="shared" si="12"/>
        <v>1.5172553097121118E-56</v>
      </c>
      <c r="N183" s="194">
        <f t="shared" si="13"/>
        <v>4.9343484847936114E-3</v>
      </c>
      <c r="O183" s="195">
        <f>IF(ABS(U183)&gt;80,$B$7, LOOKUP(V183,'Force mapping'!$B$7:$B$167,'Force mapping'!$E$7:$E$167))</f>
        <v>536</v>
      </c>
      <c r="P183" s="196">
        <f t="shared" si="4"/>
        <v>0.623</v>
      </c>
      <c r="Q183" s="191">
        <f t="shared" si="5"/>
        <v>1.0880871017750014E-3</v>
      </c>
      <c r="R183" s="197">
        <f>IF(ABS(U183)&gt;80, 0, LOOKUP(V183,'Force mapping'!$B$7:$B$167,'Force mapping'!$D$7:$D$167) * (N183/5) * SIGN(U183))</f>
        <v>0</v>
      </c>
      <c r="S183" s="198">
        <f t="shared" si="6"/>
        <v>0</v>
      </c>
      <c r="T183" s="199">
        <f t="shared" si="14"/>
        <v>32.399883813688163</v>
      </c>
      <c r="U183" s="200">
        <f t="shared" si="15"/>
        <v>-203.11572363541984</v>
      </c>
      <c r="V183" s="176">
        <f t="shared" si="7"/>
        <v>203</v>
      </c>
      <c r="Y183" s="91"/>
      <c r="Z183" s="88"/>
    </row>
    <row r="184" spans="5:26" ht="12.5" x14ac:dyDescent="0.25">
      <c r="E184" s="186">
        <f t="shared" si="8"/>
        <v>180</v>
      </c>
      <c r="F184" s="187">
        <f t="shared" si="0"/>
        <v>9</v>
      </c>
      <c r="G184" s="188">
        <f t="shared" si="1"/>
        <v>9.6229999999999993</v>
      </c>
      <c r="H184" s="189">
        <f t="shared" si="2"/>
        <v>246.14657230296032</v>
      </c>
      <c r="I184" s="190">
        <f t="shared" si="9"/>
        <v>1.129812766870588</v>
      </c>
      <c r="J184" s="191">
        <f t="shared" si="10"/>
        <v>39.834408321167963</v>
      </c>
      <c r="K184" s="192" t="b">
        <f t="shared" si="3"/>
        <v>0</v>
      </c>
      <c r="L184" s="193">
        <f t="shared" si="11"/>
        <v>0</v>
      </c>
      <c r="M184" s="194">
        <f t="shared" si="12"/>
        <v>5.6138446459348138E-57</v>
      </c>
      <c r="N184" s="194">
        <f t="shared" si="13"/>
        <v>4.5383333576031124E-3</v>
      </c>
      <c r="O184" s="195">
        <f>IF(ABS(U184)&gt;80,$B$7, LOOKUP(V184,'Force mapping'!$B$7:$B$167,'Force mapping'!$E$7:$E$167))</f>
        <v>536</v>
      </c>
      <c r="P184" s="196">
        <f t="shared" si="4"/>
        <v>0.623</v>
      </c>
      <c r="Q184" s="191">
        <f t="shared" si="5"/>
        <v>1.0007606891124813E-3</v>
      </c>
      <c r="R184" s="197">
        <f>IF(ABS(U184)&gt;80, 0, LOOKUP(V184,'Force mapping'!$B$7:$B$167,'Force mapping'!$D$7:$D$167) * (N184/5) * SIGN(U184))</f>
        <v>0</v>
      </c>
      <c r="S184" s="198">
        <f t="shared" si="6"/>
        <v>0</v>
      </c>
      <c r="T184" s="199">
        <f t="shared" si="14"/>
        <v>32.399883813688163</v>
      </c>
      <c r="U184" s="200">
        <f t="shared" si="15"/>
        <v>-204.73571782610423</v>
      </c>
      <c r="V184" s="176">
        <f t="shared" si="7"/>
        <v>204.5</v>
      </c>
      <c r="Y184" s="91"/>
      <c r="Z184" s="88"/>
    </row>
    <row r="185" spans="5:26" ht="12.5" x14ac:dyDescent="0.25">
      <c r="E185" s="186">
        <f t="shared" si="8"/>
        <v>181</v>
      </c>
      <c r="F185" s="187">
        <f t="shared" si="0"/>
        <v>9.0500000000000007</v>
      </c>
      <c r="G185" s="188">
        <f t="shared" si="1"/>
        <v>9.673</v>
      </c>
      <c r="H185" s="189">
        <f t="shared" si="2"/>
        <v>246.14657230296032</v>
      </c>
      <c r="I185" s="190">
        <f t="shared" si="9"/>
        <v>1.129812766870588</v>
      </c>
      <c r="J185" s="191">
        <f t="shared" si="10"/>
        <v>39.834408321167963</v>
      </c>
      <c r="K185" s="192" t="b">
        <f t="shared" si="3"/>
        <v>0</v>
      </c>
      <c r="L185" s="193">
        <f t="shared" si="11"/>
        <v>0</v>
      </c>
      <c r="M185" s="194">
        <f t="shared" si="12"/>
        <v>2.0771225189958809E-57</v>
      </c>
      <c r="N185" s="194">
        <f t="shared" si="13"/>
        <v>4.1741011459174686E-3</v>
      </c>
      <c r="O185" s="195">
        <f>IF(ABS(U185)&gt;80,$B$7, LOOKUP(V185,'Force mapping'!$B$7:$B$167,'Force mapping'!$E$7:$E$167))</f>
        <v>536</v>
      </c>
      <c r="P185" s="196">
        <f t="shared" si="4"/>
        <v>0.623</v>
      </c>
      <c r="Q185" s="191">
        <f t="shared" si="5"/>
        <v>9.2044281679205711E-4</v>
      </c>
      <c r="R185" s="197">
        <f>IF(ABS(U185)&gt;80, 0, LOOKUP(V185,'Force mapping'!$B$7:$B$167,'Force mapping'!$D$7:$D$167) * (N185/5) * SIGN(U185))</f>
        <v>0</v>
      </c>
      <c r="S185" s="198">
        <f t="shared" si="6"/>
        <v>0</v>
      </c>
      <c r="T185" s="199">
        <f t="shared" si="14"/>
        <v>32.399883813688163</v>
      </c>
      <c r="U185" s="200">
        <f t="shared" si="15"/>
        <v>-206.35571201678863</v>
      </c>
      <c r="V185" s="176">
        <f t="shared" si="7"/>
        <v>206.5</v>
      </c>
      <c r="Y185" s="91"/>
      <c r="Z185" s="88"/>
    </row>
    <row r="186" spans="5:26" ht="12.5" x14ac:dyDescent="0.25">
      <c r="E186" s="186">
        <f t="shared" si="8"/>
        <v>182</v>
      </c>
      <c r="F186" s="187">
        <f t="shared" si="0"/>
        <v>9.1</v>
      </c>
      <c r="G186" s="188">
        <f t="shared" si="1"/>
        <v>9.722999999999999</v>
      </c>
      <c r="H186" s="189">
        <f t="shared" si="2"/>
        <v>246.14657230296032</v>
      </c>
      <c r="I186" s="190">
        <f t="shared" si="9"/>
        <v>1.129812766870588</v>
      </c>
      <c r="J186" s="191">
        <f t="shared" si="10"/>
        <v>39.834408321167963</v>
      </c>
      <c r="K186" s="192" t="b">
        <f t="shared" si="3"/>
        <v>0</v>
      </c>
      <c r="L186" s="193">
        <f t="shared" si="11"/>
        <v>0</v>
      </c>
      <c r="M186" s="194">
        <f t="shared" si="12"/>
        <v>7.6853533202847581E-58</v>
      </c>
      <c r="N186" s="194">
        <f t="shared" si="13"/>
        <v>3.839101053949774E-3</v>
      </c>
      <c r="O186" s="195">
        <f>IF(ABS(U186)&gt;80,$B$7, LOOKUP(V186,'Force mapping'!$B$7:$B$167,'Force mapping'!$E$7:$E$167))</f>
        <v>536</v>
      </c>
      <c r="P186" s="196">
        <f t="shared" si="4"/>
        <v>0.623</v>
      </c>
      <c r="Q186" s="191">
        <f t="shared" si="5"/>
        <v>8.4657100164020659E-4</v>
      </c>
      <c r="R186" s="197">
        <f>IF(ABS(U186)&gt;80, 0, LOOKUP(V186,'Force mapping'!$B$7:$B$167,'Force mapping'!$D$7:$D$167) * (N186/5) * SIGN(U186))</f>
        <v>0</v>
      </c>
      <c r="S186" s="198">
        <f t="shared" si="6"/>
        <v>0</v>
      </c>
      <c r="T186" s="199">
        <f t="shared" si="14"/>
        <v>32.399883813688163</v>
      </c>
      <c r="U186" s="200">
        <f t="shared" si="15"/>
        <v>-207.97570620747302</v>
      </c>
      <c r="V186" s="176">
        <f t="shared" si="7"/>
        <v>208</v>
      </c>
      <c r="Y186" s="91"/>
      <c r="Z186" s="88"/>
    </row>
    <row r="187" spans="5:26" ht="12.5" x14ac:dyDescent="0.25">
      <c r="E187" s="186">
        <f t="shared" si="8"/>
        <v>183</v>
      </c>
      <c r="F187" s="187">
        <f t="shared" si="0"/>
        <v>9.15</v>
      </c>
      <c r="G187" s="188">
        <f t="shared" si="1"/>
        <v>9.7729999999999997</v>
      </c>
      <c r="H187" s="189">
        <f t="shared" si="2"/>
        <v>246.14657230296032</v>
      </c>
      <c r="I187" s="190">
        <f t="shared" si="9"/>
        <v>1.129812766870588</v>
      </c>
      <c r="J187" s="191">
        <f t="shared" si="10"/>
        <v>39.834408321167963</v>
      </c>
      <c r="K187" s="192" t="b">
        <f t="shared" si="3"/>
        <v>0</v>
      </c>
      <c r="L187" s="193">
        <f t="shared" si="11"/>
        <v>0</v>
      </c>
      <c r="M187" s="194">
        <f t="shared" si="12"/>
        <v>2.8435807285053606E-58</v>
      </c>
      <c r="N187" s="194">
        <f t="shared" si="13"/>
        <v>3.530987004676116E-3</v>
      </c>
      <c r="O187" s="195">
        <f>IF(ABS(U187)&gt;80,$B$7, LOOKUP(V187,'Force mapping'!$B$7:$B$167,'Force mapping'!$E$7:$E$167))</f>
        <v>536</v>
      </c>
      <c r="P187" s="196">
        <f t="shared" si="4"/>
        <v>0.623</v>
      </c>
      <c r="Q187" s="191">
        <f t="shared" si="5"/>
        <v>7.7862790359524599E-4</v>
      </c>
      <c r="R187" s="197">
        <f>IF(ABS(U187)&gt;80, 0, LOOKUP(V187,'Force mapping'!$B$7:$B$167,'Force mapping'!$D$7:$D$167) * (N187/5) * SIGN(U187))</f>
        <v>0</v>
      </c>
      <c r="S187" s="198">
        <f t="shared" si="6"/>
        <v>0</v>
      </c>
      <c r="T187" s="199">
        <f t="shared" si="14"/>
        <v>32.399883813688163</v>
      </c>
      <c r="U187" s="200">
        <f t="shared" si="15"/>
        <v>-209.59570039815742</v>
      </c>
      <c r="V187" s="176">
        <f t="shared" si="7"/>
        <v>209.5</v>
      </c>
      <c r="Y187" s="91"/>
      <c r="Z187" s="88"/>
    </row>
    <row r="188" spans="5:26" ht="12.5" x14ac:dyDescent="0.25">
      <c r="E188" s="186">
        <f t="shared" si="8"/>
        <v>184</v>
      </c>
      <c r="F188" s="187">
        <f t="shared" si="0"/>
        <v>9.2000000000000011</v>
      </c>
      <c r="G188" s="188">
        <f t="shared" si="1"/>
        <v>9.8230000000000004</v>
      </c>
      <c r="H188" s="189">
        <f t="shared" si="2"/>
        <v>246.14657230296032</v>
      </c>
      <c r="I188" s="190">
        <f t="shared" si="9"/>
        <v>1.129812766870588</v>
      </c>
      <c r="J188" s="191">
        <f t="shared" si="10"/>
        <v>39.834408321167963</v>
      </c>
      <c r="K188" s="192" t="b">
        <f t="shared" si="3"/>
        <v>0</v>
      </c>
      <c r="L188" s="193">
        <f t="shared" si="11"/>
        <v>0</v>
      </c>
      <c r="M188" s="194">
        <f t="shared" si="12"/>
        <v>1.0521248695469834E-58</v>
      </c>
      <c r="N188" s="194">
        <f t="shared" si="13"/>
        <v>3.2476012097582894E-3</v>
      </c>
      <c r="O188" s="195">
        <f>IF(ABS(U188)&gt;80,$B$7, LOOKUP(V188,'Force mapping'!$B$7:$B$167,'Force mapping'!$E$7:$E$167))</f>
        <v>536</v>
      </c>
      <c r="P188" s="196">
        <f t="shared" si="4"/>
        <v>0.623</v>
      </c>
      <c r="Q188" s="191">
        <f t="shared" si="5"/>
        <v>7.1613770266464841E-4</v>
      </c>
      <c r="R188" s="197">
        <f>IF(ABS(U188)&gt;80, 0, LOOKUP(V188,'Force mapping'!$B$7:$B$167,'Force mapping'!$D$7:$D$167) * (N188/5) * SIGN(U188))</f>
        <v>0</v>
      </c>
      <c r="S188" s="198">
        <f t="shared" si="6"/>
        <v>0</v>
      </c>
      <c r="T188" s="199">
        <f t="shared" si="14"/>
        <v>32.399883813688163</v>
      </c>
      <c r="U188" s="200">
        <f t="shared" si="15"/>
        <v>-211.21569458884181</v>
      </c>
      <c r="V188" s="176">
        <f t="shared" si="7"/>
        <v>211</v>
      </c>
      <c r="Y188" s="91"/>
      <c r="Z188" s="88"/>
    </row>
    <row r="189" spans="5:26" ht="12.5" x14ac:dyDescent="0.25">
      <c r="E189" s="186">
        <f t="shared" si="8"/>
        <v>185</v>
      </c>
      <c r="F189" s="187">
        <f t="shared" si="0"/>
        <v>9.25</v>
      </c>
      <c r="G189" s="188">
        <f t="shared" si="1"/>
        <v>9.8729999999999993</v>
      </c>
      <c r="H189" s="189">
        <f t="shared" si="2"/>
        <v>246.14657230296032</v>
      </c>
      <c r="I189" s="190">
        <f t="shared" si="9"/>
        <v>1.129812766870588</v>
      </c>
      <c r="J189" s="191">
        <f t="shared" si="10"/>
        <v>39.834408321167963</v>
      </c>
      <c r="K189" s="192" t="b">
        <f t="shared" si="3"/>
        <v>0</v>
      </c>
      <c r="L189" s="193">
        <f t="shared" si="11"/>
        <v>0</v>
      </c>
      <c r="M189" s="194">
        <f t="shared" si="12"/>
        <v>3.8928620173238387E-59</v>
      </c>
      <c r="N189" s="194">
        <f t="shared" si="13"/>
        <v>2.9869590580922948E-3</v>
      </c>
      <c r="O189" s="195">
        <f>IF(ABS(U189)&gt;80,$B$7, LOOKUP(V189,'Force mapping'!$B$7:$B$167,'Force mapping'!$E$7:$E$167))</f>
        <v>536</v>
      </c>
      <c r="P189" s="196">
        <f t="shared" si="4"/>
        <v>0.623</v>
      </c>
      <c r="Q189" s="191">
        <f t="shared" si="5"/>
        <v>6.5866276665624962E-4</v>
      </c>
      <c r="R189" s="197">
        <f>IF(ABS(U189)&gt;80, 0, LOOKUP(V189,'Force mapping'!$B$7:$B$167,'Force mapping'!$D$7:$D$167) * (N189/5) * SIGN(U189))</f>
        <v>0</v>
      </c>
      <c r="S189" s="198">
        <f t="shared" si="6"/>
        <v>0</v>
      </c>
      <c r="T189" s="199">
        <f t="shared" si="14"/>
        <v>32.399883813688163</v>
      </c>
      <c r="U189" s="200">
        <f t="shared" si="15"/>
        <v>-212.83568877952621</v>
      </c>
      <c r="V189" s="176">
        <f t="shared" si="7"/>
        <v>213</v>
      </c>
      <c r="Y189" s="91"/>
      <c r="Z189" s="88"/>
    </row>
    <row r="190" spans="5:26" ht="12.5" x14ac:dyDescent="0.25">
      <c r="E190" s="186">
        <f t="shared" si="8"/>
        <v>186</v>
      </c>
      <c r="F190" s="187">
        <f t="shared" si="0"/>
        <v>9.3000000000000007</v>
      </c>
      <c r="G190" s="188">
        <f t="shared" si="1"/>
        <v>9.923</v>
      </c>
      <c r="H190" s="189">
        <f t="shared" si="2"/>
        <v>246.14657230296032</v>
      </c>
      <c r="I190" s="190">
        <f t="shared" si="9"/>
        <v>1.129812766870588</v>
      </c>
      <c r="J190" s="191">
        <f t="shared" si="10"/>
        <v>39.834408321167963</v>
      </c>
      <c r="K190" s="192" t="b">
        <f t="shared" si="3"/>
        <v>0</v>
      </c>
      <c r="L190" s="193">
        <f t="shared" si="11"/>
        <v>0</v>
      </c>
      <c r="M190" s="194">
        <f t="shared" si="12"/>
        <v>1.4403589464098204E-59</v>
      </c>
      <c r="N190" s="194">
        <f t="shared" si="13"/>
        <v>2.7472352171539084E-3</v>
      </c>
      <c r="O190" s="195">
        <f>IF(ABS(U190)&gt;80,$B$7, LOOKUP(V190,'Force mapping'!$B$7:$B$167,'Force mapping'!$E$7:$E$167))</f>
        <v>536</v>
      </c>
      <c r="P190" s="196">
        <f t="shared" si="4"/>
        <v>0.623</v>
      </c>
      <c r="Q190" s="191">
        <f t="shared" si="5"/>
        <v>6.0580058634675932E-4</v>
      </c>
      <c r="R190" s="197">
        <f>IF(ABS(U190)&gt;80, 0, LOOKUP(V190,'Force mapping'!$B$7:$B$167,'Force mapping'!$D$7:$D$167) * (N190/5) * SIGN(U190))</f>
        <v>0</v>
      </c>
      <c r="S190" s="198">
        <f t="shared" si="6"/>
        <v>0</v>
      </c>
      <c r="T190" s="199">
        <f t="shared" si="14"/>
        <v>32.399883813688163</v>
      </c>
      <c r="U190" s="200">
        <f t="shared" si="15"/>
        <v>-214.4556829702106</v>
      </c>
      <c r="V190" s="176">
        <f t="shared" si="7"/>
        <v>214.5</v>
      </c>
      <c r="Y190" s="91"/>
      <c r="Z190" s="88"/>
    </row>
    <row r="191" spans="5:26" ht="12.5" x14ac:dyDescent="0.25">
      <c r="E191" s="186">
        <f t="shared" si="8"/>
        <v>187</v>
      </c>
      <c r="F191" s="187">
        <f t="shared" si="0"/>
        <v>9.35</v>
      </c>
      <c r="G191" s="188">
        <f t="shared" si="1"/>
        <v>9.972999999999999</v>
      </c>
      <c r="H191" s="189">
        <f t="shared" si="2"/>
        <v>246.14657230296032</v>
      </c>
      <c r="I191" s="190">
        <f t="shared" si="9"/>
        <v>1.129812766870588</v>
      </c>
      <c r="J191" s="191">
        <f t="shared" si="10"/>
        <v>39.834408321167963</v>
      </c>
      <c r="K191" s="192" t="b">
        <f t="shared" si="3"/>
        <v>0</v>
      </c>
      <c r="L191" s="193">
        <f t="shared" si="11"/>
        <v>0</v>
      </c>
      <c r="M191" s="194">
        <f t="shared" si="12"/>
        <v>5.3293281017163358E-60</v>
      </c>
      <c r="N191" s="194">
        <f t="shared" si="13"/>
        <v>2.5267508498060826E-3</v>
      </c>
      <c r="O191" s="195">
        <f>IF(ABS(U191)&gt;80,$B$7, LOOKUP(V191,'Force mapping'!$B$7:$B$167,'Force mapping'!$E$7:$E$167))</f>
        <v>536</v>
      </c>
      <c r="P191" s="196">
        <f t="shared" si="4"/>
        <v>0.623</v>
      </c>
      <c r="Q191" s="191">
        <f t="shared" si="5"/>
        <v>5.5718095662390542E-4</v>
      </c>
      <c r="R191" s="197">
        <f>IF(ABS(U191)&gt;80, 0, LOOKUP(V191,'Force mapping'!$B$7:$B$167,'Force mapping'!$D$7:$D$167) * (N191/5) * SIGN(U191))</f>
        <v>0</v>
      </c>
      <c r="S191" s="198">
        <f t="shared" si="6"/>
        <v>0</v>
      </c>
      <c r="T191" s="199">
        <f t="shared" si="14"/>
        <v>32.399883813688163</v>
      </c>
      <c r="U191" s="200">
        <f t="shared" si="15"/>
        <v>-216.075677160895</v>
      </c>
      <c r="V191" s="176">
        <f t="shared" si="7"/>
        <v>216</v>
      </c>
      <c r="Y191" s="91"/>
      <c r="Z191" s="88"/>
    </row>
    <row r="192" spans="5:26" ht="12.5" x14ac:dyDescent="0.25">
      <c r="E192" s="186">
        <f t="shared" si="8"/>
        <v>188</v>
      </c>
      <c r="F192" s="187">
        <f t="shared" si="0"/>
        <v>9.4</v>
      </c>
      <c r="G192" s="188">
        <f t="shared" si="1"/>
        <v>10.023</v>
      </c>
      <c r="H192" s="189">
        <f t="shared" si="2"/>
        <v>246.14657230296032</v>
      </c>
      <c r="I192" s="190">
        <f t="shared" si="9"/>
        <v>1.129812766870588</v>
      </c>
      <c r="J192" s="191">
        <f t="shared" si="10"/>
        <v>39.834408321167963</v>
      </c>
      <c r="K192" s="192" t="b">
        <f t="shared" si="3"/>
        <v>0</v>
      </c>
      <c r="L192" s="193">
        <f t="shared" si="11"/>
        <v>0</v>
      </c>
      <c r="M192" s="194">
        <f t="shared" si="12"/>
        <v>1.9718513976350443E-60</v>
      </c>
      <c r="N192" s="194">
        <f t="shared" si="13"/>
        <v>2.3239618570447596E-3</v>
      </c>
      <c r="O192" s="195">
        <f>IF(ABS(U192)&gt;80,$B$7, LOOKUP(V192,'Force mapping'!$B$7:$B$167,'Force mapping'!$E$7:$E$167))</f>
        <v>536</v>
      </c>
      <c r="P192" s="196">
        <f t="shared" si="4"/>
        <v>0.623</v>
      </c>
      <c r="Q192" s="191">
        <f t="shared" si="5"/>
        <v>5.1246338386115218E-4</v>
      </c>
      <c r="R192" s="197">
        <f>IF(ABS(U192)&gt;80, 0, LOOKUP(V192,'Force mapping'!$B$7:$B$167,'Force mapping'!$D$7:$D$167) * (N192/5) * SIGN(U192))</f>
        <v>0</v>
      </c>
      <c r="S192" s="198">
        <f t="shared" si="6"/>
        <v>0</v>
      </c>
      <c r="T192" s="199">
        <f t="shared" si="14"/>
        <v>32.399883813688163</v>
      </c>
      <c r="U192" s="200">
        <f t="shared" si="15"/>
        <v>-217.69567135157939</v>
      </c>
      <c r="V192" s="176">
        <f t="shared" si="7"/>
        <v>217.5</v>
      </c>
      <c r="Y192" s="91"/>
      <c r="Z192" s="88"/>
    </row>
    <row r="193" spans="5:26" ht="12.5" x14ac:dyDescent="0.25">
      <c r="E193" s="186">
        <f t="shared" si="8"/>
        <v>189</v>
      </c>
      <c r="F193" s="187">
        <f t="shared" si="0"/>
        <v>9.4500000000000011</v>
      </c>
      <c r="G193" s="188">
        <f t="shared" si="1"/>
        <v>10.073</v>
      </c>
      <c r="H193" s="189">
        <f t="shared" si="2"/>
        <v>246.14657230296032</v>
      </c>
      <c r="I193" s="190">
        <f t="shared" si="9"/>
        <v>1.129812766870588</v>
      </c>
      <c r="J193" s="191">
        <f t="shared" si="10"/>
        <v>39.834408321167963</v>
      </c>
      <c r="K193" s="192" t="b">
        <f t="shared" si="3"/>
        <v>0</v>
      </c>
      <c r="L193" s="193">
        <f t="shared" si="11"/>
        <v>0</v>
      </c>
      <c r="M193" s="194">
        <f t="shared" si="12"/>
        <v>7.2958501712496642E-61</v>
      </c>
      <c r="N193" s="194">
        <f t="shared" si="13"/>
        <v>2.1374480643445381E-3</v>
      </c>
      <c r="O193" s="195">
        <f>IF(ABS(U193)&gt;80,$B$7, LOOKUP(V193,'Force mapping'!$B$7:$B$167,'Force mapping'!$E$7:$E$167))</f>
        <v>536</v>
      </c>
      <c r="P193" s="196">
        <f t="shared" si="4"/>
        <v>0.623</v>
      </c>
      <c r="Q193" s="191">
        <f t="shared" si="5"/>
        <v>4.7133470136828274E-4</v>
      </c>
      <c r="R193" s="197">
        <f>IF(ABS(U193)&gt;80, 0, LOOKUP(V193,'Force mapping'!$B$7:$B$167,'Force mapping'!$D$7:$D$167) * (N193/5) * SIGN(U193))</f>
        <v>0</v>
      </c>
      <c r="S193" s="198">
        <f t="shared" si="6"/>
        <v>0</v>
      </c>
      <c r="T193" s="199">
        <f t="shared" si="14"/>
        <v>32.399883813688163</v>
      </c>
      <c r="U193" s="200">
        <f t="shared" si="15"/>
        <v>-219.31566554226379</v>
      </c>
      <c r="V193" s="176">
        <f t="shared" si="7"/>
        <v>219.5</v>
      </c>
      <c r="Y193" s="91"/>
      <c r="Z193" s="88"/>
    </row>
    <row r="194" spans="5:26" ht="12.5" x14ac:dyDescent="0.25">
      <c r="E194" s="186">
        <f t="shared" si="8"/>
        <v>190</v>
      </c>
      <c r="F194" s="187">
        <f t="shared" si="0"/>
        <v>9.5</v>
      </c>
      <c r="G194" s="188">
        <f t="shared" si="1"/>
        <v>10.122999999999999</v>
      </c>
      <c r="H194" s="189">
        <f t="shared" si="2"/>
        <v>246.14657230296032</v>
      </c>
      <c r="I194" s="190">
        <f t="shared" si="9"/>
        <v>1.129812766870588</v>
      </c>
      <c r="J194" s="191">
        <f t="shared" si="10"/>
        <v>39.834408321167963</v>
      </c>
      <c r="K194" s="192" t="b">
        <f t="shared" si="3"/>
        <v>0</v>
      </c>
      <c r="L194" s="193">
        <f t="shared" si="11"/>
        <v>0</v>
      </c>
      <c r="M194" s="194">
        <f t="shared" si="12"/>
        <v>2.699464563362376E-61</v>
      </c>
      <c r="N194" s="194">
        <f t="shared" si="13"/>
        <v>1.9659032758738686E-3</v>
      </c>
      <c r="O194" s="195">
        <f>IF(ABS(U194)&gt;80,$B$7, LOOKUP(V194,'Force mapping'!$B$7:$B$167,'Force mapping'!$E$7:$E$167))</f>
        <v>536</v>
      </c>
      <c r="P194" s="196">
        <f t="shared" si="4"/>
        <v>0.623</v>
      </c>
      <c r="Q194" s="191">
        <f t="shared" si="5"/>
        <v>4.3350687621834024E-4</v>
      </c>
      <c r="R194" s="197">
        <f>IF(ABS(U194)&gt;80, 0, LOOKUP(V194,'Force mapping'!$B$7:$B$167,'Force mapping'!$D$7:$D$167) * (N194/5) * SIGN(U194))</f>
        <v>0</v>
      </c>
      <c r="S194" s="198">
        <f t="shared" si="6"/>
        <v>0</v>
      </c>
      <c r="T194" s="199">
        <f t="shared" si="14"/>
        <v>32.399883813688163</v>
      </c>
      <c r="U194" s="200">
        <f t="shared" si="15"/>
        <v>-220.93565973294818</v>
      </c>
      <c r="V194" s="176">
        <f t="shared" si="7"/>
        <v>221</v>
      </c>
      <c r="Y194" s="91"/>
      <c r="Z194" s="88"/>
    </row>
    <row r="195" spans="5:26" ht="12.5" x14ac:dyDescent="0.25">
      <c r="E195" s="186">
        <f t="shared" si="8"/>
        <v>191</v>
      </c>
      <c r="F195" s="187">
        <f t="shared" si="0"/>
        <v>9.5500000000000007</v>
      </c>
      <c r="G195" s="188">
        <f t="shared" si="1"/>
        <v>10.173</v>
      </c>
      <c r="H195" s="189">
        <f t="shared" si="2"/>
        <v>246.14657230296032</v>
      </c>
      <c r="I195" s="190">
        <f t="shared" si="9"/>
        <v>1.129812766870588</v>
      </c>
      <c r="J195" s="191">
        <f t="shared" si="10"/>
        <v>39.834408321167963</v>
      </c>
      <c r="K195" s="192" t="b">
        <f t="shared" si="3"/>
        <v>0</v>
      </c>
      <c r="L195" s="193">
        <f t="shared" si="11"/>
        <v>0</v>
      </c>
      <c r="M195" s="194">
        <f t="shared" si="12"/>
        <v>9.9880188844407925E-62</v>
      </c>
      <c r="N195" s="194">
        <f t="shared" si="13"/>
        <v>1.8081261269273299E-3</v>
      </c>
      <c r="O195" s="195">
        <f>IF(ABS(U195)&gt;80,$B$7, LOOKUP(V195,'Force mapping'!$B$7:$B$167,'Force mapping'!$E$7:$E$167))</f>
        <v>536</v>
      </c>
      <c r="P195" s="196">
        <f t="shared" si="4"/>
        <v>0.623</v>
      </c>
      <c r="Q195" s="191">
        <f t="shared" si="5"/>
        <v>3.987149920916676E-4</v>
      </c>
      <c r="R195" s="197">
        <f>IF(ABS(U195)&gt;80, 0, LOOKUP(V195,'Force mapping'!$B$7:$B$167,'Force mapping'!$D$7:$D$167) * (N195/5) * SIGN(U195))</f>
        <v>0</v>
      </c>
      <c r="S195" s="198">
        <f t="shared" si="6"/>
        <v>0</v>
      </c>
      <c r="T195" s="199">
        <f t="shared" si="14"/>
        <v>32.399883813688163</v>
      </c>
      <c r="U195" s="200">
        <f t="shared" si="15"/>
        <v>-222.55565392363258</v>
      </c>
      <c r="V195" s="176">
        <f t="shared" si="7"/>
        <v>222.5</v>
      </c>
      <c r="Y195" s="91"/>
      <c r="Z195" s="88"/>
    </row>
    <row r="196" spans="5:26" ht="12.5" x14ac:dyDescent="0.25">
      <c r="E196" s="186">
        <f t="shared" si="8"/>
        <v>192</v>
      </c>
      <c r="F196" s="187">
        <f t="shared" si="0"/>
        <v>9.6000000000000014</v>
      </c>
      <c r="G196" s="188">
        <f t="shared" si="1"/>
        <v>10.223000000000001</v>
      </c>
      <c r="H196" s="189">
        <f t="shared" si="2"/>
        <v>246.14657230296032</v>
      </c>
      <c r="I196" s="190">
        <f t="shared" si="9"/>
        <v>1.129812766870588</v>
      </c>
      <c r="J196" s="191">
        <f t="shared" si="10"/>
        <v>39.834408321167963</v>
      </c>
      <c r="K196" s="192" t="b">
        <f t="shared" si="3"/>
        <v>0</v>
      </c>
      <c r="L196" s="193">
        <f t="shared" si="11"/>
        <v>0</v>
      </c>
      <c r="M196" s="194">
        <f t="shared" si="12"/>
        <v>3.6955669872430931E-62</v>
      </c>
      <c r="N196" s="194">
        <f t="shared" si="13"/>
        <v>1.6630116705126164E-3</v>
      </c>
      <c r="O196" s="195">
        <f>IF(ABS(U196)&gt;80,$B$7, LOOKUP(V196,'Force mapping'!$B$7:$B$167,'Force mapping'!$E$7:$E$167))</f>
        <v>536</v>
      </c>
      <c r="P196" s="196">
        <f t="shared" si="4"/>
        <v>0.623</v>
      </c>
      <c r="Q196" s="191">
        <f t="shared" si="5"/>
        <v>3.6671539401047435E-4</v>
      </c>
      <c r="R196" s="197">
        <f>IF(ABS(U196)&gt;80, 0, LOOKUP(V196,'Force mapping'!$B$7:$B$167,'Force mapping'!$D$7:$D$167) * (N196/5) * SIGN(U196))</f>
        <v>0</v>
      </c>
      <c r="S196" s="198">
        <f t="shared" si="6"/>
        <v>0</v>
      </c>
      <c r="T196" s="199">
        <f t="shared" si="14"/>
        <v>32.399883813688163</v>
      </c>
      <c r="U196" s="200">
        <f t="shared" si="15"/>
        <v>-224.17564811431697</v>
      </c>
      <c r="V196" s="176">
        <f t="shared" si="7"/>
        <v>224</v>
      </c>
      <c r="Y196" s="91"/>
      <c r="Z196" s="88"/>
    </row>
    <row r="197" spans="5:26" ht="12.5" x14ac:dyDescent="0.25">
      <c r="E197" s="186">
        <f t="shared" si="8"/>
        <v>193</v>
      </c>
      <c r="F197" s="187">
        <f t="shared" si="0"/>
        <v>9.65</v>
      </c>
      <c r="G197" s="188">
        <f t="shared" si="1"/>
        <v>10.273</v>
      </c>
      <c r="H197" s="189">
        <f t="shared" si="2"/>
        <v>246.14657230296032</v>
      </c>
      <c r="I197" s="190">
        <f t="shared" si="9"/>
        <v>1.129812766870588</v>
      </c>
      <c r="J197" s="191">
        <f t="shared" si="10"/>
        <v>39.834408321167963</v>
      </c>
      <c r="K197" s="192" t="b">
        <f t="shared" si="3"/>
        <v>0</v>
      </c>
      <c r="L197" s="193">
        <f t="shared" si="11"/>
        <v>0</v>
      </c>
      <c r="M197" s="194">
        <f t="shared" si="12"/>
        <v>1.3673597852799445E-62</v>
      </c>
      <c r="N197" s="194">
        <f t="shared" si="13"/>
        <v>1.5295436391713148E-3</v>
      </c>
      <c r="O197" s="195">
        <f>IF(ABS(U197)&gt;80,$B$7, LOOKUP(V197,'Force mapping'!$B$7:$B$167,'Force mapping'!$E$7:$E$167))</f>
        <v>536</v>
      </c>
      <c r="P197" s="196">
        <f t="shared" si="4"/>
        <v>0.623</v>
      </c>
      <c r="Q197" s="191">
        <f t="shared" si="5"/>
        <v>3.3728398197111045E-4</v>
      </c>
      <c r="R197" s="197">
        <f>IF(ABS(U197)&gt;80, 0, LOOKUP(V197,'Force mapping'!$B$7:$B$167,'Force mapping'!$D$7:$D$167) * (N197/5) * SIGN(U197))</f>
        <v>0</v>
      </c>
      <c r="S197" s="198">
        <f t="shared" si="6"/>
        <v>0</v>
      </c>
      <c r="T197" s="199">
        <f t="shared" si="14"/>
        <v>32.399883813688163</v>
      </c>
      <c r="U197" s="200">
        <f t="shared" si="15"/>
        <v>-225.79564230500137</v>
      </c>
      <c r="V197" s="176">
        <f t="shared" si="7"/>
        <v>226</v>
      </c>
      <c r="Y197" s="91"/>
      <c r="Z197" s="88"/>
    </row>
    <row r="198" spans="5:26" ht="12.5" x14ac:dyDescent="0.25">
      <c r="E198" s="186">
        <f t="shared" si="8"/>
        <v>194</v>
      </c>
      <c r="F198" s="187">
        <f t="shared" si="0"/>
        <v>9.7000000000000011</v>
      </c>
      <c r="G198" s="188">
        <f t="shared" si="1"/>
        <v>10.323</v>
      </c>
      <c r="H198" s="189">
        <f t="shared" si="2"/>
        <v>246.14657230296032</v>
      </c>
      <c r="I198" s="190">
        <f t="shared" si="9"/>
        <v>1.129812766870588</v>
      </c>
      <c r="J198" s="191">
        <f t="shared" si="10"/>
        <v>39.834408321167963</v>
      </c>
      <c r="K198" s="192" t="b">
        <f t="shared" si="3"/>
        <v>0</v>
      </c>
      <c r="L198" s="193">
        <f t="shared" si="11"/>
        <v>0</v>
      </c>
      <c r="M198" s="194">
        <f t="shared" si="12"/>
        <v>5.0592312055357944E-63</v>
      </c>
      <c r="N198" s="194">
        <f t="shared" si="13"/>
        <v>1.4067873278413535E-3</v>
      </c>
      <c r="O198" s="195">
        <f>IF(ABS(U198)&gt;80,$B$7, LOOKUP(V198,'Force mapping'!$B$7:$B$167,'Force mapping'!$E$7:$E$167))</f>
        <v>536</v>
      </c>
      <c r="P198" s="196">
        <f t="shared" si="4"/>
        <v>0.623</v>
      </c>
      <c r="Q198" s="191">
        <f t="shared" si="5"/>
        <v>3.1021464152399078E-4</v>
      </c>
      <c r="R198" s="197">
        <f>IF(ABS(U198)&gt;80, 0, LOOKUP(V198,'Force mapping'!$B$7:$B$167,'Force mapping'!$D$7:$D$167) * (N198/5) * SIGN(U198))</f>
        <v>0</v>
      </c>
      <c r="S198" s="198">
        <f t="shared" si="6"/>
        <v>0</v>
      </c>
      <c r="T198" s="199">
        <f t="shared" si="14"/>
        <v>32.399883813688163</v>
      </c>
      <c r="U198" s="200">
        <f t="shared" si="15"/>
        <v>-227.41563649568576</v>
      </c>
      <c r="V198" s="176">
        <f t="shared" si="7"/>
        <v>227.5</v>
      </c>
      <c r="Y198" s="91"/>
      <c r="Z198" s="88"/>
    </row>
    <row r="199" spans="5:26" ht="12.5" x14ac:dyDescent="0.25">
      <c r="E199" s="186">
        <f t="shared" si="8"/>
        <v>195</v>
      </c>
      <c r="F199" s="187">
        <f t="shared" si="0"/>
        <v>9.75</v>
      </c>
      <c r="G199" s="188">
        <f t="shared" si="1"/>
        <v>10.372999999999999</v>
      </c>
      <c r="H199" s="189">
        <f t="shared" si="2"/>
        <v>246.14657230296032</v>
      </c>
      <c r="I199" s="190">
        <f t="shared" si="9"/>
        <v>1.129812766870588</v>
      </c>
      <c r="J199" s="191">
        <f t="shared" si="10"/>
        <v>39.834408321167963</v>
      </c>
      <c r="K199" s="192" t="b">
        <f t="shared" si="3"/>
        <v>0</v>
      </c>
      <c r="L199" s="193">
        <f t="shared" si="11"/>
        <v>0</v>
      </c>
      <c r="M199" s="194">
        <f t="shared" si="12"/>
        <v>1.8719155460482441E-63</v>
      </c>
      <c r="N199" s="194">
        <f t="shared" si="13"/>
        <v>1.2938830479182913E-3</v>
      </c>
      <c r="O199" s="195">
        <f>IF(ABS(U199)&gt;80,$B$7, LOOKUP(V199,'Force mapping'!$B$7:$B$167,'Force mapping'!$E$7:$E$167))</f>
        <v>536</v>
      </c>
      <c r="P199" s="196">
        <f t="shared" si="4"/>
        <v>0.623</v>
      </c>
      <c r="Q199" s="191">
        <f t="shared" si="5"/>
        <v>2.8531780031018731E-4</v>
      </c>
      <c r="R199" s="197">
        <f>IF(ABS(U199)&gt;80, 0, LOOKUP(V199,'Force mapping'!$B$7:$B$167,'Force mapping'!$D$7:$D$167) * (N199/5) * SIGN(U199))</f>
        <v>0</v>
      </c>
      <c r="S199" s="198">
        <f t="shared" si="6"/>
        <v>0</v>
      </c>
      <c r="T199" s="199">
        <f t="shared" si="14"/>
        <v>32.399883813688163</v>
      </c>
      <c r="U199" s="200">
        <f t="shared" si="15"/>
        <v>-229.03563068637015</v>
      </c>
      <c r="V199" s="176">
        <f t="shared" si="7"/>
        <v>229</v>
      </c>
      <c r="Y199" s="91"/>
      <c r="Z199" s="88"/>
    </row>
    <row r="200" spans="5:26" ht="12.5" x14ac:dyDescent="0.25">
      <c r="E200" s="186">
        <f t="shared" si="8"/>
        <v>196</v>
      </c>
      <c r="F200" s="187">
        <f t="shared" si="0"/>
        <v>9.8000000000000007</v>
      </c>
      <c r="G200" s="188">
        <f t="shared" si="1"/>
        <v>10.423</v>
      </c>
      <c r="H200" s="189">
        <f t="shared" si="2"/>
        <v>246.14657230296032</v>
      </c>
      <c r="I200" s="190">
        <f t="shared" si="9"/>
        <v>1.129812766870588</v>
      </c>
      <c r="J200" s="191">
        <f t="shared" si="10"/>
        <v>39.834408321167963</v>
      </c>
      <c r="K200" s="192" t="b">
        <f t="shared" si="3"/>
        <v>0</v>
      </c>
      <c r="L200" s="193">
        <f t="shared" si="11"/>
        <v>0</v>
      </c>
      <c r="M200" s="194">
        <f t="shared" si="12"/>
        <v>6.9260875203785031E-64</v>
      </c>
      <c r="N200" s="194">
        <f t="shared" si="13"/>
        <v>1.1900401066728425E-3</v>
      </c>
      <c r="O200" s="195">
        <f>IF(ABS(U200)&gt;80,$B$7, LOOKUP(V200,'Force mapping'!$B$7:$B$167,'Force mapping'!$E$7:$E$167))</f>
        <v>536</v>
      </c>
      <c r="P200" s="196">
        <f t="shared" si="4"/>
        <v>0.623</v>
      </c>
      <c r="Q200" s="191">
        <f t="shared" si="5"/>
        <v>2.624191004458063E-4</v>
      </c>
      <c r="R200" s="197">
        <f>IF(ABS(U200)&gt;80, 0, LOOKUP(V200,'Force mapping'!$B$7:$B$167,'Force mapping'!$D$7:$D$167) * (N200/5) * SIGN(U200))</f>
        <v>0</v>
      </c>
      <c r="S200" s="198">
        <f t="shared" si="6"/>
        <v>0</v>
      </c>
      <c r="T200" s="199">
        <f t="shared" si="14"/>
        <v>32.399883813688163</v>
      </c>
      <c r="U200" s="200">
        <f t="shared" si="15"/>
        <v>-230.65562487705455</v>
      </c>
      <c r="V200" s="176">
        <f t="shared" si="7"/>
        <v>230.5</v>
      </c>
      <c r="Y200" s="91"/>
      <c r="Z200" s="88"/>
    </row>
    <row r="201" spans="5:26" ht="12.5" x14ac:dyDescent="0.25">
      <c r="E201" s="186">
        <f t="shared" si="8"/>
        <v>197</v>
      </c>
      <c r="F201" s="187">
        <f t="shared" si="0"/>
        <v>9.8500000000000014</v>
      </c>
      <c r="G201" s="188">
        <f t="shared" si="1"/>
        <v>10.473000000000001</v>
      </c>
      <c r="H201" s="189">
        <f t="shared" si="2"/>
        <v>246.14657230296032</v>
      </c>
      <c r="I201" s="190">
        <f t="shared" si="9"/>
        <v>1.129812766870588</v>
      </c>
      <c r="J201" s="191">
        <f t="shared" si="10"/>
        <v>39.834408321167963</v>
      </c>
      <c r="K201" s="192" t="b">
        <f t="shared" si="3"/>
        <v>0</v>
      </c>
      <c r="L201" s="193">
        <f t="shared" si="11"/>
        <v>0</v>
      </c>
      <c r="M201" s="194">
        <f t="shared" si="12"/>
        <v>2.562652382540046E-64</v>
      </c>
      <c r="N201" s="194">
        <f t="shared" si="13"/>
        <v>1.0945312698612177E-3</v>
      </c>
      <c r="O201" s="195">
        <f>IF(ABS(U201)&gt;80,$B$7, LOOKUP(V201,'Force mapping'!$B$7:$B$167,'Force mapping'!$E$7:$E$167))</f>
        <v>536</v>
      </c>
      <c r="P201" s="196">
        <f t="shared" si="4"/>
        <v>0.623</v>
      </c>
      <c r="Q201" s="191">
        <f t="shared" si="5"/>
        <v>2.4135817745657624E-4</v>
      </c>
      <c r="R201" s="197">
        <f>IF(ABS(U201)&gt;80, 0, LOOKUP(V201,'Force mapping'!$B$7:$B$167,'Force mapping'!$D$7:$D$167) * (N201/5) * SIGN(U201))</f>
        <v>0</v>
      </c>
      <c r="S201" s="198">
        <f t="shared" si="6"/>
        <v>0</v>
      </c>
      <c r="T201" s="199">
        <f t="shared" si="14"/>
        <v>32.399883813688163</v>
      </c>
      <c r="U201" s="200">
        <f t="shared" si="15"/>
        <v>-232.27561906773894</v>
      </c>
      <c r="V201" s="176">
        <f t="shared" si="7"/>
        <v>232.5</v>
      </c>
      <c r="Y201" s="91"/>
      <c r="Z201" s="88"/>
    </row>
    <row r="202" spans="5:26" ht="12.5" x14ac:dyDescent="0.25">
      <c r="E202" s="186">
        <f t="shared" si="8"/>
        <v>198</v>
      </c>
      <c r="F202" s="187">
        <f t="shared" si="0"/>
        <v>9.9</v>
      </c>
      <c r="G202" s="188">
        <f t="shared" si="1"/>
        <v>10.523</v>
      </c>
      <c r="H202" s="189">
        <f t="shared" si="2"/>
        <v>246.14657230296032</v>
      </c>
      <c r="I202" s="190">
        <f t="shared" si="9"/>
        <v>1.129812766870588</v>
      </c>
      <c r="J202" s="191">
        <f t="shared" si="10"/>
        <v>39.834408321167963</v>
      </c>
      <c r="K202" s="192" t="b">
        <f t="shared" si="3"/>
        <v>0</v>
      </c>
      <c r="L202" s="193">
        <f t="shared" si="11"/>
        <v>0</v>
      </c>
      <c r="M202" s="194">
        <f t="shared" si="12"/>
        <v>9.4818138153981691E-65</v>
      </c>
      <c r="N202" s="194">
        <f t="shared" si="13"/>
        <v>1.0066876687487604E-3</v>
      </c>
      <c r="O202" s="195">
        <f>IF(ABS(U202)&gt;80,$B$7, LOOKUP(V202,'Force mapping'!$B$7:$B$167,'Force mapping'!$E$7:$E$167))</f>
        <v>536</v>
      </c>
      <c r="P202" s="196">
        <f t="shared" si="4"/>
        <v>0.623</v>
      </c>
      <c r="Q202" s="191">
        <f t="shared" si="5"/>
        <v>2.2198753721126512E-4</v>
      </c>
      <c r="R202" s="197">
        <f>IF(ABS(U202)&gt;80, 0, LOOKUP(V202,'Force mapping'!$B$7:$B$167,'Force mapping'!$D$7:$D$167) * (N202/5) * SIGN(U202))</f>
        <v>0</v>
      </c>
      <c r="S202" s="198">
        <f t="shared" si="6"/>
        <v>0</v>
      </c>
      <c r="T202" s="199">
        <f t="shared" si="14"/>
        <v>32.399883813688163</v>
      </c>
      <c r="U202" s="200">
        <f t="shared" si="15"/>
        <v>-233.89561325842334</v>
      </c>
      <c r="V202" s="176">
        <f t="shared" si="7"/>
        <v>234</v>
      </c>
      <c r="Y202" s="91"/>
      <c r="Z202" s="88"/>
    </row>
    <row r="203" spans="5:26" ht="12.5" x14ac:dyDescent="0.25">
      <c r="E203" s="186">
        <f t="shared" si="8"/>
        <v>199</v>
      </c>
      <c r="F203" s="187">
        <f t="shared" si="0"/>
        <v>9.9500000000000011</v>
      </c>
      <c r="G203" s="188">
        <f t="shared" si="1"/>
        <v>10.573</v>
      </c>
      <c r="H203" s="189">
        <f t="shared" si="2"/>
        <v>246.14657230296032</v>
      </c>
      <c r="I203" s="190">
        <f t="shared" si="9"/>
        <v>1.129812766870588</v>
      </c>
      <c r="J203" s="191">
        <f t="shared" si="10"/>
        <v>39.834408321167963</v>
      </c>
      <c r="K203" s="192" t="b">
        <f t="shared" si="3"/>
        <v>0</v>
      </c>
      <c r="L203" s="193">
        <f t="shared" si="11"/>
        <v>0</v>
      </c>
      <c r="M203" s="194">
        <f t="shared" si="12"/>
        <v>3.5082711116973227E-65</v>
      </c>
      <c r="N203" s="194">
        <f t="shared" si="13"/>
        <v>9.2589411587967838E-4</v>
      </c>
      <c r="O203" s="195">
        <f>IF(ABS(U203)&gt;80,$B$7, LOOKUP(V203,'Force mapping'!$B$7:$B$167,'Force mapping'!$E$7:$E$167))</f>
        <v>536</v>
      </c>
      <c r="P203" s="196">
        <f t="shared" si="4"/>
        <v>0.623</v>
      </c>
      <c r="Q203" s="191">
        <f t="shared" si="5"/>
        <v>2.0417152298885213E-4</v>
      </c>
      <c r="R203" s="197">
        <f>IF(ABS(U203)&gt;80, 0, LOOKUP(V203,'Force mapping'!$B$7:$B$167,'Force mapping'!$D$7:$D$167) * (N203/5) * SIGN(U203))</f>
        <v>0</v>
      </c>
      <c r="S203" s="198">
        <f t="shared" si="6"/>
        <v>0</v>
      </c>
      <c r="T203" s="199">
        <f t="shared" si="14"/>
        <v>32.399883813688163</v>
      </c>
      <c r="U203" s="200">
        <f t="shared" si="15"/>
        <v>-235.51560744910773</v>
      </c>
      <c r="V203" s="176">
        <f t="shared" si="7"/>
        <v>235.5</v>
      </c>
      <c r="Y203" s="91"/>
      <c r="Z203" s="88"/>
    </row>
    <row r="204" spans="5:26" ht="12.5" x14ac:dyDescent="0.25">
      <c r="E204" s="186">
        <f t="shared" si="8"/>
        <v>200</v>
      </c>
      <c r="F204" s="187">
        <f t="shared" si="0"/>
        <v>10</v>
      </c>
      <c r="G204" s="188">
        <f t="shared" si="1"/>
        <v>10.622999999999999</v>
      </c>
      <c r="H204" s="189">
        <f t="shared" si="2"/>
        <v>246.14657230296032</v>
      </c>
      <c r="I204" s="190">
        <f t="shared" si="9"/>
        <v>1.129812766870588</v>
      </c>
      <c r="J204" s="191">
        <f t="shared" si="10"/>
        <v>39.834408321167963</v>
      </c>
      <c r="K204" s="192" t="b">
        <f t="shared" si="3"/>
        <v>0</v>
      </c>
      <c r="L204" s="193">
        <f t="shared" si="11"/>
        <v>0</v>
      </c>
      <c r="M204" s="194">
        <f t="shared" si="12"/>
        <v>1.2980603113280096E-65</v>
      </c>
      <c r="N204" s="194">
        <f t="shared" si="13"/>
        <v>8.5158479678821132E-4</v>
      </c>
      <c r="O204" s="195">
        <f>IF(ABS(U204)&gt;80,$B$7, LOOKUP(V204,'Force mapping'!$B$7:$B$167,'Force mapping'!$E$7:$E$167))</f>
        <v>536</v>
      </c>
      <c r="P204" s="196">
        <f t="shared" si="4"/>
        <v>0.623</v>
      </c>
      <c r="Q204" s="191">
        <f t="shared" si="5"/>
        <v>1.8778536544560557E-4</v>
      </c>
      <c r="R204" s="197">
        <f>IF(ABS(U204)&gt;80, 0, LOOKUP(V204,'Force mapping'!$B$7:$B$167,'Force mapping'!$D$7:$D$167) * (N204/5) * SIGN(U204))</f>
        <v>0</v>
      </c>
      <c r="S204" s="198">
        <f t="shared" si="6"/>
        <v>0</v>
      </c>
      <c r="T204" s="199">
        <f t="shared" si="14"/>
        <v>32.399883813688163</v>
      </c>
      <c r="U204" s="200">
        <f t="shared" si="15"/>
        <v>-237.13560163979213</v>
      </c>
      <c r="V204" s="200">
        <f t="shared" si="7"/>
        <v>237</v>
      </c>
      <c r="Y204" s="91"/>
      <c r="Z204" s="88"/>
    </row>
    <row r="205" spans="5:26" ht="12.5" x14ac:dyDescent="0.25">
      <c r="E205" s="186">
        <f t="shared" si="8"/>
        <v>201</v>
      </c>
      <c r="F205" s="187">
        <f t="shared" si="0"/>
        <v>10.050000000000001</v>
      </c>
      <c r="G205" s="188">
        <f t="shared" si="1"/>
        <v>10.673</v>
      </c>
      <c r="H205" s="189">
        <f t="shared" si="2"/>
        <v>246.14657230296032</v>
      </c>
      <c r="I205" s="190">
        <f t="shared" si="9"/>
        <v>1.129812766870588</v>
      </c>
      <c r="J205" s="191">
        <f t="shared" si="10"/>
        <v>39.834408321167963</v>
      </c>
      <c r="K205" s="192" t="b">
        <f t="shared" si="3"/>
        <v>0</v>
      </c>
      <c r="L205" s="193">
        <f t="shared" si="11"/>
        <v>0</v>
      </c>
      <c r="M205" s="194">
        <f t="shared" si="12"/>
        <v>4.8028231519136352E-66</v>
      </c>
      <c r="N205" s="194">
        <f t="shared" si="13"/>
        <v>7.83239307479366E-4</v>
      </c>
      <c r="O205" s="195">
        <f>IF(ABS(U205)&gt;80,$B$7, LOOKUP(V205,'Force mapping'!$B$7:$B$167,'Force mapping'!$E$7:$E$167))</f>
        <v>536</v>
      </c>
      <c r="P205" s="196">
        <f t="shared" si="4"/>
        <v>0.623</v>
      </c>
      <c r="Q205" s="191">
        <f t="shared" si="5"/>
        <v>1.7271430882878327E-4</v>
      </c>
      <c r="R205" s="197">
        <f>IF(ABS(U205)&gt;80, 0, LOOKUP(V205,'Force mapping'!$B$7:$B$167,'Force mapping'!$D$7:$D$167) * (N205/5) * SIGN(U205))</f>
        <v>0</v>
      </c>
      <c r="S205" s="198">
        <f t="shared" si="6"/>
        <v>0</v>
      </c>
      <c r="T205" s="199">
        <f t="shared" si="14"/>
        <v>32.399883813688163</v>
      </c>
      <c r="U205" s="200">
        <f t="shared" si="15"/>
        <v>-238.75559583047652</v>
      </c>
      <c r="V205" s="200">
        <f t="shared" si="7"/>
        <v>239</v>
      </c>
      <c r="Y205" s="91"/>
      <c r="Z205" s="88"/>
    </row>
    <row r="206" spans="5:26" ht="12.5" x14ac:dyDescent="0.25">
      <c r="E206" s="186">
        <f t="shared" si="8"/>
        <v>202</v>
      </c>
      <c r="F206" s="187">
        <f t="shared" si="0"/>
        <v>10.100000000000001</v>
      </c>
      <c r="G206" s="188">
        <f t="shared" si="1"/>
        <v>10.723000000000001</v>
      </c>
      <c r="H206" s="189">
        <f t="shared" si="2"/>
        <v>246.14657230296032</v>
      </c>
      <c r="I206" s="190">
        <f t="shared" si="9"/>
        <v>1.129812766870588</v>
      </c>
      <c r="J206" s="191">
        <f t="shared" si="10"/>
        <v>39.834408321167963</v>
      </c>
      <c r="K206" s="192" t="b">
        <f t="shared" si="3"/>
        <v>0</v>
      </c>
      <c r="L206" s="193">
        <f t="shared" si="11"/>
        <v>0</v>
      </c>
      <c r="M206" s="194">
        <f t="shared" si="12"/>
        <v>1.7770445662080451E-66</v>
      </c>
      <c r="N206" s="194">
        <f t="shared" si="13"/>
        <v>7.2037900992885499E-4</v>
      </c>
      <c r="O206" s="195">
        <f>IF(ABS(U206)&gt;80,$B$7, LOOKUP(V206,'Force mapping'!$B$7:$B$167,'Force mapping'!$E$7:$E$167))</f>
        <v>536</v>
      </c>
      <c r="P206" s="196">
        <f t="shared" si="4"/>
        <v>0.623</v>
      </c>
      <c r="Q206" s="191">
        <f t="shared" si="5"/>
        <v>1.5885280731764494E-4</v>
      </c>
      <c r="R206" s="197">
        <f>IF(ABS(U206)&gt;80, 0, LOOKUP(V206,'Force mapping'!$B$7:$B$167,'Force mapping'!$D$7:$D$167) * (N206/5) * SIGN(U206))</f>
        <v>0</v>
      </c>
      <c r="S206" s="198">
        <f t="shared" si="6"/>
        <v>0</v>
      </c>
      <c r="T206" s="199">
        <f t="shared" si="14"/>
        <v>32.399883813688163</v>
      </c>
      <c r="U206" s="200">
        <f t="shared" si="15"/>
        <v>-240.37559002116092</v>
      </c>
      <c r="V206" s="200">
        <f t="shared" si="7"/>
        <v>240.5</v>
      </c>
      <c r="Y206" s="91"/>
      <c r="Z206" s="88"/>
    </row>
    <row r="207" spans="5:26" ht="12.5" x14ac:dyDescent="0.25">
      <c r="E207" s="186">
        <f t="shared" si="8"/>
        <v>203</v>
      </c>
      <c r="F207" s="187">
        <f t="shared" si="0"/>
        <v>10.15</v>
      </c>
      <c r="G207" s="188">
        <f t="shared" si="1"/>
        <v>10.773</v>
      </c>
      <c r="H207" s="189">
        <f t="shared" si="2"/>
        <v>246.14657230296032</v>
      </c>
      <c r="I207" s="190">
        <f t="shared" si="9"/>
        <v>1.129812766870588</v>
      </c>
      <c r="J207" s="191">
        <f t="shared" si="10"/>
        <v>39.834408321167963</v>
      </c>
      <c r="K207" s="192" t="b">
        <f t="shared" si="3"/>
        <v>0</v>
      </c>
      <c r="L207" s="193">
        <f t="shared" si="11"/>
        <v>0</v>
      </c>
      <c r="M207" s="194">
        <f t="shared" si="12"/>
        <v>6.5750648949697666E-67</v>
      </c>
      <c r="N207" s="194">
        <f t="shared" si="13"/>
        <v>6.6256368007902708E-4</v>
      </c>
      <c r="O207" s="195">
        <f>IF(ABS(U207)&gt;80,$B$7, LOOKUP(V207,'Force mapping'!$B$7:$B$167,'Force mapping'!$E$7:$E$167))</f>
        <v>536</v>
      </c>
      <c r="P207" s="196">
        <f t="shared" si="4"/>
        <v>0.623</v>
      </c>
      <c r="Q207" s="191">
        <f t="shared" si="5"/>
        <v>1.4610378586358031E-4</v>
      </c>
      <c r="R207" s="197">
        <f>IF(ABS(U207)&gt;80, 0, LOOKUP(V207,'Force mapping'!$B$7:$B$167,'Force mapping'!$D$7:$D$167) * (N207/5) * SIGN(U207))</f>
        <v>0</v>
      </c>
      <c r="S207" s="198">
        <f t="shared" si="6"/>
        <v>0</v>
      </c>
      <c r="T207" s="199">
        <f t="shared" si="14"/>
        <v>32.399883813688163</v>
      </c>
      <c r="U207" s="200">
        <f t="shared" si="15"/>
        <v>-241.99558421184531</v>
      </c>
      <c r="V207" s="200">
        <f t="shared" si="7"/>
        <v>242</v>
      </c>
      <c r="Y207" s="91"/>
      <c r="Z207" s="88"/>
    </row>
    <row r="208" spans="5:26" ht="12.5" x14ac:dyDescent="0.25">
      <c r="E208" s="186">
        <f t="shared" si="8"/>
        <v>204</v>
      </c>
      <c r="F208" s="187">
        <f t="shared" si="0"/>
        <v>10.200000000000001</v>
      </c>
      <c r="G208" s="188">
        <f t="shared" si="1"/>
        <v>10.823</v>
      </c>
      <c r="H208" s="189">
        <f t="shared" si="2"/>
        <v>246.14657230296032</v>
      </c>
      <c r="I208" s="190">
        <f t="shared" si="9"/>
        <v>1.129812766870588</v>
      </c>
      <c r="J208" s="191">
        <f t="shared" si="10"/>
        <v>39.834408321167963</v>
      </c>
      <c r="K208" s="192" t="b">
        <f t="shared" si="3"/>
        <v>0</v>
      </c>
      <c r="L208" s="193">
        <f t="shared" si="11"/>
        <v>0</v>
      </c>
      <c r="M208" s="194">
        <f t="shared" si="12"/>
        <v>2.4327740111388139E-67</v>
      </c>
      <c r="N208" s="194">
        <f t="shared" si="13"/>
        <v>6.0938842485599109E-4</v>
      </c>
      <c r="O208" s="195">
        <f>IF(ABS(U208)&gt;80,$B$7, LOOKUP(V208,'Force mapping'!$B$7:$B$167,'Force mapping'!$E$7:$E$167))</f>
        <v>536</v>
      </c>
      <c r="P208" s="196">
        <f t="shared" si="4"/>
        <v>0.623</v>
      </c>
      <c r="Q208" s="191">
        <f t="shared" si="5"/>
        <v>1.3437796035285958E-4</v>
      </c>
      <c r="R208" s="197">
        <f>IF(ABS(U208)&gt;80, 0, LOOKUP(V208,'Force mapping'!$B$7:$B$167,'Force mapping'!$D$7:$D$167) * (N208/5) * SIGN(U208))</f>
        <v>0</v>
      </c>
      <c r="S208" s="198">
        <f t="shared" si="6"/>
        <v>0</v>
      </c>
      <c r="T208" s="199">
        <f t="shared" si="14"/>
        <v>32.399883813688163</v>
      </c>
      <c r="U208" s="200">
        <f t="shared" si="15"/>
        <v>-243.61557840252971</v>
      </c>
      <c r="V208" s="200">
        <f t="shared" si="7"/>
        <v>243.5</v>
      </c>
      <c r="Y208" s="91"/>
      <c r="Z208" s="88"/>
    </row>
    <row r="209" spans="5:26" ht="12.5" x14ac:dyDescent="0.25">
      <c r="E209" s="186">
        <f t="shared" si="8"/>
        <v>205</v>
      </c>
      <c r="F209" s="187">
        <f t="shared" si="0"/>
        <v>10.25</v>
      </c>
      <c r="G209" s="188">
        <f t="shared" si="1"/>
        <v>10.872999999999999</v>
      </c>
      <c r="H209" s="189">
        <f t="shared" si="2"/>
        <v>246.14657230296032</v>
      </c>
      <c r="I209" s="190">
        <f t="shared" si="9"/>
        <v>1.129812766870588</v>
      </c>
      <c r="J209" s="191">
        <f t="shared" si="10"/>
        <v>39.834408321167963</v>
      </c>
      <c r="K209" s="192" t="b">
        <f t="shared" si="3"/>
        <v>0</v>
      </c>
      <c r="L209" s="193">
        <f t="shared" si="11"/>
        <v>0</v>
      </c>
      <c r="M209" s="194">
        <f t="shared" si="12"/>
        <v>9.001263841213612E-68</v>
      </c>
      <c r="N209" s="194">
        <f t="shared" si="13"/>
        <v>5.604808466171474E-4</v>
      </c>
      <c r="O209" s="195">
        <f>IF(ABS(U209)&gt;80,$B$7, LOOKUP(V209,'Force mapping'!$B$7:$B$167,'Force mapping'!$E$7:$E$167))</f>
        <v>536</v>
      </c>
      <c r="P209" s="196">
        <f t="shared" si="4"/>
        <v>0.623</v>
      </c>
      <c r="Q209" s="191">
        <f t="shared" si="5"/>
        <v>1.2359321233096072E-4</v>
      </c>
      <c r="R209" s="197">
        <f>IF(ABS(U209)&gt;80, 0, LOOKUP(V209,'Force mapping'!$B$7:$B$167,'Force mapping'!$D$7:$D$167) * (N209/5) * SIGN(U209))</f>
        <v>0</v>
      </c>
      <c r="S209" s="198">
        <f t="shared" si="6"/>
        <v>0</v>
      </c>
      <c r="T209" s="199">
        <f t="shared" si="14"/>
        <v>32.399883813688163</v>
      </c>
      <c r="U209" s="200">
        <f t="shared" si="15"/>
        <v>-245.2355725932141</v>
      </c>
      <c r="V209" s="200">
        <f t="shared" si="7"/>
        <v>245</v>
      </c>
      <c r="Y209" s="91"/>
      <c r="Z209" s="88"/>
    </row>
    <row r="210" spans="5:26" ht="12.5" x14ac:dyDescent="0.25">
      <c r="E210" s="186">
        <f t="shared" si="8"/>
        <v>206</v>
      </c>
      <c r="F210" s="187">
        <f t="shared" si="0"/>
        <v>10.3</v>
      </c>
      <c r="G210" s="188">
        <f t="shared" si="1"/>
        <v>10.923</v>
      </c>
      <c r="H210" s="189">
        <f t="shared" si="2"/>
        <v>246.14657230296032</v>
      </c>
      <c r="I210" s="190">
        <f t="shared" si="9"/>
        <v>1.129812766870588</v>
      </c>
      <c r="J210" s="191">
        <f t="shared" si="10"/>
        <v>39.834408321167963</v>
      </c>
      <c r="K210" s="192" t="b">
        <f t="shared" si="3"/>
        <v>0</v>
      </c>
      <c r="L210" s="193">
        <f t="shared" si="11"/>
        <v>0</v>
      </c>
      <c r="M210" s="194">
        <f t="shared" si="12"/>
        <v>3.3304676212490365E-68</v>
      </c>
      <c r="N210" s="194">
        <f t="shared" si="13"/>
        <v>5.1549843517114833E-4</v>
      </c>
      <c r="O210" s="195">
        <f>IF(ABS(U210)&gt;80,$B$7, LOOKUP(V210,'Force mapping'!$B$7:$B$167,'Force mapping'!$E$7:$E$167))</f>
        <v>536</v>
      </c>
      <c r="P210" s="196">
        <f t="shared" si="4"/>
        <v>0.623</v>
      </c>
      <c r="Q210" s="191">
        <f t="shared" si="5"/>
        <v>1.1367401390953528E-4</v>
      </c>
      <c r="R210" s="197">
        <f>IF(ABS(U210)&gt;80, 0, LOOKUP(V210,'Force mapping'!$B$7:$B$167,'Force mapping'!$D$7:$D$167) * (N210/5) * SIGN(U210))</f>
        <v>0</v>
      </c>
      <c r="S210" s="198">
        <f t="shared" si="6"/>
        <v>0</v>
      </c>
      <c r="T210" s="199">
        <f t="shared" si="14"/>
        <v>32.399883813688163</v>
      </c>
      <c r="U210" s="200">
        <f t="shared" si="15"/>
        <v>-246.8555667838985</v>
      </c>
      <c r="V210" s="200">
        <f t="shared" si="7"/>
        <v>247</v>
      </c>
      <c r="Y210" s="91"/>
      <c r="Z210" s="88"/>
    </row>
    <row r="211" spans="5:26" ht="12.5" x14ac:dyDescent="0.25">
      <c r="E211" s="186">
        <f t="shared" si="8"/>
        <v>207</v>
      </c>
      <c r="F211" s="187">
        <f t="shared" si="0"/>
        <v>10.350000000000001</v>
      </c>
      <c r="G211" s="188">
        <f t="shared" si="1"/>
        <v>10.973000000000001</v>
      </c>
      <c r="H211" s="189">
        <f t="shared" si="2"/>
        <v>246.14657230296032</v>
      </c>
      <c r="I211" s="190">
        <f t="shared" si="9"/>
        <v>1.129812766870588</v>
      </c>
      <c r="J211" s="191">
        <f t="shared" si="10"/>
        <v>39.834408321167963</v>
      </c>
      <c r="K211" s="192" t="b">
        <f t="shared" si="3"/>
        <v>0</v>
      </c>
      <c r="L211" s="193">
        <f t="shared" si="11"/>
        <v>0</v>
      </c>
      <c r="M211" s="194">
        <f t="shared" si="12"/>
        <v>1.2322730198621434E-68</v>
      </c>
      <c r="N211" s="194">
        <f t="shared" si="13"/>
        <v>4.7412616910604813E-4</v>
      </c>
      <c r="O211" s="195">
        <f>IF(ABS(U211)&gt;80,$B$7, LOOKUP(V211,'Force mapping'!$B$7:$B$167,'Force mapping'!$E$7:$E$167))</f>
        <v>536</v>
      </c>
      <c r="P211" s="196">
        <f t="shared" si="4"/>
        <v>0.623</v>
      </c>
      <c r="Q211" s="191">
        <f t="shared" si="5"/>
        <v>1.0455089882851319E-4</v>
      </c>
      <c r="R211" s="197">
        <f>IF(ABS(U211)&gt;80, 0, LOOKUP(V211,'Force mapping'!$B$7:$B$167,'Force mapping'!$D$7:$D$167) * (N211/5) * SIGN(U211))</f>
        <v>0</v>
      </c>
      <c r="S211" s="198">
        <f t="shared" si="6"/>
        <v>0</v>
      </c>
      <c r="T211" s="199">
        <f t="shared" si="14"/>
        <v>32.399883813688163</v>
      </c>
      <c r="U211" s="200">
        <f t="shared" si="15"/>
        <v>-248.47556097458289</v>
      </c>
      <c r="V211" s="200">
        <f t="shared" si="7"/>
        <v>248.5</v>
      </c>
      <c r="Y211" s="91"/>
      <c r="Z211" s="88"/>
    </row>
    <row r="212" spans="5:26" ht="12.5" x14ac:dyDescent="0.25">
      <c r="E212" s="186">
        <f t="shared" si="8"/>
        <v>208</v>
      </c>
      <c r="F212" s="187">
        <f t="shared" si="0"/>
        <v>10.4</v>
      </c>
      <c r="G212" s="188">
        <f t="shared" si="1"/>
        <v>11.023</v>
      </c>
      <c r="H212" s="189">
        <f t="shared" si="2"/>
        <v>246.14657230296032</v>
      </c>
      <c r="I212" s="190">
        <f t="shared" si="9"/>
        <v>1.129812766870588</v>
      </c>
      <c r="J212" s="191">
        <f t="shared" si="10"/>
        <v>39.834408321167963</v>
      </c>
      <c r="K212" s="192" t="b">
        <f t="shared" si="3"/>
        <v>0</v>
      </c>
      <c r="L212" s="193">
        <f t="shared" si="11"/>
        <v>0</v>
      </c>
      <c r="M212" s="194">
        <f t="shared" si="12"/>
        <v>4.5594101734899303E-69</v>
      </c>
      <c r="N212" s="194">
        <f t="shared" si="13"/>
        <v>4.36074309627232E-4</v>
      </c>
      <c r="O212" s="195">
        <f>IF(ABS(U212)&gt;80,$B$7, LOOKUP(V212,'Force mapping'!$B$7:$B$167,'Force mapping'!$E$7:$E$167))</f>
        <v>536</v>
      </c>
      <c r="P212" s="196">
        <f t="shared" si="4"/>
        <v>0.623</v>
      </c>
      <c r="Q212" s="191">
        <f t="shared" si="5"/>
        <v>9.6159975969081917E-5</v>
      </c>
      <c r="R212" s="197">
        <f>IF(ABS(U212)&gt;80, 0, LOOKUP(V212,'Force mapping'!$B$7:$B$167,'Force mapping'!$D$7:$D$167) * (N212/5) * SIGN(U212))</f>
        <v>0</v>
      </c>
      <c r="S212" s="198">
        <f t="shared" si="6"/>
        <v>0</v>
      </c>
      <c r="T212" s="199">
        <f t="shared" si="14"/>
        <v>32.399883813688163</v>
      </c>
      <c r="U212" s="200">
        <f t="shared" si="15"/>
        <v>-250.09555516526729</v>
      </c>
      <c r="V212" s="200">
        <f t="shared" si="7"/>
        <v>250</v>
      </c>
      <c r="Y212" s="91"/>
      <c r="Z212" s="88"/>
    </row>
    <row r="213" spans="5:26" ht="12.5" x14ac:dyDescent="0.25">
      <c r="E213" s="186">
        <f t="shared" si="8"/>
        <v>209</v>
      </c>
      <c r="F213" s="187">
        <f t="shared" si="0"/>
        <v>10.450000000000001</v>
      </c>
      <c r="G213" s="188">
        <f t="shared" si="1"/>
        <v>11.073</v>
      </c>
      <c r="H213" s="189">
        <f t="shared" si="2"/>
        <v>246.14657230296032</v>
      </c>
      <c r="I213" s="190">
        <f t="shared" si="9"/>
        <v>1.129812766870588</v>
      </c>
      <c r="J213" s="191">
        <f t="shared" si="10"/>
        <v>39.834408321167963</v>
      </c>
      <c r="K213" s="192" t="b">
        <f t="shared" si="3"/>
        <v>0</v>
      </c>
      <c r="L213" s="193">
        <f t="shared" si="11"/>
        <v>0</v>
      </c>
      <c r="M213" s="194">
        <f t="shared" si="12"/>
        <v>1.6869817641912743E-69</v>
      </c>
      <c r="N213" s="194">
        <f t="shared" si="13"/>
        <v>4.0107637145490193E-4</v>
      </c>
      <c r="O213" s="195">
        <f>IF(ABS(U213)&gt;80,$B$7, LOOKUP(V213,'Force mapping'!$B$7:$B$167,'Force mapping'!$E$7:$E$167))</f>
        <v>536</v>
      </c>
      <c r="P213" s="196">
        <f t="shared" si="4"/>
        <v>0.623</v>
      </c>
      <c r="Q213" s="191">
        <f t="shared" si="5"/>
        <v>8.8442481910568123E-5</v>
      </c>
      <c r="R213" s="197">
        <f>IF(ABS(U213)&gt;80, 0, LOOKUP(V213,'Force mapping'!$B$7:$B$167,'Force mapping'!$D$7:$D$167) * (N213/5) * SIGN(U213))</f>
        <v>0</v>
      </c>
      <c r="S213" s="198">
        <f t="shared" si="6"/>
        <v>0</v>
      </c>
      <c r="T213" s="199">
        <f t="shared" si="14"/>
        <v>32.399883813688163</v>
      </c>
      <c r="U213" s="200">
        <f t="shared" si="15"/>
        <v>-251.71554935595168</v>
      </c>
      <c r="V213" s="200">
        <f t="shared" si="7"/>
        <v>251.5</v>
      </c>
      <c r="Y213" s="91"/>
      <c r="Z213" s="88"/>
    </row>
    <row r="214" spans="5:26" ht="12.5" x14ac:dyDescent="0.25">
      <c r="E214" s="186">
        <f t="shared" si="8"/>
        <v>210</v>
      </c>
      <c r="F214" s="187">
        <f t="shared" si="0"/>
        <v>10.5</v>
      </c>
      <c r="G214" s="188">
        <f t="shared" si="1"/>
        <v>11.122999999999999</v>
      </c>
      <c r="H214" s="189">
        <f t="shared" si="2"/>
        <v>246.14657230296032</v>
      </c>
      <c r="I214" s="190">
        <f t="shared" si="9"/>
        <v>1.129812766870588</v>
      </c>
      <c r="J214" s="191">
        <f t="shared" si="10"/>
        <v>39.834408321167963</v>
      </c>
      <c r="K214" s="192" t="b">
        <f t="shared" si="3"/>
        <v>0</v>
      </c>
      <c r="L214" s="193">
        <f t="shared" si="11"/>
        <v>0</v>
      </c>
      <c r="M214" s="194">
        <f t="shared" si="12"/>
        <v>6.2418325275077149E-70</v>
      </c>
      <c r="N214" s="194">
        <f t="shared" si="13"/>
        <v>3.6888725657088089E-4</v>
      </c>
      <c r="O214" s="195">
        <f>IF(ABS(U214)&gt;80,$B$7, LOOKUP(V214,'Force mapping'!$B$7:$B$167,'Force mapping'!$E$7:$E$167))</f>
        <v>536</v>
      </c>
      <c r="P214" s="196">
        <f t="shared" si="4"/>
        <v>0.623</v>
      </c>
      <c r="Q214" s="191">
        <f t="shared" si="5"/>
        <v>8.1344369397681429E-5</v>
      </c>
      <c r="R214" s="197">
        <f>IF(ABS(U214)&gt;80, 0, LOOKUP(V214,'Force mapping'!$B$7:$B$167,'Force mapping'!$D$7:$D$167) * (N214/5) * SIGN(U214))</f>
        <v>0</v>
      </c>
      <c r="S214" s="198">
        <f t="shared" si="6"/>
        <v>0</v>
      </c>
      <c r="T214" s="199">
        <f t="shared" si="14"/>
        <v>32.399883813688163</v>
      </c>
      <c r="U214" s="200">
        <f t="shared" si="15"/>
        <v>-253.33554354663607</v>
      </c>
      <c r="V214" s="200">
        <f t="shared" si="7"/>
        <v>253.5</v>
      </c>
      <c r="Y214" s="91"/>
      <c r="Z214" s="88"/>
    </row>
    <row r="215" spans="5:26" ht="12.5" x14ac:dyDescent="0.25">
      <c r="E215" s="186">
        <f t="shared" si="8"/>
        <v>211</v>
      </c>
      <c r="F215" s="187">
        <f t="shared" si="0"/>
        <v>10.55</v>
      </c>
      <c r="G215" s="188">
        <f t="shared" si="1"/>
        <v>11.173</v>
      </c>
      <c r="H215" s="189">
        <f t="shared" si="2"/>
        <v>246.14657230296032</v>
      </c>
      <c r="I215" s="190">
        <f t="shared" si="9"/>
        <v>1.129812766870588</v>
      </c>
      <c r="J215" s="191">
        <f t="shared" si="10"/>
        <v>39.834408321167963</v>
      </c>
      <c r="K215" s="192" t="b">
        <f t="shared" si="3"/>
        <v>0</v>
      </c>
      <c r="L215" s="193">
        <f t="shared" si="11"/>
        <v>0</v>
      </c>
      <c r="M215" s="194">
        <f t="shared" si="12"/>
        <v>2.3094780351778547E-70</v>
      </c>
      <c r="N215" s="194">
        <f t="shared" si="13"/>
        <v>3.3928153774496746E-4</v>
      </c>
      <c r="O215" s="195">
        <f>IF(ABS(U215)&gt;80,$B$7, LOOKUP(V215,'Force mapping'!$B$7:$B$167,'Force mapping'!$E$7:$E$167))</f>
        <v>536</v>
      </c>
      <c r="P215" s="196">
        <f t="shared" si="4"/>
        <v>0.623</v>
      </c>
      <c r="Q215" s="191">
        <f t="shared" si="5"/>
        <v>7.4815928836069738E-5</v>
      </c>
      <c r="R215" s="197">
        <f>IF(ABS(U215)&gt;80, 0, LOOKUP(V215,'Force mapping'!$B$7:$B$167,'Force mapping'!$D$7:$D$167) * (N215/5) * SIGN(U215))</f>
        <v>0</v>
      </c>
      <c r="S215" s="198">
        <f t="shared" si="6"/>
        <v>0</v>
      </c>
      <c r="T215" s="199">
        <f t="shared" si="14"/>
        <v>32.399883813688163</v>
      </c>
      <c r="U215" s="200">
        <f t="shared" si="15"/>
        <v>-254.95553773732047</v>
      </c>
      <c r="V215" s="200">
        <f t="shared" si="7"/>
        <v>255</v>
      </c>
      <c r="Y215" s="91"/>
      <c r="Z215" s="88"/>
    </row>
    <row r="216" spans="5:26" ht="12.5" x14ac:dyDescent="0.25">
      <c r="E216" s="186">
        <f t="shared" si="8"/>
        <v>212</v>
      </c>
      <c r="F216" s="187">
        <f t="shared" si="0"/>
        <v>10.600000000000001</v>
      </c>
      <c r="G216" s="188">
        <f t="shared" si="1"/>
        <v>11.223000000000001</v>
      </c>
      <c r="H216" s="189">
        <f t="shared" si="2"/>
        <v>246.14657230296032</v>
      </c>
      <c r="I216" s="190">
        <f t="shared" si="9"/>
        <v>1.129812766870588</v>
      </c>
      <c r="J216" s="191">
        <f t="shared" si="10"/>
        <v>39.834408321167963</v>
      </c>
      <c r="K216" s="192" t="b">
        <f t="shared" si="3"/>
        <v>0</v>
      </c>
      <c r="L216" s="193">
        <f t="shared" si="11"/>
        <v>0</v>
      </c>
      <c r="M216" s="194">
        <f t="shared" si="12"/>
        <v>8.5450687301580628E-71</v>
      </c>
      <c r="N216" s="194">
        <f t="shared" si="13"/>
        <v>3.1205187982001018E-4</v>
      </c>
      <c r="O216" s="195">
        <f>IF(ABS(U216)&gt;80,$B$7, LOOKUP(V216,'Force mapping'!$B$7:$B$167,'Force mapping'!$E$7:$E$167))</f>
        <v>536</v>
      </c>
      <c r="P216" s="196">
        <f t="shared" si="4"/>
        <v>0.623</v>
      </c>
      <c r="Q216" s="191">
        <f t="shared" si="5"/>
        <v>6.8811440165438144E-5</v>
      </c>
      <c r="R216" s="197">
        <f>IF(ABS(U216)&gt;80, 0, LOOKUP(V216,'Force mapping'!$B$7:$B$167,'Force mapping'!$D$7:$D$167) * (N216/5) * SIGN(U216))</f>
        <v>0</v>
      </c>
      <c r="S216" s="198">
        <f t="shared" si="6"/>
        <v>0</v>
      </c>
      <c r="T216" s="199">
        <f t="shared" si="14"/>
        <v>32.399883813688163</v>
      </c>
      <c r="U216" s="200">
        <f t="shared" si="15"/>
        <v>-256.57553192800486</v>
      </c>
      <c r="V216" s="200">
        <f t="shared" si="7"/>
        <v>256.5</v>
      </c>
      <c r="Y216" s="91"/>
      <c r="Z216" s="88"/>
    </row>
    <row r="217" spans="5:26" ht="12.5" x14ac:dyDescent="0.25">
      <c r="E217" s="186">
        <f t="shared" si="8"/>
        <v>213</v>
      </c>
      <c r="F217" s="187">
        <f t="shared" si="0"/>
        <v>10.65</v>
      </c>
      <c r="G217" s="188">
        <f t="shared" si="1"/>
        <v>11.273</v>
      </c>
      <c r="H217" s="189">
        <f t="shared" si="2"/>
        <v>246.14657230296032</v>
      </c>
      <c r="I217" s="190">
        <f t="shared" si="9"/>
        <v>1.129812766870588</v>
      </c>
      <c r="J217" s="191">
        <f t="shared" si="10"/>
        <v>39.834408321167963</v>
      </c>
      <c r="K217" s="192" t="b">
        <f t="shared" si="3"/>
        <v>0</v>
      </c>
      <c r="L217" s="193">
        <f t="shared" si="11"/>
        <v>0</v>
      </c>
      <c r="M217" s="194">
        <f t="shared" si="12"/>
        <v>3.1616754301584832E-71</v>
      </c>
      <c r="N217" s="194">
        <f t="shared" si="13"/>
        <v>2.8700758769962409E-4</v>
      </c>
      <c r="O217" s="195">
        <f>IF(ABS(U217)&gt;80,$B$7, LOOKUP(V217,'Force mapping'!$B$7:$B$167,'Force mapping'!$E$7:$E$167))</f>
        <v>536</v>
      </c>
      <c r="P217" s="196">
        <f t="shared" si="4"/>
        <v>0.623</v>
      </c>
      <c r="Q217" s="191">
        <f t="shared" si="5"/>
        <v>6.32888526722248E-5</v>
      </c>
      <c r="R217" s="197">
        <f>IF(ABS(U217)&gt;80, 0, LOOKUP(V217,'Force mapping'!$B$7:$B$167,'Force mapping'!$D$7:$D$167) * (N217/5) * SIGN(U217))</f>
        <v>0</v>
      </c>
      <c r="S217" s="198">
        <f t="shared" si="6"/>
        <v>0</v>
      </c>
      <c r="T217" s="199">
        <f t="shared" si="14"/>
        <v>32.399883813688163</v>
      </c>
      <c r="U217" s="200">
        <f t="shared" si="15"/>
        <v>-258.19552611868926</v>
      </c>
      <c r="V217" s="200">
        <f t="shared" si="7"/>
        <v>258</v>
      </c>
      <c r="Y217" s="91"/>
      <c r="Z217" s="88"/>
    </row>
    <row r="218" spans="5:26" ht="12.5" x14ac:dyDescent="0.25">
      <c r="E218" s="186">
        <f t="shared" si="8"/>
        <v>214</v>
      </c>
      <c r="F218" s="187">
        <f t="shared" si="0"/>
        <v>10.700000000000001</v>
      </c>
      <c r="G218" s="188">
        <f t="shared" si="1"/>
        <v>11.323</v>
      </c>
      <c r="H218" s="189">
        <f t="shared" si="2"/>
        <v>246.14657230296032</v>
      </c>
      <c r="I218" s="190">
        <f t="shared" si="9"/>
        <v>1.129812766870588</v>
      </c>
      <c r="J218" s="191">
        <f t="shared" si="10"/>
        <v>39.834408321167963</v>
      </c>
      <c r="K218" s="192" t="b">
        <f t="shared" si="3"/>
        <v>0</v>
      </c>
      <c r="L218" s="193">
        <f t="shared" si="11"/>
        <v>0</v>
      </c>
      <c r="M218" s="194">
        <f t="shared" si="12"/>
        <v>1.1698199091586387E-71</v>
      </c>
      <c r="N218" s="194">
        <f t="shared" si="13"/>
        <v>2.6397327086979868E-4</v>
      </c>
      <c r="O218" s="195">
        <f>IF(ABS(U218)&gt;80,$B$7, LOOKUP(V218,'Force mapping'!$B$7:$B$167,'Force mapping'!$E$7:$E$167))</f>
        <v>536</v>
      </c>
      <c r="P218" s="196">
        <f t="shared" si="4"/>
        <v>0.623</v>
      </c>
      <c r="Q218" s="191">
        <f t="shared" si="5"/>
        <v>5.8209490499494074E-5</v>
      </c>
      <c r="R218" s="197">
        <f>IF(ABS(U218)&gt;80, 0, LOOKUP(V218,'Force mapping'!$B$7:$B$167,'Force mapping'!$D$7:$D$167) * (N218/5) * SIGN(U218))</f>
        <v>0</v>
      </c>
      <c r="S218" s="198">
        <f t="shared" si="6"/>
        <v>0</v>
      </c>
      <c r="T218" s="199">
        <f t="shared" si="14"/>
        <v>32.399883813688163</v>
      </c>
      <c r="U218" s="200">
        <f t="shared" si="15"/>
        <v>-259.81552030937365</v>
      </c>
      <c r="V218" s="200">
        <f t="shared" si="7"/>
        <v>260</v>
      </c>
      <c r="Y218" s="91"/>
      <c r="Z218" s="88"/>
    </row>
    <row r="219" spans="5:26" ht="12.5" x14ac:dyDescent="0.25">
      <c r="E219" s="186">
        <f t="shared" si="8"/>
        <v>215</v>
      </c>
      <c r="F219" s="187">
        <f t="shared" si="0"/>
        <v>10.75</v>
      </c>
      <c r="G219" s="188">
        <f t="shared" si="1"/>
        <v>11.372999999999999</v>
      </c>
      <c r="H219" s="189">
        <f t="shared" si="2"/>
        <v>246.14657230296032</v>
      </c>
      <c r="I219" s="190">
        <f t="shared" si="9"/>
        <v>1.129812766870588</v>
      </c>
      <c r="J219" s="191">
        <f t="shared" si="10"/>
        <v>39.834408321167963</v>
      </c>
      <c r="K219" s="192" t="b">
        <f t="shared" si="3"/>
        <v>0</v>
      </c>
      <c r="L219" s="193">
        <f t="shared" si="11"/>
        <v>0</v>
      </c>
      <c r="M219" s="194">
        <f t="shared" si="12"/>
        <v>4.3283336638869628E-72</v>
      </c>
      <c r="N219" s="194">
        <f t="shared" si="13"/>
        <v>2.4278761510175702E-4</v>
      </c>
      <c r="O219" s="195">
        <f>IF(ABS(U219)&gt;80,$B$7, LOOKUP(V219,'Force mapping'!$B$7:$B$167,'Force mapping'!$E$7:$E$167))</f>
        <v>536</v>
      </c>
      <c r="P219" s="196">
        <f t="shared" si="4"/>
        <v>0.623</v>
      </c>
      <c r="Q219" s="191">
        <f t="shared" si="5"/>
        <v>5.3537781791669494E-5</v>
      </c>
      <c r="R219" s="197">
        <f>IF(ABS(U219)&gt;80, 0, LOOKUP(V219,'Force mapping'!$B$7:$B$167,'Force mapping'!$D$7:$D$167) * (N219/5) * SIGN(U219))</f>
        <v>0</v>
      </c>
      <c r="S219" s="198">
        <f t="shared" si="6"/>
        <v>0</v>
      </c>
      <c r="T219" s="199">
        <f t="shared" si="14"/>
        <v>32.399883813688163</v>
      </c>
      <c r="U219" s="200">
        <f t="shared" si="15"/>
        <v>-261.43551450005805</v>
      </c>
      <c r="V219" s="200">
        <f t="shared" si="7"/>
        <v>261.5</v>
      </c>
      <c r="Y219" s="91"/>
      <c r="Z219" s="88"/>
    </row>
    <row r="220" spans="5:26" ht="12.5" x14ac:dyDescent="0.25">
      <c r="E220" s="186">
        <f t="shared" si="8"/>
        <v>216</v>
      </c>
      <c r="F220" s="187">
        <f t="shared" si="0"/>
        <v>10.8</v>
      </c>
      <c r="G220" s="188">
        <f t="shared" si="1"/>
        <v>11.423</v>
      </c>
      <c r="H220" s="189">
        <f t="shared" si="2"/>
        <v>246.14657230296032</v>
      </c>
      <c r="I220" s="190">
        <f t="shared" si="9"/>
        <v>1.129812766870588</v>
      </c>
      <c r="J220" s="191">
        <f t="shared" si="10"/>
        <v>39.834408321167963</v>
      </c>
      <c r="K220" s="192" t="b">
        <f t="shared" si="3"/>
        <v>0</v>
      </c>
      <c r="L220" s="193">
        <f t="shared" si="11"/>
        <v>0</v>
      </c>
      <c r="M220" s="194">
        <f t="shared" si="12"/>
        <v>1.6014834556381762E-72</v>
      </c>
      <c r="N220" s="194">
        <f t="shared" si="13"/>
        <v>2.2330225273403973E-4</v>
      </c>
      <c r="O220" s="195">
        <f>IF(ABS(U220)&gt;80,$B$7, LOOKUP(V220,'Force mapping'!$B$7:$B$167,'Force mapping'!$E$7:$E$167))</f>
        <v>536</v>
      </c>
      <c r="P220" s="196">
        <f t="shared" si="4"/>
        <v>0.623</v>
      </c>
      <c r="Q220" s="191">
        <f t="shared" si="5"/>
        <v>4.9241009577249785E-5</v>
      </c>
      <c r="R220" s="197">
        <f>IF(ABS(U220)&gt;80, 0, LOOKUP(V220,'Force mapping'!$B$7:$B$167,'Force mapping'!$D$7:$D$167) * (N220/5) * SIGN(U220))</f>
        <v>0</v>
      </c>
      <c r="S220" s="198">
        <f t="shared" si="6"/>
        <v>0</v>
      </c>
      <c r="T220" s="199">
        <f t="shared" si="14"/>
        <v>32.399883813688163</v>
      </c>
      <c r="U220" s="200">
        <f t="shared" si="15"/>
        <v>-263.05550869074244</v>
      </c>
      <c r="V220" s="200">
        <f t="shared" si="7"/>
        <v>263</v>
      </c>
      <c r="Y220" s="91"/>
      <c r="Z220" s="88"/>
    </row>
    <row r="221" spans="5:26" ht="12.5" x14ac:dyDescent="0.25">
      <c r="E221" s="186">
        <f t="shared" si="8"/>
        <v>217</v>
      </c>
      <c r="F221" s="187">
        <f t="shared" si="0"/>
        <v>10.850000000000001</v>
      </c>
      <c r="G221" s="188">
        <f t="shared" si="1"/>
        <v>11.473000000000001</v>
      </c>
      <c r="H221" s="189">
        <f t="shared" si="2"/>
        <v>246.14657230296032</v>
      </c>
      <c r="I221" s="190">
        <f t="shared" si="9"/>
        <v>1.129812766870588</v>
      </c>
      <c r="J221" s="191">
        <f t="shared" si="10"/>
        <v>39.834408321167963</v>
      </c>
      <c r="K221" s="192" t="b">
        <f t="shared" si="3"/>
        <v>0</v>
      </c>
      <c r="L221" s="193">
        <f t="shared" si="11"/>
        <v>0</v>
      </c>
      <c r="M221" s="194">
        <f t="shared" si="12"/>
        <v>5.9254887858612519E-73</v>
      </c>
      <c r="N221" s="194">
        <f t="shared" si="13"/>
        <v>2.0538072362215852E-4</v>
      </c>
      <c r="O221" s="195">
        <f>IF(ABS(U221)&gt;80,$B$7, LOOKUP(V221,'Force mapping'!$B$7:$B$167,'Force mapping'!$E$7:$E$167))</f>
        <v>536</v>
      </c>
      <c r="P221" s="196">
        <f t="shared" si="4"/>
        <v>0.623</v>
      </c>
      <c r="Q221" s="191">
        <f t="shared" si="5"/>
        <v>4.5289082644886234E-5</v>
      </c>
      <c r="R221" s="197">
        <f>IF(ABS(U221)&gt;80, 0, LOOKUP(V221,'Force mapping'!$B$7:$B$167,'Force mapping'!$D$7:$D$167) * (N221/5) * SIGN(U221))</f>
        <v>0</v>
      </c>
      <c r="S221" s="198">
        <f t="shared" si="6"/>
        <v>0</v>
      </c>
      <c r="T221" s="199">
        <f t="shared" si="14"/>
        <v>32.399883813688163</v>
      </c>
      <c r="U221" s="200">
        <f t="shared" si="15"/>
        <v>-264.67550288142684</v>
      </c>
      <c r="V221" s="200">
        <f t="shared" si="7"/>
        <v>264.5</v>
      </c>
      <c r="Y221" s="91"/>
      <c r="Z221" s="88"/>
    </row>
    <row r="222" spans="5:26" ht="12.5" x14ac:dyDescent="0.25">
      <c r="E222" s="186">
        <f t="shared" si="8"/>
        <v>218</v>
      </c>
      <c r="F222" s="187">
        <f t="shared" si="0"/>
        <v>10.9</v>
      </c>
      <c r="G222" s="188">
        <f t="shared" si="1"/>
        <v>11.523</v>
      </c>
      <c r="H222" s="189">
        <f t="shared" si="2"/>
        <v>246.14657230296032</v>
      </c>
      <c r="I222" s="190">
        <f t="shared" si="9"/>
        <v>1.129812766870588</v>
      </c>
      <c r="J222" s="191">
        <f t="shared" si="10"/>
        <v>39.834408321167963</v>
      </c>
      <c r="K222" s="192" t="b">
        <f t="shared" si="3"/>
        <v>0</v>
      </c>
      <c r="L222" s="193">
        <f t="shared" si="11"/>
        <v>0</v>
      </c>
      <c r="M222" s="194">
        <f t="shared" si="12"/>
        <v>2.192430850768663E-73</v>
      </c>
      <c r="N222" s="194">
        <f t="shared" si="13"/>
        <v>1.8889751947912813E-4</v>
      </c>
      <c r="O222" s="195">
        <f>IF(ABS(U222)&gt;80,$B$7, LOOKUP(V222,'Force mapping'!$B$7:$B$167,'Force mapping'!$E$7:$E$167))</f>
        <v>536</v>
      </c>
      <c r="P222" s="196">
        <f t="shared" si="4"/>
        <v>0.623</v>
      </c>
      <c r="Q222" s="191">
        <f t="shared" si="5"/>
        <v>4.1654324808217999E-5</v>
      </c>
      <c r="R222" s="197">
        <f>IF(ABS(U222)&gt;80, 0, LOOKUP(V222,'Force mapping'!$B$7:$B$167,'Force mapping'!$D$7:$D$167) * (N222/5) * SIGN(U222))</f>
        <v>0</v>
      </c>
      <c r="S222" s="198">
        <f t="shared" si="6"/>
        <v>0</v>
      </c>
      <c r="T222" s="199">
        <f t="shared" si="14"/>
        <v>32.399883813688163</v>
      </c>
      <c r="U222" s="200">
        <f t="shared" si="15"/>
        <v>-266.29549707211123</v>
      </c>
      <c r="V222" s="200">
        <f t="shared" si="7"/>
        <v>266.5</v>
      </c>
      <c r="Y222" s="91"/>
      <c r="Z222" s="88"/>
    </row>
    <row r="223" spans="5:26" ht="12.5" x14ac:dyDescent="0.25">
      <c r="E223" s="186">
        <f t="shared" si="8"/>
        <v>219</v>
      </c>
      <c r="F223" s="187">
        <f t="shared" si="0"/>
        <v>10.950000000000001</v>
      </c>
      <c r="G223" s="188">
        <f t="shared" si="1"/>
        <v>11.573</v>
      </c>
      <c r="H223" s="189">
        <f t="shared" si="2"/>
        <v>246.14657230296032</v>
      </c>
      <c r="I223" s="190">
        <f t="shared" si="9"/>
        <v>1.129812766870588</v>
      </c>
      <c r="J223" s="191">
        <f t="shared" si="10"/>
        <v>39.834408321167963</v>
      </c>
      <c r="K223" s="192" t="b">
        <f t="shared" si="3"/>
        <v>0</v>
      </c>
      <c r="L223" s="193">
        <f t="shared" si="11"/>
        <v>0</v>
      </c>
      <c r="M223" s="194">
        <f t="shared" si="12"/>
        <v>8.1119941478440534E-74</v>
      </c>
      <c r="N223" s="194">
        <f t="shared" si="13"/>
        <v>1.7373720491419006E-4</v>
      </c>
      <c r="O223" s="195">
        <f>IF(ABS(U223)&gt;80,$B$7, LOOKUP(V223,'Force mapping'!$B$7:$B$167,'Force mapping'!$E$7:$E$167))</f>
        <v>536</v>
      </c>
      <c r="P223" s="196">
        <f t="shared" si="4"/>
        <v>0.623</v>
      </c>
      <c r="Q223" s="191">
        <f t="shared" si="5"/>
        <v>3.831128108364191E-5</v>
      </c>
      <c r="R223" s="197">
        <f>IF(ABS(U223)&gt;80, 0, LOOKUP(V223,'Force mapping'!$B$7:$B$167,'Force mapping'!$D$7:$D$167) * (N223/5) * SIGN(U223))</f>
        <v>0</v>
      </c>
      <c r="S223" s="198">
        <f t="shared" si="6"/>
        <v>0</v>
      </c>
      <c r="T223" s="199">
        <f t="shared" si="14"/>
        <v>32.399883813688163</v>
      </c>
      <c r="U223" s="200">
        <f t="shared" si="15"/>
        <v>-267.91549126279563</v>
      </c>
      <c r="V223" s="200">
        <f t="shared" si="7"/>
        <v>268</v>
      </c>
      <c r="Y223" s="91"/>
      <c r="Z223" s="88"/>
    </row>
    <row r="224" spans="5:26" ht="12.5" x14ac:dyDescent="0.25">
      <c r="E224" s="186">
        <f t="shared" si="8"/>
        <v>220</v>
      </c>
      <c r="F224" s="187">
        <f t="shared" si="0"/>
        <v>11</v>
      </c>
      <c r="G224" s="188">
        <f t="shared" si="1"/>
        <v>11.622999999999999</v>
      </c>
      <c r="H224" s="189">
        <f t="shared" si="2"/>
        <v>246.14657230296032</v>
      </c>
      <c r="I224" s="190">
        <f t="shared" si="9"/>
        <v>1.129812766870588</v>
      </c>
      <c r="J224" s="191">
        <f t="shared" si="10"/>
        <v>39.834408321167963</v>
      </c>
      <c r="K224" s="192" t="b">
        <f t="shared" si="3"/>
        <v>0</v>
      </c>
      <c r="L224" s="193">
        <f t="shared" si="11"/>
        <v>0</v>
      </c>
      <c r="M224" s="194">
        <f t="shared" si="12"/>
        <v>3.0014378347023E-74</v>
      </c>
      <c r="N224" s="194">
        <f t="shared" si="13"/>
        <v>1.5979360901417479E-4</v>
      </c>
      <c r="O224" s="195">
        <f>IF(ABS(U224)&gt;80,$B$7, LOOKUP(V224,'Force mapping'!$B$7:$B$167,'Force mapping'!$E$7:$E$167))</f>
        <v>536</v>
      </c>
      <c r="P224" s="196">
        <f t="shared" si="4"/>
        <v>0.623</v>
      </c>
      <c r="Q224" s="191">
        <f t="shared" si="5"/>
        <v>3.5236539423638542E-5</v>
      </c>
      <c r="R224" s="197">
        <f>IF(ABS(U224)&gt;80, 0, LOOKUP(V224,'Force mapping'!$B$7:$B$167,'Force mapping'!$D$7:$D$167) * (N224/5) * SIGN(U224))</f>
        <v>0</v>
      </c>
      <c r="S224" s="198">
        <f t="shared" si="6"/>
        <v>0</v>
      </c>
      <c r="T224" s="199">
        <f t="shared" si="14"/>
        <v>32.399883813688163</v>
      </c>
      <c r="U224" s="200">
        <f t="shared" si="15"/>
        <v>-269.53548545348002</v>
      </c>
      <c r="V224" s="200">
        <f t="shared" si="7"/>
        <v>269.5</v>
      </c>
      <c r="Y224" s="91"/>
      <c r="Z224" s="88"/>
    </row>
    <row r="225" spans="5:26" ht="12.5" x14ac:dyDescent="0.25">
      <c r="E225" s="186">
        <f t="shared" si="8"/>
        <v>221</v>
      </c>
      <c r="F225" s="187">
        <f t="shared" si="0"/>
        <v>11.05</v>
      </c>
      <c r="G225" s="188">
        <f t="shared" si="1"/>
        <v>11.673</v>
      </c>
      <c r="H225" s="189">
        <f t="shared" si="2"/>
        <v>246.14657230296032</v>
      </c>
      <c r="I225" s="190">
        <f t="shared" si="9"/>
        <v>1.129812766870588</v>
      </c>
      <c r="J225" s="191">
        <f t="shared" si="10"/>
        <v>39.834408321167963</v>
      </c>
      <c r="K225" s="192" t="b">
        <f t="shared" si="3"/>
        <v>0</v>
      </c>
      <c r="L225" s="193">
        <f t="shared" si="11"/>
        <v>0</v>
      </c>
      <c r="M225" s="194">
        <f t="shared" si="12"/>
        <v>1.1105319988398509E-74</v>
      </c>
      <c r="N225" s="194">
        <f t="shared" si="13"/>
        <v>1.4696908180597456E-4</v>
      </c>
      <c r="O225" s="195">
        <f>IF(ABS(U225)&gt;80,$B$7, LOOKUP(V225,'Force mapping'!$B$7:$B$167,'Force mapping'!$E$7:$E$167))</f>
        <v>536</v>
      </c>
      <c r="P225" s="196">
        <f t="shared" si="4"/>
        <v>0.623</v>
      </c>
      <c r="Q225" s="191">
        <f t="shared" si="5"/>
        <v>3.2408566757214902E-5</v>
      </c>
      <c r="R225" s="197">
        <f>IF(ABS(U225)&gt;80, 0, LOOKUP(V225,'Force mapping'!$B$7:$B$167,'Force mapping'!$D$7:$D$167) * (N225/5) * SIGN(U225))</f>
        <v>0</v>
      </c>
      <c r="S225" s="198">
        <f t="shared" si="6"/>
        <v>0</v>
      </c>
      <c r="T225" s="199">
        <f t="shared" si="14"/>
        <v>32.399883813688163</v>
      </c>
      <c r="U225" s="200">
        <f t="shared" si="15"/>
        <v>-271.15547964416442</v>
      </c>
      <c r="V225" s="200">
        <f t="shared" si="7"/>
        <v>271</v>
      </c>
      <c r="Y225" s="91"/>
      <c r="Z225" s="88"/>
    </row>
    <row r="226" spans="5:26" ht="12.5" x14ac:dyDescent="0.25">
      <c r="E226" s="186">
        <f t="shared" si="8"/>
        <v>222</v>
      </c>
      <c r="F226" s="187">
        <f t="shared" si="0"/>
        <v>11.100000000000001</v>
      </c>
      <c r="G226" s="188">
        <f t="shared" si="1"/>
        <v>11.723000000000001</v>
      </c>
      <c r="H226" s="189">
        <f t="shared" si="2"/>
        <v>246.14657230296032</v>
      </c>
      <c r="I226" s="190">
        <f t="shared" si="9"/>
        <v>1.129812766870588</v>
      </c>
      <c r="J226" s="191">
        <f t="shared" si="10"/>
        <v>39.834408321167963</v>
      </c>
      <c r="K226" s="192" t="b">
        <f t="shared" si="3"/>
        <v>0</v>
      </c>
      <c r="L226" s="193">
        <f t="shared" si="11"/>
        <v>0</v>
      </c>
      <c r="M226" s="194">
        <f t="shared" si="12"/>
        <v>4.1089683957074479E-75</v>
      </c>
      <c r="N226" s="194">
        <f t="shared" si="13"/>
        <v>1.3517381039297499E-4</v>
      </c>
      <c r="O226" s="195">
        <f>IF(ABS(U226)&gt;80,$B$7, LOOKUP(V226,'Force mapping'!$B$7:$B$167,'Force mapping'!$E$7:$E$167))</f>
        <v>536</v>
      </c>
      <c r="P226" s="196">
        <f t="shared" si="4"/>
        <v>0.623</v>
      </c>
      <c r="Q226" s="191">
        <f t="shared" si="5"/>
        <v>2.9807558189220124E-5</v>
      </c>
      <c r="R226" s="197">
        <f>IF(ABS(U226)&gt;80, 0, LOOKUP(V226,'Force mapping'!$B$7:$B$167,'Force mapping'!$D$7:$D$167) * (N226/5) * SIGN(U226))</f>
        <v>0</v>
      </c>
      <c r="S226" s="198">
        <f t="shared" si="6"/>
        <v>0</v>
      </c>
      <c r="T226" s="199">
        <f t="shared" si="14"/>
        <v>32.399883813688163</v>
      </c>
      <c r="U226" s="200">
        <f t="shared" si="15"/>
        <v>-272.77547383484881</v>
      </c>
      <c r="V226" s="200">
        <f t="shared" si="7"/>
        <v>273</v>
      </c>
      <c r="Y226" s="91"/>
      <c r="Z226" s="88"/>
    </row>
    <row r="227" spans="5:26" ht="12.5" x14ac:dyDescent="0.25">
      <c r="E227" s="186">
        <f t="shared" si="8"/>
        <v>223</v>
      </c>
      <c r="F227" s="187">
        <f t="shared" si="0"/>
        <v>11.15</v>
      </c>
      <c r="G227" s="188">
        <f t="shared" si="1"/>
        <v>11.773</v>
      </c>
      <c r="H227" s="189">
        <f t="shared" si="2"/>
        <v>246.14657230296032</v>
      </c>
      <c r="I227" s="190">
        <f t="shared" si="9"/>
        <v>1.129812766870588</v>
      </c>
      <c r="J227" s="191">
        <f t="shared" si="10"/>
        <v>39.834408321167963</v>
      </c>
      <c r="K227" s="192" t="b">
        <f t="shared" si="3"/>
        <v>0</v>
      </c>
      <c r="L227" s="193">
        <f t="shared" si="11"/>
        <v>0</v>
      </c>
      <c r="M227" s="194">
        <f t="shared" si="12"/>
        <v>1.5203183064117556E-75</v>
      </c>
      <c r="N227" s="194">
        <f t="shared" si="13"/>
        <v>1.2432518997620331E-4</v>
      </c>
      <c r="O227" s="195">
        <f>IF(ABS(U227)&gt;80,$B$7, LOOKUP(V227,'Force mapping'!$B$7:$B$167,'Force mapping'!$E$7:$E$167))</f>
        <v>536</v>
      </c>
      <c r="P227" s="196">
        <f t="shared" si="4"/>
        <v>0.623</v>
      </c>
      <c r="Q227" s="191">
        <f t="shared" si="5"/>
        <v>2.7415298302444829E-5</v>
      </c>
      <c r="R227" s="197">
        <f>IF(ABS(U227)&gt;80, 0, LOOKUP(V227,'Force mapping'!$B$7:$B$167,'Force mapping'!$D$7:$D$167) * (N227/5) * SIGN(U227))</f>
        <v>0</v>
      </c>
      <c r="S227" s="198">
        <f t="shared" si="6"/>
        <v>0</v>
      </c>
      <c r="T227" s="199">
        <f t="shared" si="14"/>
        <v>32.399883813688163</v>
      </c>
      <c r="U227" s="200">
        <f t="shared" si="15"/>
        <v>-274.39546802553321</v>
      </c>
      <c r="V227" s="200">
        <f t="shared" si="7"/>
        <v>274.5</v>
      </c>
      <c r="Y227" s="91"/>
      <c r="Z227" s="88"/>
    </row>
    <row r="228" spans="5:26" ht="12.5" x14ac:dyDescent="0.25">
      <c r="E228" s="186">
        <f t="shared" si="8"/>
        <v>224</v>
      </c>
      <c r="F228" s="187">
        <f t="shared" si="0"/>
        <v>11.200000000000001</v>
      </c>
      <c r="G228" s="188">
        <f t="shared" si="1"/>
        <v>11.823</v>
      </c>
      <c r="H228" s="189">
        <f t="shared" si="2"/>
        <v>246.14657230296032</v>
      </c>
      <c r="I228" s="190">
        <f t="shared" si="9"/>
        <v>1.129812766870588</v>
      </c>
      <c r="J228" s="191">
        <f t="shared" si="10"/>
        <v>39.834408321167963</v>
      </c>
      <c r="K228" s="192" t="b">
        <f t="shared" si="3"/>
        <v>0</v>
      </c>
      <c r="L228" s="193">
        <f t="shared" si="11"/>
        <v>0</v>
      </c>
      <c r="M228" s="194">
        <f t="shared" si="12"/>
        <v>5.6251777337234955E-76</v>
      </c>
      <c r="N228" s="194">
        <f t="shared" si="13"/>
        <v>1.143472453553202E-4</v>
      </c>
      <c r="O228" s="195">
        <f>IF(ABS(U228)&gt;80,$B$7, LOOKUP(V228,'Force mapping'!$B$7:$B$167,'Force mapping'!$E$7:$E$167))</f>
        <v>536</v>
      </c>
      <c r="P228" s="196">
        <f t="shared" si="4"/>
        <v>0.623</v>
      </c>
      <c r="Q228" s="191">
        <f t="shared" si="5"/>
        <v>2.5215033591173176E-5</v>
      </c>
      <c r="R228" s="197">
        <f>IF(ABS(U228)&gt;80, 0, LOOKUP(V228,'Force mapping'!$B$7:$B$167,'Force mapping'!$D$7:$D$167) * (N228/5) * SIGN(U228))</f>
        <v>0</v>
      </c>
      <c r="S228" s="198">
        <f t="shared" si="6"/>
        <v>0</v>
      </c>
      <c r="T228" s="199">
        <f t="shared" si="14"/>
        <v>32.399883813688163</v>
      </c>
      <c r="U228" s="200">
        <f t="shared" si="15"/>
        <v>-276.0154622162176</v>
      </c>
      <c r="V228" s="200">
        <f t="shared" si="7"/>
        <v>276</v>
      </c>
      <c r="Y228" s="91"/>
      <c r="Z228" s="88"/>
    </row>
    <row r="229" spans="5:26" ht="12.5" x14ac:dyDescent="0.25">
      <c r="E229" s="186">
        <f t="shared" si="8"/>
        <v>225</v>
      </c>
      <c r="F229" s="187">
        <f t="shared" si="0"/>
        <v>11.25</v>
      </c>
      <c r="G229" s="188">
        <f t="shared" si="1"/>
        <v>11.872999999999999</v>
      </c>
      <c r="H229" s="189">
        <f t="shared" si="2"/>
        <v>246.14657230296032</v>
      </c>
      <c r="I229" s="190">
        <f t="shared" si="9"/>
        <v>1.129812766870588</v>
      </c>
      <c r="J229" s="191">
        <f t="shared" si="10"/>
        <v>39.834408321167963</v>
      </c>
      <c r="K229" s="192" t="b">
        <f t="shared" si="3"/>
        <v>0</v>
      </c>
      <c r="L229" s="193">
        <f t="shared" si="11"/>
        <v>0</v>
      </c>
      <c r="M229" s="194">
        <f t="shared" si="12"/>
        <v>2.0813157614776934E-76</v>
      </c>
      <c r="N229" s="194">
        <f t="shared" si="13"/>
        <v>1.0517009885810348E-4</v>
      </c>
      <c r="O229" s="195">
        <f>IF(ABS(U229)&gt;80,$B$7, LOOKUP(V229,'Force mapping'!$B$7:$B$167,'Force mapping'!$E$7:$E$167))</f>
        <v>536</v>
      </c>
      <c r="P229" s="196">
        <f t="shared" si="4"/>
        <v>0.623</v>
      </c>
      <c r="Q229" s="191">
        <f t="shared" si="5"/>
        <v>2.319135513281256E-5</v>
      </c>
      <c r="R229" s="197">
        <f>IF(ABS(U229)&gt;80, 0, LOOKUP(V229,'Force mapping'!$B$7:$B$167,'Force mapping'!$D$7:$D$167) * (N229/5) * SIGN(U229))</f>
        <v>0</v>
      </c>
      <c r="S229" s="198">
        <f t="shared" si="6"/>
        <v>0</v>
      </c>
      <c r="T229" s="199">
        <f t="shared" si="14"/>
        <v>32.399883813688163</v>
      </c>
      <c r="U229" s="200">
        <f t="shared" si="15"/>
        <v>-277.63545640690199</v>
      </c>
      <c r="V229" s="200">
        <f t="shared" si="7"/>
        <v>277.5</v>
      </c>
      <c r="Y229" s="91"/>
      <c r="Z229" s="88"/>
    </row>
    <row r="230" spans="5:26" ht="12.5" x14ac:dyDescent="0.25">
      <c r="E230" s="186">
        <f t="shared" si="8"/>
        <v>226</v>
      </c>
      <c r="F230" s="187">
        <f t="shared" si="0"/>
        <v>11.3</v>
      </c>
      <c r="G230" s="188">
        <f t="shared" si="1"/>
        <v>11.923</v>
      </c>
      <c r="H230" s="189">
        <f t="shared" si="2"/>
        <v>246.14657230296032</v>
      </c>
      <c r="I230" s="190">
        <f t="shared" si="9"/>
        <v>1.129812766870588</v>
      </c>
      <c r="J230" s="191">
        <f t="shared" si="10"/>
        <v>39.834408321167963</v>
      </c>
      <c r="K230" s="192" t="b">
        <f t="shared" si="3"/>
        <v>0</v>
      </c>
      <c r="L230" s="193">
        <f t="shared" si="11"/>
        <v>0</v>
      </c>
      <c r="M230" s="194">
        <f t="shared" si="12"/>
        <v>7.7008683174674656E-77</v>
      </c>
      <c r="N230" s="194">
        <f t="shared" si="13"/>
        <v>9.6729480972220359E-5</v>
      </c>
      <c r="O230" s="195">
        <f>IF(ABS(U230)&gt;80,$B$7, LOOKUP(V230,'Force mapping'!$B$7:$B$167,'Force mapping'!$E$7:$E$167))</f>
        <v>536</v>
      </c>
      <c r="P230" s="196">
        <f t="shared" si="4"/>
        <v>0.623</v>
      </c>
      <c r="Q230" s="191">
        <f t="shared" si="5"/>
        <v>2.1330090675925516E-5</v>
      </c>
      <c r="R230" s="197">
        <f>IF(ABS(U230)&gt;80, 0, LOOKUP(V230,'Force mapping'!$B$7:$B$167,'Force mapping'!$D$7:$D$167) * (N230/5) * SIGN(U230))</f>
        <v>0</v>
      </c>
      <c r="S230" s="198">
        <f t="shared" si="6"/>
        <v>0</v>
      </c>
      <c r="T230" s="199">
        <f t="shared" si="14"/>
        <v>32.399883813688163</v>
      </c>
      <c r="U230" s="200">
        <f t="shared" si="15"/>
        <v>-279.25545059758639</v>
      </c>
      <c r="V230" s="200">
        <f t="shared" si="7"/>
        <v>279.5</v>
      </c>
      <c r="Y230" s="91"/>
      <c r="Z230" s="88"/>
    </row>
    <row r="231" spans="5:26" ht="12.5" x14ac:dyDescent="0.25">
      <c r="E231" s="186">
        <f t="shared" si="8"/>
        <v>227</v>
      </c>
      <c r="F231" s="187">
        <f t="shared" si="0"/>
        <v>11.350000000000001</v>
      </c>
      <c r="G231" s="188">
        <f t="shared" si="1"/>
        <v>11.973000000000001</v>
      </c>
      <c r="H231" s="189">
        <f t="shared" si="2"/>
        <v>246.14657230296032</v>
      </c>
      <c r="I231" s="190">
        <f t="shared" si="9"/>
        <v>1.129812766870588</v>
      </c>
      <c r="J231" s="191">
        <f t="shared" si="10"/>
        <v>39.834408321167963</v>
      </c>
      <c r="K231" s="192" t="b">
        <f t="shared" si="3"/>
        <v>0</v>
      </c>
      <c r="L231" s="193">
        <f t="shared" si="11"/>
        <v>0</v>
      </c>
      <c r="M231" s="194">
        <f t="shared" si="12"/>
        <v>2.8493212774629623E-77</v>
      </c>
      <c r="N231" s="194">
        <f t="shared" si="13"/>
        <v>8.896628025213846E-5</v>
      </c>
      <c r="O231" s="195">
        <f>IF(ABS(U231)&gt;80,$B$7, LOOKUP(V231,'Force mapping'!$B$7:$B$167,'Force mapping'!$E$7:$E$167))</f>
        <v>536</v>
      </c>
      <c r="P231" s="196">
        <f t="shared" si="4"/>
        <v>0.623</v>
      </c>
      <c r="Q231" s="191">
        <f t="shared" si="5"/>
        <v>1.9618205388933096E-5</v>
      </c>
      <c r="R231" s="197">
        <f>IF(ABS(U231)&gt;80, 0, LOOKUP(V231,'Force mapping'!$B$7:$B$167,'Force mapping'!$D$7:$D$167) * (N231/5) * SIGN(U231))</f>
        <v>0</v>
      </c>
      <c r="S231" s="198">
        <f t="shared" si="6"/>
        <v>0</v>
      </c>
      <c r="T231" s="199">
        <f t="shared" si="14"/>
        <v>32.399883813688163</v>
      </c>
      <c r="U231" s="200">
        <f t="shared" si="15"/>
        <v>-280.87544478827078</v>
      </c>
      <c r="V231" s="200">
        <f t="shared" si="7"/>
        <v>281</v>
      </c>
      <c r="Y231" s="91"/>
      <c r="Z231" s="88"/>
    </row>
    <row r="232" spans="5:26" ht="12.5" x14ac:dyDescent="0.25">
      <c r="E232" s="186">
        <f t="shared" si="8"/>
        <v>228</v>
      </c>
      <c r="F232" s="187">
        <f t="shared" si="0"/>
        <v>11.4</v>
      </c>
      <c r="G232" s="188">
        <f t="shared" si="1"/>
        <v>12.023</v>
      </c>
      <c r="H232" s="189">
        <f t="shared" si="2"/>
        <v>246.14657230296032</v>
      </c>
      <c r="I232" s="190">
        <f t="shared" si="9"/>
        <v>1.129812766870588</v>
      </c>
      <c r="J232" s="191">
        <f t="shared" si="10"/>
        <v>39.834408321167963</v>
      </c>
      <c r="K232" s="192" t="b">
        <f t="shared" si="3"/>
        <v>0</v>
      </c>
      <c r="L232" s="193">
        <f t="shared" si="11"/>
        <v>0</v>
      </c>
      <c r="M232" s="194">
        <f t="shared" si="12"/>
        <v>1.054248872661296E-77</v>
      </c>
      <c r="N232" s="194">
        <f t="shared" si="13"/>
        <v>8.1826129349077577E-5</v>
      </c>
      <c r="O232" s="195">
        <f>IF(ABS(U232)&gt;80,$B$7, LOOKUP(V232,'Force mapping'!$B$7:$B$167,'Force mapping'!$E$7:$E$167))</f>
        <v>536</v>
      </c>
      <c r="P232" s="196">
        <f t="shared" si="4"/>
        <v>0.623</v>
      </c>
      <c r="Q232" s="191">
        <f t="shared" si="5"/>
        <v>1.804371057441198E-5</v>
      </c>
      <c r="R232" s="197">
        <f>IF(ABS(U232)&gt;80, 0, LOOKUP(V232,'Force mapping'!$B$7:$B$167,'Force mapping'!$D$7:$D$167) * (N232/5) * SIGN(U232))</f>
        <v>0</v>
      </c>
      <c r="S232" s="198">
        <f t="shared" si="6"/>
        <v>0</v>
      </c>
      <c r="T232" s="199">
        <f t="shared" si="14"/>
        <v>32.399883813688163</v>
      </c>
      <c r="U232" s="200">
        <f t="shared" si="15"/>
        <v>-282.49543897895518</v>
      </c>
      <c r="V232" s="200">
        <f t="shared" si="7"/>
        <v>282.5</v>
      </c>
      <c r="Y232" s="91"/>
      <c r="Z232" s="88"/>
    </row>
    <row r="233" spans="5:26" ht="12.5" x14ac:dyDescent="0.25">
      <c r="E233" s="186">
        <f t="shared" si="8"/>
        <v>229</v>
      </c>
      <c r="F233" s="187">
        <f t="shared" si="0"/>
        <v>11.450000000000001</v>
      </c>
      <c r="G233" s="188">
        <f t="shared" si="1"/>
        <v>12.073</v>
      </c>
      <c r="H233" s="189">
        <f t="shared" si="2"/>
        <v>246.14657230296032</v>
      </c>
      <c r="I233" s="190">
        <f t="shared" si="9"/>
        <v>1.129812766870588</v>
      </c>
      <c r="J233" s="191">
        <f t="shared" si="10"/>
        <v>39.834408321167963</v>
      </c>
      <c r="K233" s="192" t="b">
        <f t="shared" si="3"/>
        <v>0</v>
      </c>
      <c r="L233" s="193">
        <f t="shared" si="11"/>
        <v>0</v>
      </c>
      <c r="M233" s="194">
        <f t="shared" si="12"/>
        <v>3.9007208288467952E-78</v>
      </c>
      <c r="N233" s="194">
        <f t="shared" si="13"/>
        <v>7.5259024264881939E-5</v>
      </c>
      <c r="O233" s="195">
        <f>IF(ABS(U233)&gt;80,$B$7, LOOKUP(V233,'Force mapping'!$B$7:$B$167,'Force mapping'!$E$7:$E$167))</f>
        <v>536</v>
      </c>
      <c r="P233" s="196">
        <f t="shared" si="4"/>
        <v>0.623</v>
      </c>
      <c r="Q233" s="191">
        <f t="shared" si="5"/>
        <v>1.6595579709691915E-5</v>
      </c>
      <c r="R233" s="197">
        <f>IF(ABS(U233)&gt;80, 0, LOOKUP(V233,'Force mapping'!$B$7:$B$167,'Force mapping'!$D$7:$D$167) * (N233/5) * SIGN(U233))</f>
        <v>0</v>
      </c>
      <c r="S233" s="198">
        <f t="shared" si="6"/>
        <v>0</v>
      </c>
      <c r="T233" s="199">
        <f t="shared" si="14"/>
        <v>32.399883813688163</v>
      </c>
      <c r="U233" s="200">
        <f t="shared" si="15"/>
        <v>-284.11543316963957</v>
      </c>
      <c r="V233" s="200">
        <f t="shared" si="7"/>
        <v>284</v>
      </c>
      <c r="Y233" s="91"/>
      <c r="Z233" s="88"/>
    </row>
    <row r="234" spans="5:26" ht="12.5" x14ac:dyDescent="0.25">
      <c r="E234" s="186">
        <f t="shared" si="8"/>
        <v>230</v>
      </c>
      <c r="F234" s="187">
        <f t="shared" si="0"/>
        <v>11.5</v>
      </c>
      <c r="G234" s="188">
        <f t="shared" si="1"/>
        <v>12.122999999999999</v>
      </c>
      <c r="H234" s="189">
        <f t="shared" si="2"/>
        <v>246.14657230296032</v>
      </c>
      <c r="I234" s="190">
        <f t="shared" si="9"/>
        <v>1.129812766870588</v>
      </c>
      <c r="J234" s="191">
        <f t="shared" si="10"/>
        <v>39.834408321167963</v>
      </c>
      <c r="K234" s="192" t="b">
        <f t="shared" si="3"/>
        <v>0</v>
      </c>
      <c r="L234" s="193">
        <f t="shared" si="11"/>
        <v>0</v>
      </c>
      <c r="M234" s="194">
        <f t="shared" si="12"/>
        <v>1.4432667066733142E-78</v>
      </c>
      <c r="N234" s="194">
        <f t="shared" si="13"/>
        <v>6.9218974163366524E-5</v>
      </c>
      <c r="O234" s="195">
        <f>IF(ABS(U234)&gt;80,$B$7, LOOKUP(V234,'Force mapping'!$B$7:$B$167,'Force mapping'!$E$7:$E$167))</f>
        <v>536</v>
      </c>
      <c r="P234" s="196">
        <f t="shared" si="4"/>
        <v>0.623</v>
      </c>
      <c r="Q234" s="191">
        <f t="shared" si="5"/>
        <v>1.5263671225768004E-5</v>
      </c>
      <c r="R234" s="197">
        <f>IF(ABS(U234)&gt;80, 0, LOOKUP(V234,'Force mapping'!$B$7:$B$167,'Force mapping'!$D$7:$D$167) * (N234/5) * SIGN(U234))</f>
        <v>0</v>
      </c>
      <c r="S234" s="198">
        <f t="shared" si="6"/>
        <v>0</v>
      </c>
      <c r="T234" s="199">
        <f t="shared" si="14"/>
        <v>32.399883813688163</v>
      </c>
      <c r="U234" s="200">
        <f t="shared" si="15"/>
        <v>-285.73542736032397</v>
      </c>
      <c r="V234" s="200">
        <f t="shared" si="7"/>
        <v>285.5</v>
      </c>
      <c r="Y234" s="91"/>
      <c r="Z234" s="88"/>
    </row>
    <row r="235" spans="5:26" ht="12.5" x14ac:dyDescent="0.25">
      <c r="E235" s="186">
        <f t="shared" si="8"/>
        <v>231</v>
      </c>
      <c r="F235" s="187">
        <f t="shared" si="0"/>
        <v>11.55</v>
      </c>
      <c r="G235" s="188">
        <f t="shared" si="1"/>
        <v>12.173</v>
      </c>
      <c r="H235" s="189">
        <f t="shared" si="2"/>
        <v>246.14657230296032</v>
      </c>
      <c r="I235" s="190">
        <f t="shared" si="9"/>
        <v>1.129812766870588</v>
      </c>
      <c r="J235" s="191">
        <f t="shared" si="10"/>
        <v>39.834408321167963</v>
      </c>
      <c r="K235" s="192" t="b">
        <f t="shared" si="3"/>
        <v>0</v>
      </c>
      <c r="L235" s="193">
        <f t="shared" si="11"/>
        <v>0</v>
      </c>
      <c r="M235" s="194">
        <f t="shared" si="12"/>
        <v>5.3400868146912627E-79</v>
      </c>
      <c r="N235" s="194">
        <f t="shared" si="13"/>
        <v>6.3663679286691841E-5</v>
      </c>
      <c r="O235" s="195">
        <f>IF(ABS(U235)&gt;80,$B$7, LOOKUP(V235,'Force mapping'!$B$7:$B$167,'Force mapping'!$E$7:$E$167))</f>
        <v>536</v>
      </c>
      <c r="P235" s="196">
        <f t="shared" si="4"/>
        <v>0.623</v>
      </c>
      <c r="Q235" s="191">
        <f t="shared" si="5"/>
        <v>1.4038657483732047E-5</v>
      </c>
      <c r="R235" s="197">
        <f>IF(ABS(U235)&gt;80, 0, LOOKUP(V235,'Force mapping'!$B$7:$B$167,'Force mapping'!$D$7:$D$167) * (N235/5) * SIGN(U235))</f>
        <v>0</v>
      </c>
      <c r="S235" s="198">
        <f t="shared" si="6"/>
        <v>0</v>
      </c>
      <c r="T235" s="199">
        <f t="shared" si="14"/>
        <v>32.399883813688163</v>
      </c>
      <c r="U235" s="200">
        <f t="shared" si="15"/>
        <v>-287.35542155100836</v>
      </c>
      <c r="V235" s="200">
        <f t="shared" si="7"/>
        <v>287.5</v>
      </c>
      <c r="Y235" s="91"/>
      <c r="Z235" s="88"/>
    </row>
    <row r="236" spans="5:26" ht="12.5" x14ac:dyDescent="0.25">
      <c r="E236" s="186">
        <f t="shared" si="8"/>
        <v>232</v>
      </c>
      <c r="F236" s="187">
        <f t="shared" si="0"/>
        <v>11.600000000000001</v>
      </c>
      <c r="G236" s="188">
        <f t="shared" si="1"/>
        <v>12.223000000000001</v>
      </c>
      <c r="H236" s="189">
        <f t="shared" si="2"/>
        <v>246.14657230296032</v>
      </c>
      <c r="I236" s="190">
        <f t="shared" si="9"/>
        <v>1.129812766870588</v>
      </c>
      <c r="J236" s="191">
        <f t="shared" si="10"/>
        <v>39.834408321167963</v>
      </c>
      <c r="K236" s="192" t="b">
        <f t="shared" si="3"/>
        <v>0</v>
      </c>
      <c r="L236" s="193">
        <f t="shared" si="11"/>
        <v>0</v>
      </c>
      <c r="M236" s="194">
        <f t="shared" si="12"/>
        <v>1.9758321214357673E-79</v>
      </c>
      <c r="N236" s="194">
        <f t="shared" si="13"/>
        <v>5.8554234721146743E-5</v>
      </c>
      <c r="O236" s="195">
        <f>IF(ABS(U236)&gt;80,$B$7, LOOKUP(V236,'Force mapping'!$B$7:$B$167,'Force mapping'!$E$7:$E$167))</f>
        <v>536</v>
      </c>
      <c r="P236" s="196">
        <f t="shared" si="4"/>
        <v>0.623</v>
      </c>
      <c r="Q236" s="191">
        <f t="shared" si="5"/>
        <v>1.2911959451329795E-5</v>
      </c>
      <c r="R236" s="197">
        <f>IF(ABS(U236)&gt;80, 0, LOOKUP(V236,'Force mapping'!$B$7:$B$167,'Force mapping'!$D$7:$D$167) * (N236/5) * SIGN(U236))</f>
        <v>0</v>
      </c>
      <c r="S236" s="198">
        <f t="shared" si="6"/>
        <v>0</v>
      </c>
      <c r="T236" s="199">
        <f t="shared" si="14"/>
        <v>32.399883813688163</v>
      </c>
      <c r="U236" s="200">
        <f t="shared" si="15"/>
        <v>-288.97541574169276</v>
      </c>
      <c r="V236" s="200">
        <f t="shared" si="7"/>
        <v>289</v>
      </c>
      <c r="Y236" s="91"/>
      <c r="Z236" s="88"/>
    </row>
    <row r="237" spans="5:26" ht="12.5" x14ac:dyDescent="0.25">
      <c r="E237" s="186">
        <f t="shared" si="8"/>
        <v>233</v>
      </c>
      <c r="F237" s="187">
        <f t="shared" si="0"/>
        <v>11.65</v>
      </c>
      <c r="G237" s="188">
        <f t="shared" si="1"/>
        <v>12.273</v>
      </c>
      <c r="H237" s="189">
        <f t="shared" si="2"/>
        <v>246.14657230296032</v>
      </c>
      <c r="I237" s="190">
        <f t="shared" si="9"/>
        <v>1.129812766870588</v>
      </c>
      <c r="J237" s="191">
        <f t="shared" si="10"/>
        <v>39.834408321167963</v>
      </c>
      <c r="K237" s="192" t="b">
        <f t="shared" si="3"/>
        <v>0</v>
      </c>
      <c r="L237" s="193">
        <f t="shared" si="11"/>
        <v>0</v>
      </c>
      <c r="M237" s="194">
        <f t="shared" si="12"/>
        <v>7.3105788493123395E-80</v>
      </c>
      <c r="N237" s="194">
        <f t="shared" si="13"/>
        <v>5.3854857937748123E-5</v>
      </c>
      <c r="O237" s="195">
        <f>IF(ABS(U237)&gt;80,$B$7, LOOKUP(V237,'Force mapping'!$B$7:$B$167,'Force mapping'!$E$7:$E$167))</f>
        <v>536</v>
      </c>
      <c r="P237" s="196">
        <f t="shared" si="4"/>
        <v>0.623</v>
      </c>
      <c r="Q237" s="191">
        <f t="shared" si="5"/>
        <v>1.1875686622170098E-5</v>
      </c>
      <c r="R237" s="197">
        <f>IF(ABS(U237)&gt;80, 0, LOOKUP(V237,'Force mapping'!$B$7:$B$167,'Force mapping'!$D$7:$D$167) * (N237/5) * SIGN(U237))</f>
        <v>0</v>
      </c>
      <c r="S237" s="198">
        <f t="shared" si="6"/>
        <v>0</v>
      </c>
      <c r="T237" s="199">
        <f t="shared" si="14"/>
        <v>32.399883813688163</v>
      </c>
      <c r="U237" s="200">
        <f t="shared" si="15"/>
        <v>-290.59540993237715</v>
      </c>
      <c r="V237" s="200">
        <f t="shared" si="7"/>
        <v>290.5</v>
      </c>
      <c r="Y237" s="91"/>
      <c r="Z237" s="88"/>
    </row>
    <row r="238" spans="5:26" ht="12.5" x14ac:dyDescent="0.25">
      <c r="E238" s="186">
        <f t="shared" si="8"/>
        <v>234</v>
      </c>
      <c r="F238" s="187">
        <f t="shared" si="0"/>
        <v>11.700000000000001</v>
      </c>
      <c r="G238" s="188">
        <f t="shared" si="1"/>
        <v>12.323</v>
      </c>
      <c r="H238" s="189">
        <f t="shared" si="2"/>
        <v>246.14657230296032</v>
      </c>
      <c r="I238" s="190">
        <f t="shared" si="9"/>
        <v>1.129812766870588</v>
      </c>
      <c r="J238" s="191">
        <f t="shared" si="10"/>
        <v>39.834408321167963</v>
      </c>
      <c r="K238" s="192" t="b">
        <f t="shared" si="3"/>
        <v>0</v>
      </c>
      <c r="L238" s="193">
        <f t="shared" si="11"/>
        <v>0</v>
      </c>
      <c r="M238" s="194">
        <f t="shared" si="12"/>
        <v>2.7049141742455655E-80</v>
      </c>
      <c r="N238" s="194">
        <f t="shared" si="13"/>
        <v>4.9532638199566083E-5</v>
      </c>
      <c r="O238" s="195">
        <f>IF(ABS(U238)&gt;80,$B$7, LOOKUP(V238,'Force mapping'!$B$7:$B$167,'Force mapping'!$E$7:$E$167))</f>
        <v>536</v>
      </c>
      <c r="P238" s="196">
        <f t="shared" si="4"/>
        <v>0.623</v>
      </c>
      <c r="Q238" s="191">
        <f t="shared" si="5"/>
        <v>1.0922581756827393E-5</v>
      </c>
      <c r="R238" s="197">
        <f>IF(ABS(U238)&gt;80, 0, LOOKUP(V238,'Force mapping'!$B$7:$B$167,'Force mapping'!$D$7:$D$167) * (N238/5) * SIGN(U238))</f>
        <v>0</v>
      </c>
      <c r="S238" s="198">
        <f t="shared" si="6"/>
        <v>0</v>
      </c>
      <c r="T238" s="199">
        <f t="shared" si="14"/>
        <v>32.399883813688163</v>
      </c>
      <c r="U238" s="200">
        <f t="shared" si="15"/>
        <v>-292.21540412306155</v>
      </c>
      <c r="V238" s="200">
        <f t="shared" si="7"/>
        <v>292</v>
      </c>
      <c r="Y238" s="91"/>
      <c r="Z238" s="88"/>
    </row>
    <row r="239" spans="5:26" ht="12.5" x14ac:dyDescent="0.25">
      <c r="E239" s="186">
        <f t="shared" si="8"/>
        <v>235</v>
      </c>
      <c r="F239" s="187">
        <f t="shared" si="0"/>
        <v>11.75</v>
      </c>
      <c r="G239" s="188">
        <f t="shared" si="1"/>
        <v>12.372999999999999</v>
      </c>
      <c r="H239" s="189">
        <f t="shared" si="2"/>
        <v>246.14657230296032</v>
      </c>
      <c r="I239" s="190">
        <f t="shared" si="9"/>
        <v>1.129812766870588</v>
      </c>
      <c r="J239" s="191">
        <f t="shared" si="10"/>
        <v>39.834408321167963</v>
      </c>
      <c r="K239" s="192" t="b">
        <f t="shared" si="3"/>
        <v>0</v>
      </c>
      <c r="L239" s="193">
        <f t="shared" si="11"/>
        <v>0</v>
      </c>
      <c r="M239" s="194">
        <f t="shared" si="12"/>
        <v>1.0008182444708592E-80</v>
      </c>
      <c r="N239" s="194">
        <f t="shared" si="13"/>
        <v>4.5557306080820809E-5</v>
      </c>
      <c r="O239" s="195">
        <f>IF(ABS(U239)&gt;80,$B$7, LOOKUP(V239,'Force mapping'!$B$7:$B$167,'Force mapping'!$E$7:$E$167))</f>
        <v>536</v>
      </c>
      <c r="P239" s="196">
        <f t="shared" si="4"/>
        <v>0.623</v>
      </c>
      <c r="Q239" s="191">
        <f t="shared" si="5"/>
        <v>1.0045970058847666E-5</v>
      </c>
      <c r="R239" s="197">
        <f>IF(ABS(U239)&gt;80, 0, LOOKUP(V239,'Force mapping'!$B$7:$B$167,'Force mapping'!$D$7:$D$167) * (N239/5) * SIGN(U239))</f>
        <v>0</v>
      </c>
      <c r="S239" s="198">
        <f t="shared" si="6"/>
        <v>0</v>
      </c>
      <c r="T239" s="199">
        <f t="shared" si="14"/>
        <v>32.399883813688163</v>
      </c>
      <c r="U239" s="200">
        <f t="shared" si="15"/>
        <v>-293.83539831374594</v>
      </c>
      <c r="V239" s="200">
        <f t="shared" si="7"/>
        <v>294</v>
      </c>
      <c r="Y239" s="91"/>
      <c r="Z239" s="88"/>
    </row>
    <row r="240" spans="5:26" ht="12.5" x14ac:dyDescent="0.25">
      <c r="E240" s="186">
        <f t="shared" si="8"/>
        <v>236</v>
      </c>
      <c r="F240" s="187">
        <f t="shared" si="0"/>
        <v>11.8</v>
      </c>
      <c r="G240" s="188">
        <f t="shared" si="1"/>
        <v>12.423</v>
      </c>
      <c r="H240" s="189">
        <f t="shared" si="2"/>
        <v>246.14657230296032</v>
      </c>
      <c r="I240" s="190">
        <f t="shared" si="9"/>
        <v>1.129812766870588</v>
      </c>
      <c r="J240" s="191">
        <f t="shared" si="10"/>
        <v>39.834408321167963</v>
      </c>
      <c r="K240" s="192" t="b">
        <f t="shared" si="3"/>
        <v>0</v>
      </c>
      <c r="L240" s="193">
        <f t="shared" si="11"/>
        <v>0</v>
      </c>
      <c r="M240" s="194">
        <f t="shared" si="12"/>
        <v>3.7030275045421784E-81</v>
      </c>
      <c r="N240" s="194">
        <f t="shared" si="13"/>
        <v>4.1901021483644173E-5</v>
      </c>
      <c r="O240" s="195">
        <f>IF(ABS(U240)&gt;80,$B$7, LOOKUP(V240,'Force mapping'!$B$7:$B$167,'Force mapping'!$E$7:$E$167))</f>
        <v>536</v>
      </c>
      <c r="P240" s="196">
        <f t="shared" si="4"/>
        <v>0.623</v>
      </c>
      <c r="Q240" s="191">
        <f t="shared" si="5"/>
        <v>9.2397124297266635E-6</v>
      </c>
      <c r="R240" s="197">
        <f>IF(ABS(U240)&gt;80, 0, LOOKUP(V240,'Force mapping'!$B$7:$B$167,'Force mapping'!$D$7:$D$167) * (N240/5) * SIGN(U240))</f>
        <v>0</v>
      </c>
      <c r="S240" s="198">
        <f t="shared" si="6"/>
        <v>0</v>
      </c>
      <c r="T240" s="199">
        <f t="shared" si="14"/>
        <v>32.399883813688163</v>
      </c>
      <c r="U240" s="200">
        <f t="shared" si="15"/>
        <v>-295.45539250443034</v>
      </c>
      <c r="V240" s="200">
        <f t="shared" si="7"/>
        <v>295.5</v>
      </c>
      <c r="Y240" s="91"/>
      <c r="Z240" s="88"/>
    </row>
    <row r="241" spans="5:26" ht="12.5" x14ac:dyDescent="0.25">
      <c r="E241" s="186">
        <f t="shared" si="8"/>
        <v>237</v>
      </c>
      <c r="F241" s="187">
        <f t="shared" si="0"/>
        <v>11.850000000000001</v>
      </c>
      <c r="G241" s="188">
        <f t="shared" si="1"/>
        <v>12.473000000000001</v>
      </c>
      <c r="H241" s="189">
        <f t="shared" si="2"/>
        <v>246.14657230296032</v>
      </c>
      <c r="I241" s="190">
        <f t="shared" si="9"/>
        <v>1.129812766870588</v>
      </c>
      <c r="J241" s="191">
        <f t="shared" si="10"/>
        <v>39.834408321167963</v>
      </c>
      <c r="K241" s="192" t="b">
        <f t="shared" si="3"/>
        <v>0</v>
      </c>
      <c r="L241" s="193">
        <f t="shared" si="11"/>
        <v>0</v>
      </c>
      <c r="M241" s="194">
        <f t="shared" si="12"/>
        <v>1.3701201766806059E-81</v>
      </c>
      <c r="N241" s="194">
        <f t="shared" si="13"/>
        <v>3.8538178667942389E-5</v>
      </c>
      <c r="O241" s="195">
        <f>IF(ABS(U241)&gt;80,$B$7, LOOKUP(V241,'Force mapping'!$B$7:$B$167,'Force mapping'!$E$7:$E$167))</f>
        <v>536</v>
      </c>
      <c r="P241" s="196">
        <f t="shared" si="4"/>
        <v>0.623</v>
      </c>
      <c r="Q241" s="191">
        <f t="shared" si="5"/>
        <v>8.498162475494988E-6</v>
      </c>
      <c r="R241" s="197">
        <f>IF(ABS(U241)&gt;80, 0, LOOKUP(V241,'Force mapping'!$B$7:$B$167,'Force mapping'!$D$7:$D$167) * (N241/5) * SIGN(U241))</f>
        <v>0</v>
      </c>
      <c r="S241" s="198">
        <f t="shared" si="6"/>
        <v>0</v>
      </c>
      <c r="T241" s="199">
        <f t="shared" si="14"/>
        <v>32.399883813688163</v>
      </c>
      <c r="U241" s="200">
        <f t="shared" si="15"/>
        <v>-297.07538669511473</v>
      </c>
      <c r="V241" s="200">
        <f t="shared" si="7"/>
        <v>297</v>
      </c>
      <c r="Y241" s="91"/>
      <c r="Z241" s="88"/>
    </row>
    <row r="242" spans="5:26" ht="12.5" x14ac:dyDescent="0.25">
      <c r="E242" s="186">
        <f t="shared" si="8"/>
        <v>238</v>
      </c>
      <c r="F242" s="187">
        <f t="shared" si="0"/>
        <v>11.9</v>
      </c>
      <c r="G242" s="188">
        <f t="shared" si="1"/>
        <v>12.523</v>
      </c>
      <c r="H242" s="189">
        <f t="shared" si="2"/>
        <v>246.14657230296032</v>
      </c>
      <c r="I242" s="190">
        <f t="shared" si="9"/>
        <v>1.129812766870588</v>
      </c>
      <c r="J242" s="191">
        <f t="shared" si="10"/>
        <v>39.834408321167963</v>
      </c>
      <c r="K242" s="192" t="b">
        <f t="shared" si="3"/>
        <v>0</v>
      </c>
      <c r="L242" s="193">
        <f t="shared" si="11"/>
        <v>0</v>
      </c>
      <c r="M242" s="194">
        <f t="shared" si="12"/>
        <v>5.0694446537182422E-82</v>
      </c>
      <c r="N242" s="194">
        <f t="shared" si="13"/>
        <v>3.5445226928942194E-5</v>
      </c>
      <c r="O242" s="195">
        <f>IF(ABS(U242)&gt;80,$B$7, LOOKUP(V242,'Force mapping'!$B$7:$B$167,'Force mapping'!$E$7:$E$167))</f>
        <v>536</v>
      </c>
      <c r="P242" s="196">
        <f t="shared" si="4"/>
        <v>0.623</v>
      </c>
      <c r="Q242" s="191">
        <f t="shared" si="5"/>
        <v>7.8161269638180222E-6</v>
      </c>
      <c r="R242" s="197">
        <f>IF(ABS(U242)&gt;80, 0, LOOKUP(V242,'Force mapping'!$B$7:$B$167,'Force mapping'!$D$7:$D$167) * (N242/5) * SIGN(U242))</f>
        <v>0</v>
      </c>
      <c r="S242" s="198">
        <f t="shared" si="6"/>
        <v>0</v>
      </c>
      <c r="T242" s="199">
        <f t="shared" si="14"/>
        <v>32.399883813688163</v>
      </c>
      <c r="U242" s="200">
        <f t="shared" si="15"/>
        <v>-298.69538088579912</v>
      </c>
      <c r="V242" s="200">
        <f t="shared" si="7"/>
        <v>298.5</v>
      </c>
      <c r="Y242" s="91"/>
      <c r="Z242" s="88"/>
    </row>
    <row r="243" spans="5:26" ht="12.5" x14ac:dyDescent="0.25">
      <c r="E243" s="186">
        <f t="shared" si="8"/>
        <v>239</v>
      </c>
      <c r="F243" s="187">
        <f t="shared" si="0"/>
        <v>11.950000000000001</v>
      </c>
      <c r="G243" s="188">
        <f t="shared" si="1"/>
        <v>12.573</v>
      </c>
      <c r="H243" s="189">
        <f t="shared" si="2"/>
        <v>246.14657230296032</v>
      </c>
      <c r="I243" s="190">
        <f t="shared" si="9"/>
        <v>1.129812766870588</v>
      </c>
      <c r="J243" s="191">
        <f t="shared" si="10"/>
        <v>39.834408321167963</v>
      </c>
      <c r="K243" s="192" t="b">
        <f t="shared" si="3"/>
        <v>0</v>
      </c>
      <c r="L243" s="193">
        <f t="shared" si="11"/>
        <v>0</v>
      </c>
      <c r="M243" s="194">
        <f t="shared" si="12"/>
        <v>1.8756945218757497E-82</v>
      </c>
      <c r="N243" s="194">
        <f t="shared" si="13"/>
        <v>3.2600505666587277E-5</v>
      </c>
      <c r="O243" s="195">
        <f>IF(ABS(U243)&gt;80,$B$7, LOOKUP(V243,'Force mapping'!$B$7:$B$167,'Force mapping'!$E$7:$E$167))</f>
        <v>536</v>
      </c>
      <c r="P243" s="196">
        <f t="shared" si="4"/>
        <v>0.623</v>
      </c>
      <c r="Q243" s="191">
        <f t="shared" si="5"/>
        <v>7.1888294546833481E-6</v>
      </c>
      <c r="R243" s="197">
        <f>IF(ABS(U243)&gt;80, 0, LOOKUP(V243,'Force mapping'!$B$7:$B$167,'Force mapping'!$D$7:$D$167) * (N243/5) * SIGN(U243))</f>
        <v>0</v>
      </c>
      <c r="S243" s="198">
        <f t="shared" si="6"/>
        <v>0</v>
      </c>
      <c r="T243" s="199">
        <f t="shared" si="14"/>
        <v>32.399883813688163</v>
      </c>
      <c r="U243" s="200">
        <f t="shared" si="15"/>
        <v>-300.31537507648352</v>
      </c>
      <c r="V243" s="200">
        <f t="shared" si="7"/>
        <v>300.5</v>
      </c>
      <c r="Y243" s="91"/>
      <c r="Z243" s="88"/>
    </row>
    <row r="244" spans="5:26" ht="12.5" x14ac:dyDescent="0.25">
      <c r="E244" s="186">
        <f t="shared" si="8"/>
        <v>240</v>
      </c>
      <c r="F244" s="187">
        <f t="shared" si="0"/>
        <v>12</v>
      </c>
      <c r="G244" s="188">
        <f t="shared" si="1"/>
        <v>12.622999999999999</v>
      </c>
      <c r="H244" s="189">
        <f t="shared" si="2"/>
        <v>246.14657230296032</v>
      </c>
      <c r="I244" s="190">
        <f t="shared" si="9"/>
        <v>1.129812766870588</v>
      </c>
      <c r="J244" s="191">
        <f t="shared" si="10"/>
        <v>39.834408321167963</v>
      </c>
      <c r="K244" s="192" t="b">
        <f t="shared" si="3"/>
        <v>0</v>
      </c>
      <c r="L244" s="193">
        <f t="shared" si="11"/>
        <v>0</v>
      </c>
      <c r="M244" s="194">
        <f t="shared" si="12"/>
        <v>6.940069730940274E-83</v>
      </c>
      <c r="N244" s="194">
        <f t="shared" si="13"/>
        <v>2.9984092691740784E-5</v>
      </c>
      <c r="O244" s="195">
        <f>IF(ABS(U244)&gt;80,$B$7, LOOKUP(V244,'Force mapping'!$B$7:$B$167,'Force mapping'!$E$7:$E$167))</f>
        <v>536</v>
      </c>
      <c r="P244" s="196">
        <f t="shared" si="4"/>
        <v>0.623</v>
      </c>
      <c r="Q244" s="191">
        <f t="shared" si="5"/>
        <v>6.6118768499736088E-6</v>
      </c>
      <c r="R244" s="197">
        <f>IF(ABS(U244)&gt;80, 0, LOOKUP(V244,'Force mapping'!$B$7:$B$167,'Force mapping'!$D$7:$D$167) * (N244/5) * SIGN(U244))</f>
        <v>0</v>
      </c>
      <c r="S244" s="198">
        <f t="shared" si="6"/>
        <v>0</v>
      </c>
      <c r="T244" s="199">
        <f t="shared" si="14"/>
        <v>32.399883813688163</v>
      </c>
      <c r="U244" s="200">
        <f t="shared" si="15"/>
        <v>-301.93536926716791</v>
      </c>
      <c r="V244" s="200">
        <f t="shared" si="7"/>
        <v>302</v>
      </c>
      <c r="Y244" s="91"/>
      <c r="Z244" s="88"/>
    </row>
    <row r="245" spans="5:26" ht="12.5" x14ac:dyDescent="0.25">
      <c r="E245" s="186">
        <f t="shared" si="8"/>
        <v>241</v>
      </c>
      <c r="F245" s="187">
        <f t="shared" si="0"/>
        <v>12.05</v>
      </c>
      <c r="G245" s="188">
        <f t="shared" si="1"/>
        <v>12.673</v>
      </c>
      <c r="H245" s="189">
        <f t="shared" si="2"/>
        <v>246.14657230296032</v>
      </c>
      <c r="I245" s="190">
        <f t="shared" si="9"/>
        <v>1.129812766870588</v>
      </c>
      <c r="J245" s="191">
        <f t="shared" si="10"/>
        <v>39.834408321167963</v>
      </c>
      <c r="K245" s="192" t="b">
        <f t="shared" si="3"/>
        <v>0</v>
      </c>
      <c r="L245" s="193">
        <f t="shared" si="11"/>
        <v>0</v>
      </c>
      <c r="M245" s="194">
        <f t="shared" si="12"/>
        <v>2.5678258004479015E-83</v>
      </c>
      <c r="N245" s="194">
        <f t="shared" si="13"/>
        <v>2.7577664706849869E-5</v>
      </c>
      <c r="O245" s="195">
        <f>IF(ABS(U245)&gt;80,$B$7, LOOKUP(V245,'Force mapping'!$B$7:$B$167,'Force mapping'!$E$7:$E$167))</f>
        <v>536</v>
      </c>
      <c r="P245" s="196">
        <f t="shared" si="4"/>
        <v>0.623</v>
      </c>
      <c r="Q245" s="191">
        <f t="shared" si="5"/>
        <v>6.0812286276643297E-6</v>
      </c>
      <c r="R245" s="197">
        <f>IF(ABS(U245)&gt;80, 0, LOOKUP(V245,'Force mapping'!$B$7:$B$167,'Force mapping'!$D$7:$D$167) * (N245/5) * SIGN(U245))</f>
        <v>0</v>
      </c>
      <c r="S245" s="198">
        <f t="shared" si="6"/>
        <v>0</v>
      </c>
      <c r="T245" s="199">
        <f t="shared" si="14"/>
        <v>32.399883813688163</v>
      </c>
      <c r="U245" s="200">
        <f t="shared" si="15"/>
        <v>-303.55536345785231</v>
      </c>
      <c r="V245" s="200">
        <f t="shared" si="7"/>
        <v>303.5</v>
      </c>
      <c r="Y245" s="91"/>
      <c r="Z245" s="88"/>
    </row>
    <row r="246" spans="5:26" ht="12.5" x14ac:dyDescent="0.25">
      <c r="E246" s="186">
        <f t="shared" si="8"/>
        <v>242</v>
      </c>
      <c r="F246" s="187">
        <f t="shared" si="0"/>
        <v>12.100000000000001</v>
      </c>
      <c r="G246" s="188">
        <f t="shared" si="1"/>
        <v>12.723000000000001</v>
      </c>
      <c r="H246" s="189">
        <f t="shared" si="2"/>
        <v>246.14657230296032</v>
      </c>
      <c r="I246" s="190">
        <f t="shared" si="9"/>
        <v>1.129812766870588</v>
      </c>
      <c r="J246" s="191">
        <f t="shared" si="10"/>
        <v>39.834408321167963</v>
      </c>
      <c r="K246" s="192" t="b">
        <f t="shared" si="3"/>
        <v>0</v>
      </c>
      <c r="L246" s="193">
        <f t="shared" si="11"/>
        <v>0</v>
      </c>
      <c r="M246" s="194">
        <f t="shared" si="12"/>
        <v>9.5009554616572355E-84</v>
      </c>
      <c r="N246" s="194">
        <f t="shared" si="13"/>
        <v>2.5364368983988722E-5</v>
      </c>
      <c r="O246" s="195">
        <f>IF(ABS(U246)&gt;80,$B$7, LOOKUP(V246,'Force mapping'!$B$7:$B$167,'Force mapping'!$E$7:$E$167))</f>
        <v>536</v>
      </c>
      <c r="P246" s="196">
        <f t="shared" si="4"/>
        <v>0.623</v>
      </c>
      <c r="Q246" s="191">
        <f t="shared" si="5"/>
        <v>5.5931685451872568E-6</v>
      </c>
      <c r="R246" s="197">
        <f>IF(ABS(U246)&gt;80, 0, LOOKUP(V246,'Force mapping'!$B$7:$B$167,'Force mapping'!$D$7:$D$167) * (N246/5) * SIGN(U246))</f>
        <v>0</v>
      </c>
      <c r="S246" s="198">
        <f t="shared" si="6"/>
        <v>0</v>
      </c>
      <c r="T246" s="199">
        <f t="shared" si="14"/>
        <v>32.399883813688163</v>
      </c>
      <c r="U246" s="200">
        <f t="shared" si="15"/>
        <v>-305.1753576485367</v>
      </c>
      <c r="V246" s="200">
        <f t="shared" si="7"/>
        <v>305</v>
      </c>
      <c r="Y246" s="91"/>
      <c r="Z246" s="88"/>
    </row>
    <row r="247" spans="5:26" ht="12.5" x14ac:dyDescent="0.25">
      <c r="E247" s="186">
        <f t="shared" si="8"/>
        <v>243</v>
      </c>
      <c r="F247" s="187">
        <f t="shared" si="0"/>
        <v>12.15</v>
      </c>
      <c r="G247" s="188">
        <f t="shared" si="1"/>
        <v>12.773</v>
      </c>
      <c r="H247" s="189">
        <f t="shared" si="2"/>
        <v>246.14657230296032</v>
      </c>
      <c r="I247" s="190">
        <f t="shared" si="9"/>
        <v>1.129812766870588</v>
      </c>
      <c r="J247" s="191">
        <f t="shared" si="10"/>
        <v>39.834408321167963</v>
      </c>
      <c r="K247" s="192" t="b">
        <f t="shared" si="3"/>
        <v>0</v>
      </c>
      <c r="L247" s="193">
        <f t="shared" si="11"/>
        <v>0</v>
      </c>
      <c r="M247" s="194">
        <f t="shared" si="12"/>
        <v>3.5153535208131769E-84</v>
      </c>
      <c r="N247" s="194">
        <f t="shared" si="13"/>
        <v>2.3328705341614022E-5</v>
      </c>
      <c r="O247" s="195">
        <f>IF(ABS(U247)&gt;80,$B$7, LOOKUP(V247,'Force mapping'!$B$7:$B$167,'Force mapping'!$E$7:$E$167))</f>
        <v>536</v>
      </c>
      <c r="P247" s="196">
        <f t="shared" si="4"/>
        <v>0.623</v>
      </c>
      <c r="Q247" s="191">
        <f t="shared" si="5"/>
        <v>5.1442786137918101E-6</v>
      </c>
      <c r="R247" s="197">
        <f>IF(ABS(U247)&gt;80, 0, LOOKUP(V247,'Force mapping'!$B$7:$B$167,'Force mapping'!$D$7:$D$167) * (N247/5) * SIGN(U247))</f>
        <v>0</v>
      </c>
      <c r="S247" s="198">
        <f t="shared" si="6"/>
        <v>0</v>
      </c>
      <c r="T247" s="199">
        <f t="shared" si="14"/>
        <v>32.399883813688163</v>
      </c>
      <c r="U247" s="200">
        <f t="shared" si="15"/>
        <v>-306.7953518392211</v>
      </c>
      <c r="V247" s="200">
        <f t="shared" si="7"/>
        <v>307</v>
      </c>
      <c r="Y247" s="91"/>
      <c r="Z247" s="88"/>
    </row>
    <row r="248" spans="5:26" ht="12.5" x14ac:dyDescent="0.25">
      <c r="E248" s="186">
        <f t="shared" si="8"/>
        <v>244</v>
      </c>
      <c r="F248" s="187">
        <f t="shared" si="0"/>
        <v>12.200000000000001</v>
      </c>
      <c r="G248" s="188">
        <f t="shared" si="1"/>
        <v>12.823</v>
      </c>
      <c r="H248" s="189">
        <f t="shared" si="2"/>
        <v>246.14657230296032</v>
      </c>
      <c r="I248" s="190">
        <f t="shared" si="9"/>
        <v>1.129812766870588</v>
      </c>
      <c r="J248" s="191">
        <f t="shared" si="10"/>
        <v>39.834408321167963</v>
      </c>
      <c r="K248" s="192" t="b">
        <f t="shared" si="3"/>
        <v>0</v>
      </c>
      <c r="L248" s="193">
        <f t="shared" si="11"/>
        <v>0</v>
      </c>
      <c r="M248" s="194">
        <f t="shared" si="12"/>
        <v>1.3006808027008757E-84</v>
      </c>
      <c r="N248" s="194">
        <f t="shared" si="13"/>
        <v>2.1456417593490904E-5</v>
      </c>
      <c r="O248" s="195">
        <f>IF(ABS(U248)&gt;80,$B$7, LOOKUP(V248,'Force mapping'!$B$7:$B$167,'Force mapping'!$E$7:$E$167))</f>
        <v>536</v>
      </c>
      <c r="P248" s="196">
        <f t="shared" si="4"/>
        <v>0.623</v>
      </c>
      <c r="Q248" s="191">
        <f t="shared" si="5"/>
        <v>4.7314151616415838E-6</v>
      </c>
      <c r="R248" s="197">
        <f>IF(ABS(U248)&gt;80, 0, LOOKUP(V248,'Force mapping'!$B$7:$B$167,'Force mapping'!$D$7:$D$167) * (N248/5) * SIGN(U248))</f>
        <v>0</v>
      </c>
      <c r="S248" s="198">
        <f t="shared" si="6"/>
        <v>0</v>
      </c>
      <c r="T248" s="199">
        <f t="shared" si="14"/>
        <v>32.399883813688163</v>
      </c>
      <c r="U248" s="200">
        <f t="shared" si="15"/>
        <v>-308.41534602990549</v>
      </c>
      <c r="V248" s="200">
        <f t="shared" si="7"/>
        <v>308.5</v>
      </c>
      <c r="Y248" s="91"/>
      <c r="Z248" s="88"/>
    </row>
    <row r="249" spans="5:26" ht="12.5" x14ac:dyDescent="0.25">
      <c r="E249" s="186">
        <f t="shared" si="8"/>
        <v>245</v>
      </c>
      <c r="F249" s="187">
        <f t="shared" si="0"/>
        <v>12.25</v>
      </c>
      <c r="G249" s="188">
        <f t="shared" si="1"/>
        <v>12.872999999999999</v>
      </c>
      <c r="H249" s="189">
        <f t="shared" si="2"/>
        <v>246.14657230296032</v>
      </c>
      <c r="I249" s="190">
        <f t="shared" si="9"/>
        <v>1.129812766870588</v>
      </c>
      <c r="J249" s="191">
        <f t="shared" si="10"/>
        <v>39.834408321167963</v>
      </c>
      <c r="K249" s="192" t="b">
        <f t="shared" si="3"/>
        <v>0</v>
      </c>
      <c r="L249" s="193">
        <f t="shared" si="11"/>
        <v>0</v>
      </c>
      <c r="M249" s="194">
        <f t="shared" si="12"/>
        <v>4.8125189699932397E-85</v>
      </c>
      <c r="N249" s="194">
        <f t="shared" si="13"/>
        <v>1.9734393709583125E-5</v>
      </c>
      <c r="O249" s="195">
        <f>IF(ABS(U249)&gt;80,$B$7, LOOKUP(V249,'Force mapping'!$B$7:$B$167,'Force mapping'!$E$7:$E$167))</f>
        <v>536</v>
      </c>
      <c r="P249" s="196">
        <f t="shared" si="4"/>
        <v>0.623</v>
      </c>
      <c r="Q249" s="191">
        <f t="shared" si="5"/>
        <v>4.3516868180106375E-6</v>
      </c>
      <c r="R249" s="197">
        <f>IF(ABS(U249)&gt;80, 0, LOOKUP(V249,'Force mapping'!$B$7:$B$167,'Force mapping'!$D$7:$D$167) * (N249/5) * SIGN(U249))</f>
        <v>0</v>
      </c>
      <c r="S249" s="198">
        <f t="shared" si="6"/>
        <v>0</v>
      </c>
      <c r="T249" s="199">
        <f t="shared" si="14"/>
        <v>32.399883813688163</v>
      </c>
      <c r="U249" s="200">
        <f t="shared" si="15"/>
        <v>-310.03534022058989</v>
      </c>
      <c r="V249" s="200">
        <f t="shared" si="7"/>
        <v>310</v>
      </c>
      <c r="Y249" s="91"/>
      <c r="Z249" s="88"/>
    </row>
    <row r="250" spans="5:26" ht="12.5" x14ac:dyDescent="0.25">
      <c r="E250" s="186">
        <f t="shared" si="8"/>
        <v>246</v>
      </c>
      <c r="F250" s="187">
        <f t="shared" si="0"/>
        <v>12.3</v>
      </c>
      <c r="G250" s="188">
        <f t="shared" si="1"/>
        <v>12.923</v>
      </c>
      <c r="H250" s="189">
        <f t="shared" si="2"/>
        <v>246.14657230296032</v>
      </c>
      <c r="I250" s="190">
        <f t="shared" si="9"/>
        <v>1.129812766870588</v>
      </c>
      <c r="J250" s="191">
        <f t="shared" si="10"/>
        <v>39.834408321167963</v>
      </c>
      <c r="K250" s="192" t="b">
        <f t="shared" si="3"/>
        <v>0</v>
      </c>
      <c r="L250" s="193">
        <f t="shared" si="11"/>
        <v>0</v>
      </c>
      <c r="M250" s="194">
        <f t="shared" si="12"/>
        <v>1.7806320188974984E-85</v>
      </c>
      <c r="N250" s="194">
        <f t="shared" si="13"/>
        <v>1.8150573989712887E-5</v>
      </c>
      <c r="O250" s="195">
        <f>IF(ABS(U250)&gt;80,$B$7, LOOKUP(V250,'Force mapping'!$B$7:$B$167,'Force mapping'!$E$7:$E$167))</f>
        <v>536</v>
      </c>
      <c r="P250" s="196">
        <f t="shared" si="4"/>
        <v>0.623</v>
      </c>
      <c r="Q250" s="191">
        <f t="shared" si="5"/>
        <v>4.0024342643982264E-6</v>
      </c>
      <c r="R250" s="197">
        <f>IF(ABS(U250)&gt;80, 0, LOOKUP(V250,'Force mapping'!$B$7:$B$167,'Force mapping'!$D$7:$D$167) * (N250/5) * SIGN(U250))</f>
        <v>0</v>
      </c>
      <c r="S250" s="198">
        <f t="shared" si="6"/>
        <v>0</v>
      </c>
      <c r="T250" s="199">
        <f t="shared" si="14"/>
        <v>32.399883813688163</v>
      </c>
      <c r="U250" s="200">
        <f t="shared" si="15"/>
        <v>-311.65533441127428</v>
      </c>
      <c r="V250" s="200">
        <f t="shared" si="7"/>
        <v>311.5</v>
      </c>
      <c r="Y250" s="91"/>
      <c r="Z250" s="88"/>
    </row>
    <row r="251" spans="5:26" ht="12.5" x14ac:dyDescent="0.25">
      <c r="E251" s="186">
        <f t="shared" si="8"/>
        <v>247</v>
      </c>
      <c r="F251" s="187">
        <f t="shared" si="0"/>
        <v>12.350000000000001</v>
      </c>
      <c r="G251" s="188">
        <f t="shared" si="1"/>
        <v>12.973000000000001</v>
      </c>
      <c r="H251" s="189">
        <f t="shared" si="2"/>
        <v>246.14657230296032</v>
      </c>
      <c r="I251" s="190">
        <f t="shared" si="9"/>
        <v>1.129812766870588</v>
      </c>
      <c r="J251" s="191">
        <f t="shared" si="10"/>
        <v>39.834408321167963</v>
      </c>
      <c r="K251" s="192" t="b">
        <f t="shared" si="3"/>
        <v>0</v>
      </c>
      <c r="L251" s="193">
        <f t="shared" si="11"/>
        <v>0</v>
      </c>
      <c r="M251" s="194">
        <f t="shared" si="12"/>
        <v>6.5883384699207439E-86</v>
      </c>
      <c r="N251" s="194">
        <f t="shared" si="13"/>
        <v>1.6693866606910887E-5</v>
      </c>
      <c r="O251" s="195">
        <f>IF(ABS(U251)&gt;80,$B$7, LOOKUP(V251,'Force mapping'!$B$7:$B$167,'Force mapping'!$E$7:$E$167))</f>
        <v>536</v>
      </c>
      <c r="P251" s="196">
        <f t="shared" si="4"/>
        <v>0.623</v>
      </c>
      <c r="Q251" s="191">
        <f t="shared" si="5"/>
        <v>3.681211610754708E-6</v>
      </c>
      <c r="R251" s="197">
        <f>IF(ABS(U251)&gt;80, 0, LOOKUP(V251,'Force mapping'!$B$7:$B$167,'Force mapping'!$D$7:$D$167) * (N251/5) * SIGN(U251))</f>
        <v>0</v>
      </c>
      <c r="S251" s="198">
        <f t="shared" si="6"/>
        <v>0</v>
      </c>
      <c r="T251" s="199">
        <f t="shared" si="14"/>
        <v>32.399883813688163</v>
      </c>
      <c r="U251" s="200">
        <f t="shared" si="15"/>
        <v>-313.27532860195868</v>
      </c>
      <c r="V251" s="200">
        <f t="shared" si="7"/>
        <v>313.5</v>
      </c>
      <c r="Y251" s="91"/>
      <c r="Z251" s="88"/>
    </row>
    <row r="252" spans="5:26" ht="12.5" x14ac:dyDescent="0.25">
      <c r="E252" s="186">
        <f t="shared" si="8"/>
        <v>248</v>
      </c>
      <c r="F252" s="187">
        <f t="shared" si="0"/>
        <v>12.4</v>
      </c>
      <c r="G252" s="188">
        <f t="shared" si="1"/>
        <v>13.023</v>
      </c>
      <c r="H252" s="189">
        <f t="shared" si="2"/>
        <v>246.14657230296032</v>
      </c>
      <c r="I252" s="190">
        <f t="shared" si="9"/>
        <v>1.129812766870588</v>
      </c>
      <c r="J252" s="191">
        <f t="shared" si="10"/>
        <v>39.834408321167963</v>
      </c>
      <c r="K252" s="192" t="b">
        <f t="shared" si="3"/>
        <v>0</v>
      </c>
      <c r="L252" s="193">
        <f t="shared" si="11"/>
        <v>0</v>
      </c>
      <c r="M252" s="194">
        <f t="shared" si="12"/>
        <v>2.4376852338706749E-86</v>
      </c>
      <c r="N252" s="194">
        <f t="shared" si="13"/>
        <v>1.5354069928988665E-5</v>
      </c>
      <c r="O252" s="195">
        <f>IF(ABS(U252)&gt;80,$B$7, LOOKUP(V252,'Force mapping'!$B$7:$B$167,'Force mapping'!$E$7:$E$167))</f>
        <v>536</v>
      </c>
      <c r="P252" s="196">
        <f t="shared" si="4"/>
        <v>0.623</v>
      </c>
      <c r="Q252" s="191">
        <f t="shared" si="5"/>
        <v>3.3857692663923719E-6</v>
      </c>
      <c r="R252" s="197">
        <f>IF(ABS(U252)&gt;80, 0, LOOKUP(V252,'Force mapping'!$B$7:$B$167,'Force mapping'!$D$7:$D$167) * (N252/5) * SIGN(U252))</f>
        <v>0</v>
      </c>
      <c r="S252" s="198">
        <f t="shared" si="6"/>
        <v>0</v>
      </c>
      <c r="T252" s="199">
        <f t="shared" si="14"/>
        <v>32.399883813688163</v>
      </c>
      <c r="U252" s="200">
        <f t="shared" si="15"/>
        <v>-314.89532279264307</v>
      </c>
      <c r="V252" s="200">
        <f t="shared" si="7"/>
        <v>315</v>
      </c>
      <c r="Y252" s="91"/>
      <c r="Z252" s="88"/>
    </row>
    <row r="253" spans="5:26" ht="12.5" x14ac:dyDescent="0.25">
      <c r="E253" s="186">
        <f t="shared" si="8"/>
        <v>249</v>
      </c>
      <c r="F253" s="187">
        <f t="shared" si="0"/>
        <v>12.450000000000001</v>
      </c>
      <c r="G253" s="188">
        <f t="shared" si="1"/>
        <v>13.073</v>
      </c>
      <c r="H253" s="189">
        <f t="shared" si="2"/>
        <v>246.14657230296032</v>
      </c>
      <c r="I253" s="190">
        <f t="shared" si="9"/>
        <v>1.129812766870588</v>
      </c>
      <c r="J253" s="191">
        <f t="shared" si="10"/>
        <v>39.834408321167963</v>
      </c>
      <c r="K253" s="192" t="b">
        <f t="shared" si="3"/>
        <v>0</v>
      </c>
      <c r="L253" s="193">
        <f t="shared" si="11"/>
        <v>0</v>
      </c>
      <c r="M253" s="194">
        <f t="shared" si="12"/>
        <v>9.0194353653214963E-87</v>
      </c>
      <c r="N253" s="194">
        <f t="shared" si="13"/>
        <v>1.4121801074334677E-5</v>
      </c>
      <c r="O253" s="195">
        <f>IF(ABS(U253)&gt;80,$B$7, LOOKUP(V253,'Force mapping'!$B$7:$B$167,'Force mapping'!$E$7:$E$167))</f>
        <v>536</v>
      </c>
      <c r="P253" s="196">
        <f t="shared" si="4"/>
        <v>0.623</v>
      </c>
      <c r="Q253" s="191">
        <f t="shared" si="5"/>
        <v>3.1140381856225185E-6</v>
      </c>
      <c r="R253" s="197">
        <f>IF(ABS(U253)&gt;80, 0, LOOKUP(V253,'Force mapping'!$B$7:$B$167,'Force mapping'!$D$7:$D$167) * (N253/5) * SIGN(U253))</f>
        <v>0</v>
      </c>
      <c r="S253" s="198">
        <f t="shared" si="6"/>
        <v>0</v>
      </c>
      <c r="T253" s="199">
        <f t="shared" si="14"/>
        <v>32.399883813688163</v>
      </c>
      <c r="U253" s="200">
        <f t="shared" si="15"/>
        <v>-316.51531698332747</v>
      </c>
      <c r="V253" s="200">
        <f t="shared" si="7"/>
        <v>316.5</v>
      </c>
      <c r="Y253" s="91"/>
      <c r="Z253" s="88"/>
    </row>
    <row r="254" spans="5:26" ht="12.5" x14ac:dyDescent="0.25">
      <c r="E254" s="186">
        <f t="shared" si="8"/>
        <v>250</v>
      </c>
      <c r="F254" s="187">
        <f t="shared" si="0"/>
        <v>12.5</v>
      </c>
      <c r="G254" s="188">
        <f t="shared" si="1"/>
        <v>13.122999999999999</v>
      </c>
      <c r="H254" s="189">
        <f t="shared" si="2"/>
        <v>246.14657230296032</v>
      </c>
      <c r="I254" s="190">
        <f t="shared" si="9"/>
        <v>1.129812766870588</v>
      </c>
      <c r="J254" s="191">
        <f t="shared" si="10"/>
        <v>39.834408321167963</v>
      </c>
      <c r="K254" s="192" t="b">
        <f t="shared" si="3"/>
        <v>0</v>
      </c>
      <c r="L254" s="193">
        <f t="shared" si="11"/>
        <v>0</v>
      </c>
      <c r="M254" s="194">
        <f t="shared" si="12"/>
        <v>3.3371910851689533E-87</v>
      </c>
      <c r="N254" s="194">
        <f t="shared" si="13"/>
        <v>1.2988430201595135E-5</v>
      </c>
      <c r="O254" s="195">
        <f>IF(ABS(U254)&gt;80,$B$7, LOOKUP(V254,'Force mapping'!$B$7:$B$167,'Force mapping'!$E$7:$E$167))</f>
        <v>536</v>
      </c>
      <c r="P254" s="196">
        <f t="shared" si="4"/>
        <v>0.623</v>
      </c>
      <c r="Q254" s="191">
        <f t="shared" si="5"/>
        <v>2.8641153777876454E-6</v>
      </c>
      <c r="R254" s="197">
        <f>IF(ABS(U254)&gt;80, 0, LOOKUP(V254,'Force mapping'!$B$7:$B$167,'Force mapping'!$D$7:$D$167) * (N254/5) * SIGN(U254))</f>
        <v>0</v>
      </c>
      <c r="S254" s="198">
        <f t="shared" si="6"/>
        <v>0</v>
      </c>
      <c r="T254" s="199">
        <f t="shared" si="14"/>
        <v>32.399883813688163</v>
      </c>
      <c r="U254" s="200">
        <f t="shared" si="15"/>
        <v>-318.13531117401186</v>
      </c>
      <c r="V254" s="200">
        <f t="shared" si="7"/>
        <v>318</v>
      </c>
      <c r="Y254" s="91"/>
      <c r="Z254" s="88"/>
    </row>
    <row r="255" spans="5:26" ht="12.5" x14ac:dyDescent="0.25">
      <c r="E255" s="218"/>
      <c r="F255" s="219"/>
      <c r="G255" s="220"/>
      <c r="H255" s="221"/>
      <c r="I255" s="222"/>
      <c r="J255" s="223"/>
      <c r="K255" s="100"/>
      <c r="L255" s="224"/>
      <c r="M255" s="225"/>
      <c r="N255" s="225"/>
      <c r="O255" s="226"/>
      <c r="P255" s="227"/>
      <c r="Q255" s="223"/>
      <c r="R255" s="228"/>
      <c r="S255" s="229"/>
      <c r="T255" s="230"/>
      <c r="U255" s="231"/>
      <c r="V255" s="231"/>
      <c r="Y255" s="91"/>
      <c r="Z255" s="88"/>
    </row>
    <row r="256" spans="5:26" ht="12.5" x14ac:dyDescent="0.25">
      <c r="E256" s="218"/>
      <c r="F256" s="219"/>
      <c r="G256" s="220"/>
      <c r="H256" s="221"/>
      <c r="I256" s="222"/>
      <c r="J256" s="223"/>
      <c r="K256" s="100"/>
      <c r="L256" s="224"/>
      <c r="M256" s="225"/>
      <c r="N256" s="225"/>
      <c r="O256" s="226"/>
      <c r="P256" s="227"/>
      <c r="Q256" s="223"/>
      <c r="R256" s="228"/>
      <c r="S256" s="229"/>
      <c r="T256" s="230"/>
      <c r="U256" s="231"/>
      <c r="V256" s="231"/>
      <c r="Y256" s="91"/>
      <c r="Z256" s="88"/>
    </row>
    <row r="257" spans="5:26" ht="12.5" x14ac:dyDescent="0.25">
      <c r="E257" s="218"/>
      <c r="F257" s="219"/>
      <c r="G257" s="220"/>
      <c r="H257" s="221"/>
      <c r="I257" s="222"/>
      <c r="J257" s="223"/>
      <c r="K257" s="100"/>
      <c r="L257" s="224"/>
      <c r="M257" s="225"/>
      <c r="N257" s="225"/>
      <c r="O257" s="226"/>
      <c r="P257" s="227"/>
      <c r="Q257" s="223"/>
      <c r="R257" s="228"/>
      <c r="S257" s="229"/>
      <c r="T257" s="230"/>
      <c r="U257" s="231"/>
      <c r="V257" s="231"/>
      <c r="Y257" s="91"/>
      <c r="Z257" s="88"/>
    </row>
    <row r="258" spans="5:26" ht="12.5" x14ac:dyDescent="0.25">
      <c r="E258" s="218"/>
      <c r="F258" s="219"/>
      <c r="G258" s="220"/>
      <c r="H258" s="221"/>
      <c r="I258" s="222"/>
      <c r="J258" s="223"/>
      <c r="K258" s="100"/>
      <c r="L258" s="224"/>
      <c r="M258" s="225"/>
      <c r="N258" s="225"/>
      <c r="O258" s="226"/>
      <c r="P258" s="227"/>
      <c r="Q258" s="223"/>
      <c r="R258" s="228"/>
      <c r="S258" s="229"/>
      <c r="T258" s="230"/>
      <c r="U258" s="231"/>
      <c r="V258" s="231"/>
      <c r="Y258" s="91"/>
      <c r="Z258" s="88"/>
    </row>
    <row r="259" spans="5:26" ht="12.5" x14ac:dyDescent="0.25">
      <c r="E259" s="218"/>
      <c r="F259" s="219"/>
      <c r="G259" s="220"/>
      <c r="H259" s="221"/>
      <c r="I259" s="222"/>
      <c r="J259" s="223"/>
      <c r="K259" s="100"/>
      <c r="L259" s="224"/>
      <c r="M259" s="225"/>
      <c r="N259" s="225"/>
      <c r="O259" s="226"/>
      <c r="P259" s="227"/>
      <c r="Q259" s="223"/>
      <c r="R259" s="228"/>
      <c r="S259" s="229"/>
      <c r="T259" s="230"/>
      <c r="U259" s="231"/>
      <c r="V259" s="231"/>
      <c r="Y259" s="91"/>
      <c r="Z259" s="88"/>
    </row>
    <row r="260" spans="5:26" ht="12.5" x14ac:dyDescent="0.25">
      <c r="E260" s="218"/>
      <c r="F260" s="219"/>
      <c r="G260" s="220"/>
      <c r="H260" s="221"/>
      <c r="I260" s="222"/>
      <c r="J260" s="223"/>
      <c r="K260" s="100"/>
      <c r="L260" s="224"/>
      <c r="M260" s="225"/>
      <c r="N260" s="225"/>
      <c r="O260" s="226"/>
      <c r="P260" s="227"/>
      <c r="Q260" s="223"/>
      <c r="R260" s="228"/>
      <c r="S260" s="229"/>
      <c r="T260" s="230"/>
      <c r="U260" s="231"/>
      <c r="V260" s="231"/>
      <c r="Y260" s="91"/>
      <c r="Z260" s="88"/>
    </row>
    <row r="261" spans="5:26" ht="12.5" x14ac:dyDescent="0.25">
      <c r="E261" s="218"/>
      <c r="F261" s="219"/>
      <c r="G261" s="220"/>
      <c r="H261" s="221"/>
      <c r="I261" s="222"/>
      <c r="J261" s="223"/>
      <c r="K261" s="100"/>
      <c r="L261" s="224"/>
      <c r="M261" s="225"/>
      <c r="N261" s="225"/>
      <c r="O261" s="226"/>
      <c r="P261" s="227"/>
      <c r="Q261" s="223"/>
      <c r="R261" s="228"/>
      <c r="S261" s="229"/>
      <c r="T261" s="230"/>
      <c r="U261" s="231"/>
      <c r="V261" s="231"/>
      <c r="Y261" s="91"/>
      <c r="Z261" s="88"/>
    </row>
    <row r="262" spans="5:26" ht="12.5" x14ac:dyDescent="0.25">
      <c r="E262" s="218"/>
      <c r="F262" s="219"/>
      <c r="G262" s="220"/>
      <c r="H262" s="221"/>
      <c r="I262" s="222"/>
      <c r="J262" s="223"/>
      <c r="K262" s="100"/>
      <c r="L262" s="224"/>
      <c r="M262" s="225"/>
      <c r="N262" s="225"/>
      <c r="O262" s="226"/>
      <c r="P262" s="227"/>
      <c r="Q262" s="223"/>
      <c r="R262" s="228"/>
      <c r="S262" s="229"/>
      <c r="T262" s="230"/>
      <c r="U262" s="231"/>
      <c r="V262" s="231"/>
      <c r="Y262" s="91"/>
      <c r="Z262" s="88"/>
    </row>
    <row r="263" spans="5:26" ht="12.5" x14ac:dyDescent="0.25">
      <c r="E263" s="218"/>
      <c r="F263" s="219"/>
      <c r="G263" s="220"/>
      <c r="H263" s="221"/>
      <c r="I263" s="222"/>
      <c r="J263" s="223"/>
      <c r="K263" s="100"/>
      <c r="L263" s="224"/>
      <c r="M263" s="225"/>
      <c r="N263" s="225"/>
      <c r="O263" s="226"/>
      <c r="P263" s="227"/>
      <c r="Q263" s="223"/>
      <c r="R263" s="228"/>
      <c r="S263" s="229"/>
      <c r="T263" s="230"/>
      <c r="U263" s="231"/>
      <c r="V263" s="231"/>
      <c r="Y263" s="91"/>
      <c r="Z263" s="88"/>
    </row>
    <row r="264" spans="5:26" ht="12.5" x14ac:dyDescent="0.25">
      <c r="E264" s="218"/>
      <c r="F264" s="219"/>
      <c r="G264" s="220"/>
      <c r="H264" s="221"/>
      <c r="I264" s="222"/>
      <c r="J264" s="223"/>
      <c r="K264" s="100"/>
      <c r="L264" s="224"/>
      <c r="M264" s="225"/>
      <c r="N264" s="225"/>
      <c r="O264" s="226"/>
      <c r="P264" s="227"/>
      <c r="Q264" s="223"/>
      <c r="R264" s="228"/>
      <c r="S264" s="229"/>
      <c r="T264" s="230"/>
      <c r="U264" s="231"/>
      <c r="V264" s="231"/>
      <c r="Y264" s="91"/>
      <c r="Z264" s="88"/>
    </row>
    <row r="265" spans="5:26" ht="12.5" x14ac:dyDescent="0.25">
      <c r="E265" s="218"/>
      <c r="F265" s="219"/>
      <c r="G265" s="220"/>
      <c r="H265" s="221"/>
      <c r="I265" s="222"/>
      <c r="J265" s="223"/>
      <c r="K265" s="100"/>
      <c r="L265" s="224"/>
      <c r="M265" s="225"/>
      <c r="N265" s="225"/>
      <c r="O265" s="226"/>
      <c r="P265" s="227"/>
      <c r="Q265" s="223"/>
      <c r="R265" s="228"/>
      <c r="S265" s="229"/>
      <c r="T265" s="230"/>
      <c r="U265" s="231"/>
      <c r="V265" s="231"/>
      <c r="Y265" s="91"/>
      <c r="Z265" s="88"/>
    </row>
    <row r="266" spans="5:26" ht="12.5" x14ac:dyDescent="0.25">
      <c r="E266" s="218"/>
      <c r="F266" s="219"/>
      <c r="G266" s="220"/>
      <c r="H266" s="221"/>
      <c r="I266" s="222"/>
      <c r="J266" s="223"/>
      <c r="K266" s="100"/>
      <c r="L266" s="224"/>
      <c r="M266" s="225"/>
      <c r="N266" s="225"/>
      <c r="O266" s="226"/>
      <c r="P266" s="227"/>
      <c r="Q266" s="223"/>
      <c r="R266" s="228"/>
      <c r="S266" s="229"/>
      <c r="T266" s="230"/>
      <c r="U266" s="231"/>
      <c r="V266" s="231"/>
      <c r="Y266" s="91"/>
      <c r="Z266" s="88"/>
    </row>
    <row r="267" spans="5:26" ht="12.5" x14ac:dyDescent="0.25">
      <c r="E267" s="218"/>
      <c r="F267" s="219"/>
      <c r="G267" s="220"/>
      <c r="H267" s="221"/>
      <c r="I267" s="222"/>
      <c r="J267" s="223"/>
      <c r="K267" s="100"/>
      <c r="L267" s="224"/>
      <c r="M267" s="225"/>
      <c r="N267" s="225"/>
      <c r="O267" s="226"/>
      <c r="P267" s="227"/>
      <c r="Q267" s="223"/>
      <c r="R267" s="228"/>
      <c r="S267" s="229"/>
      <c r="T267" s="230"/>
      <c r="U267" s="231"/>
      <c r="V267" s="231"/>
      <c r="Y267" s="91"/>
      <c r="Z267" s="88"/>
    </row>
    <row r="268" spans="5:26" ht="12.5" x14ac:dyDescent="0.25">
      <c r="F268" s="101"/>
      <c r="G268" s="91"/>
      <c r="H268" s="91"/>
      <c r="I268" s="88"/>
      <c r="J268" s="91"/>
      <c r="K268" s="88"/>
      <c r="L268" s="88"/>
      <c r="M268" s="91"/>
      <c r="N268" s="88"/>
      <c r="O268" s="91"/>
      <c r="P268" s="91"/>
      <c r="Q268" s="88"/>
      <c r="R268" s="91"/>
      <c r="S268" s="91"/>
      <c r="T268" s="88"/>
      <c r="U268" s="88"/>
      <c r="V268" s="88"/>
      <c r="Y268" s="91"/>
      <c r="Z268" s="88"/>
    </row>
    <row r="269" spans="5:26" ht="12.5" x14ac:dyDescent="0.25">
      <c r="F269" s="101"/>
      <c r="G269" s="91"/>
      <c r="H269" s="91"/>
      <c r="I269" s="88"/>
      <c r="J269" s="91"/>
      <c r="K269" s="88"/>
      <c r="L269" s="88"/>
      <c r="M269" s="91"/>
      <c r="N269" s="88"/>
      <c r="O269" s="91"/>
      <c r="P269" s="91"/>
      <c r="Q269" s="88"/>
      <c r="R269" s="91"/>
      <c r="S269" s="91"/>
      <c r="T269" s="88"/>
      <c r="U269" s="88"/>
      <c r="V269" s="88"/>
      <c r="Y269" s="91"/>
      <c r="Z269" s="88"/>
    </row>
    <row r="270" spans="5:26" ht="12.5" x14ac:dyDescent="0.25">
      <c r="F270" s="101"/>
      <c r="G270" s="91"/>
      <c r="H270" s="91"/>
      <c r="I270" s="88"/>
      <c r="J270" s="91"/>
      <c r="K270" s="88"/>
      <c r="L270" s="88"/>
      <c r="M270" s="91"/>
      <c r="N270" s="88"/>
      <c r="O270" s="91"/>
      <c r="P270" s="91"/>
      <c r="Q270" s="88"/>
      <c r="R270" s="91"/>
      <c r="S270" s="91"/>
      <c r="T270" s="88"/>
      <c r="U270" s="88"/>
      <c r="V270" s="88"/>
      <c r="Y270" s="91"/>
      <c r="Z270" s="88"/>
    </row>
    <row r="271" spans="5:26" ht="12.5" x14ac:dyDescent="0.25">
      <c r="F271" s="101"/>
      <c r="G271" s="91"/>
      <c r="H271" s="91"/>
      <c r="I271" s="88"/>
      <c r="J271" s="91"/>
      <c r="K271" s="88"/>
      <c r="L271" s="88"/>
      <c r="M271" s="91"/>
      <c r="N271" s="88"/>
      <c r="O271" s="91"/>
      <c r="P271" s="91"/>
      <c r="Q271" s="88"/>
      <c r="R271" s="91"/>
      <c r="S271" s="91"/>
      <c r="T271" s="88"/>
      <c r="U271" s="88"/>
      <c r="V271" s="88"/>
      <c r="Y271" s="91"/>
      <c r="Z271" s="88"/>
    </row>
    <row r="272" spans="5:26" ht="12.5" x14ac:dyDescent="0.25">
      <c r="F272" s="101"/>
      <c r="G272" s="91"/>
      <c r="H272" s="91"/>
      <c r="I272" s="88"/>
      <c r="J272" s="91"/>
      <c r="K272" s="88"/>
      <c r="L272" s="88"/>
      <c r="M272" s="91"/>
      <c r="N272" s="88"/>
      <c r="O272" s="91"/>
      <c r="P272" s="91"/>
      <c r="Q272" s="88"/>
      <c r="R272" s="91"/>
      <c r="S272" s="91"/>
      <c r="T272" s="88"/>
      <c r="U272" s="88"/>
      <c r="V272" s="88"/>
      <c r="Y272" s="91"/>
      <c r="Z272" s="88"/>
    </row>
    <row r="273" spans="6:26" ht="12.5" x14ac:dyDescent="0.25">
      <c r="F273" s="101"/>
      <c r="G273" s="91"/>
      <c r="H273" s="91"/>
      <c r="I273" s="88"/>
      <c r="J273" s="91"/>
      <c r="K273" s="88"/>
      <c r="L273" s="88"/>
      <c r="M273" s="91"/>
      <c r="N273" s="88"/>
      <c r="O273" s="91"/>
      <c r="P273" s="91"/>
      <c r="Q273" s="88"/>
      <c r="R273" s="91"/>
      <c r="S273" s="91"/>
      <c r="T273" s="88"/>
      <c r="U273" s="88"/>
      <c r="V273" s="88"/>
      <c r="Y273" s="91"/>
      <c r="Z273" s="88"/>
    </row>
    <row r="274" spans="6:26" ht="12.5" x14ac:dyDescent="0.25">
      <c r="F274" s="101"/>
      <c r="G274" s="91"/>
      <c r="H274" s="91"/>
      <c r="I274" s="88"/>
      <c r="J274" s="91"/>
      <c r="K274" s="88"/>
      <c r="L274" s="88"/>
      <c r="M274" s="91"/>
      <c r="N274" s="88"/>
      <c r="O274" s="91"/>
      <c r="P274" s="91"/>
      <c r="Q274" s="88"/>
      <c r="R274" s="91"/>
      <c r="S274" s="91"/>
      <c r="T274" s="88"/>
      <c r="U274" s="88"/>
      <c r="V274" s="88"/>
      <c r="Y274" s="91"/>
      <c r="Z274" s="88"/>
    </row>
    <row r="275" spans="6:26" ht="12.5" x14ac:dyDescent="0.25">
      <c r="F275" s="101"/>
      <c r="G275" s="91"/>
      <c r="H275" s="91"/>
      <c r="I275" s="88"/>
      <c r="J275" s="91"/>
      <c r="K275" s="88"/>
      <c r="L275" s="88"/>
      <c r="M275" s="91"/>
      <c r="N275" s="88"/>
      <c r="O275" s="91"/>
      <c r="P275" s="91"/>
      <c r="Q275" s="88"/>
      <c r="R275" s="91"/>
      <c r="S275" s="91"/>
      <c r="T275" s="88"/>
      <c r="U275" s="88"/>
      <c r="V275" s="88"/>
      <c r="Y275" s="91"/>
      <c r="Z275" s="88"/>
    </row>
    <row r="276" spans="6:26" ht="12.5" x14ac:dyDescent="0.25">
      <c r="F276" s="101"/>
      <c r="G276" s="91"/>
      <c r="H276" s="91"/>
      <c r="I276" s="88"/>
      <c r="J276" s="91"/>
      <c r="K276" s="88"/>
      <c r="L276" s="88"/>
      <c r="M276" s="91"/>
      <c r="N276" s="88"/>
      <c r="O276" s="91"/>
      <c r="P276" s="91"/>
      <c r="Q276" s="88"/>
      <c r="R276" s="91"/>
      <c r="S276" s="91"/>
      <c r="T276" s="88"/>
      <c r="U276" s="88"/>
      <c r="V276" s="88"/>
      <c r="Y276" s="91"/>
      <c r="Z276" s="88"/>
    </row>
    <row r="277" spans="6:26" ht="12.5" x14ac:dyDescent="0.25">
      <c r="F277" s="101"/>
      <c r="G277" s="91"/>
      <c r="H277" s="91"/>
      <c r="I277" s="88"/>
      <c r="J277" s="91"/>
      <c r="K277" s="88"/>
      <c r="L277" s="88"/>
      <c r="M277" s="91"/>
      <c r="N277" s="88"/>
      <c r="O277" s="91"/>
      <c r="P277" s="91"/>
      <c r="Q277" s="88"/>
      <c r="R277" s="91"/>
      <c r="S277" s="91"/>
      <c r="T277" s="88"/>
      <c r="U277" s="88"/>
      <c r="V277" s="88"/>
      <c r="Y277" s="91"/>
      <c r="Z277" s="88"/>
    </row>
    <row r="278" spans="6:26" ht="12.5" x14ac:dyDescent="0.25">
      <c r="F278" s="101"/>
      <c r="G278" s="91"/>
      <c r="H278" s="91"/>
      <c r="I278" s="88"/>
      <c r="J278" s="91"/>
      <c r="K278" s="88"/>
      <c r="L278" s="88"/>
      <c r="M278" s="91"/>
      <c r="N278" s="88"/>
      <c r="O278" s="91"/>
      <c r="P278" s="91"/>
      <c r="Q278" s="88"/>
      <c r="R278" s="91"/>
      <c r="S278" s="91"/>
      <c r="T278" s="88"/>
      <c r="U278" s="88"/>
      <c r="V278" s="88"/>
      <c r="Y278" s="91"/>
      <c r="Z278" s="88"/>
    </row>
    <row r="279" spans="6:26" ht="12.5" x14ac:dyDescent="0.25">
      <c r="F279" s="101"/>
      <c r="G279" s="91"/>
      <c r="H279" s="91"/>
      <c r="I279" s="88"/>
      <c r="J279" s="91"/>
      <c r="K279" s="88"/>
      <c r="L279" s="88"/>
      <c r="M279" s="91"/>
      <c r="N279" s="88"/>
      <c r="O279" s="91"/>
      <c r="P279" s="91"/>
      <c r="Q279" s="88"/>
      <c r="R279" s="91"/>
      <c r="S279" s="91"/>
      <c r="T279" s="88"/>
      <c r="U279" s="88"/>
      <c r="V279" s="88"/>
      <c r="Y279" s="91"/>
      <c r="Z279" s="88"/>
    </row>
    <row r="280" spans="6:26" ht="12.5" x14ac:dyDescent="0.25">
      <c r="F280" s="101"/>
      <c r="G280" s="91"/>
      <c r="H280" s="91"/>
      <c r="I280" s="88"/>
      <c r="J280" s="91"/>
      <c r="K280" s="88"/>
      <c r="L280" s="88"/>
      <c r="M280" s="91"/>
      <c r="N280" s="88"/>
      <c r="O280" s="91"/>
      <c r="P280" s="91"/>
      <c r="Q280" s="88"/>
      <c r="R280" s="91"/>
      <c r="S280" s="91"/>
      <c r="T280" s="88"/>
      <c r="U280" s="88"/>
      <c r="V280" s="88"/>
      <c r="Y280" s="91"/>
      <c r="Z280" s="88"/>
    </row>
    <row r="281" spans="6:26" ht="12.5" x14ac:dyDescent="0.25">
      <c r="F281" s="101"/>
      <c r="G281" s="91"/>
      <c r="H281" s="91"/>
      <c r="I281" s="88"/>
      <c r="J281" s="91"/>
      <c r="K281" s="88"/>
      <c r="L281" s="88"/>
      <c r="M281" s="91"/>
      <c r="N281" s="88"/>
      <c r="O281" s="91"/>
      <c r="P281" s="91"/>
      <c r="Q281" s="88"/>
      <c r="R281" s="91"/>
      <c r="S281" s="91"/>
      <c r="T281" s="88"/>
      <c r="U281" s="88"/>
      <c r="V281" s="88"/>
      <c r="Y281" s="91"/>
      <c r="Z281" s="88"/>
    </row>
    <row r="282" spans="6:26" ht="12.5" x14ac:dyDescent="0.25">
      <c r="F282" s="101"/>
      <c r="G282" s="91"/>
      <c r="H282" s="91"/>
      <c r="I282" s="88"/>
      <c r="J282" s="91"/>
      <c r="K282" s="88"/>
      <c r="L282" s="88"/>
      <c r="M282" s="91"/>
      <c r="N282" s="88"/>
      <c r="O282" s="91"/>
      <c r="P282" s="91"/>
      <c r="Q282" s="88"/>
      <c r="R282" s="91"/>
      <c r="S282" s="91"/>
      <c r="T282" s="88"/>
      <c r="U282" s="88"/>
      <c r="V282" s="88"/>
      <c r="Y282" s="91"/>
      <c r="Z282" s="88"/>
    </row>
    <row r="283" spans="6:26" ht="12.5" x14ac:dyDescent="0.25">
      <c r="F283" s="101"/>
      <c r="G283" s="91"/>
      <c r="H283" s="91"/>
      <c r="I283" s="88"/>
      <c r="J283" s="91"/>
      <c r="K283" s="88"/>
      <c r="L283" s="88"/>
      <c r="M283" s="91"/>
      <c r="N283" s="88"/>
      <c r="O283" s="91"/>
      <c r="P283" s="91"/>
      <c r="Q283" s="88"/>
      <c r="R283" s="91"/>
      <c r="S283" s="91"/>
      <c r="T283" s="88"/>
      <c r="U283" s="88"/>
      <c r="V283" s="88"/>
      <c r="Y283" s="91"/>
      <c r="Z283" s="88"/>
    </row>
    <row r="284" spans="6:26" ht="12.5" x14ac:dyDescent="0.25">
      <c r="F284" s="101"/>
      <c r="G284" s="91"/>
      <c r="H284" s="91"/>
      <c r="I284" s="88"/>
      <c r="J284" s="91"/>
      <c r="K284" s="88"/>
      <c r="L284" s="88"/>
      <c r="M284" s="91"/>
      <c r="N284" s="88"/>
      <c r="O284" s="91"/>
      <c r="P284" s="91"/>
      <c r="Q284" s="88"/>
      <c r="R284" s="91"/>
      <c r="S284" s="91"/>
      <c r="T284" s="88"/>
      <c r="U284" s="88"/>
      <c r="V284" s="88"/>
      <c r="Y284" s="91"/>
      <c r="Z284" s="88"/>
    </row>
    <row r="285" spans="6:26" ht="12.5" x14ac:dyDescent="0.25">
      <c r="F285" s="101"/>
      <c r="G285" s="91"/>
      <c r="H285" s="91"/>
      <c r="I285" s="88"/>
      <c r="J285" s="91"/>
      <c r="K285" s="88"/>
      <c r="L285" s="88"/>
      <c r="M285" s="91"/>
      <c r="N285" s="88"/>
      <c r="O285" s="91"/>
      <c r="P285" s="91"/>
      <c r="Q285" s="88"/>
      <c r="R285" s="91"/>
      <c r="S285" s="91"/>
      <c r="T285" s="88"/>
      <c r="U285" s="88"/>
      <c r="V285" s="88"/>
      <c r="Y285" s="91"/>
      <c r="Z285" s="88"/>
    </row>
    <row r="286" spans="6:26" ht="12.5" x14ac:dyDescent="0.25">
      <c r="F286" s="101"/>
      <c r="G286" s="91"/>
      <c r="H286" s="91"/>
      <c r="I286" s="88"/>
      <c r="J286" s="91"/>
      <c r="K286" s="88"/>
      <c r="L286" s="88"/>
      <c r="M286" s="91"/>
      <c r="N286" s="88"/>
      <c r="O286" s="91"/>
      <c r="P286" s="91"/>
      <c r="Q286" s="88"/>
      <c r="R286" s="91"/>
      <c r="S286" s="91"/>
      <c r="T286" s="88"/>
      <c r="U286" s="88"/>
      <c r="V286" s="88"/>
      <c r="Y286" s="91"/>
      <c r="Z286" s="88"/>
    </row>
    <row r="287" spans="6:26" ht="12.5" x14ac:dyDescent="0.25">
      <c r="F287" s="101"/>
      <c r="G287" s="91"/>
      <c r="H287" s="91"/>
      <c r="I287" s="88"/>
      <c r="J287" s="91"/>
      <c r="K287" s="88"/>
      <c r="L287" s="88"/>
      <c r="M287" s="91"/>
      <c r="N287" s="88"/>
      <c r="O287" s="91"/>
      <c r="P287" s="91"/>
      <c r="Q287" s="88"/>
      <c r="R287" s="91"/>
      <c r="S287" s="91"/>
      <c r="T287" s="88"/>
      <c r="U287" s="88"/>
      <c r="V287" s="88"/>
      <c r="Y287" s="91"/>
      <c r="Z287" s="88"/>
    </row>
    <row r="288" spans="6:26" ht="12.5" x14ac:dyDescent="0.25">
      <c r="F288" s="101"/>
      <c r="G288" s="91"/>
      <c r="H288" s="91"/>
      <c r="I288" s="88"/>
      <c r="J288" s="91"/>
      <c r="K288" s="88"/>
      <c r="L288" s="88"/>
      <c r="M288" s="91"/>
      <c r="N288" s="88"/>
      <c r="O288" s="91"/>
      <c r="P288" s="91"/>
      <c r="Q288" s="88"/>
      <c r="R288" s="91"/>
      <c r="S288" s="91"/>
      <c r="T288" s="88"/>
      <c r="U288" s="88"/>
      <c r="V288" s="88"/>
      <c r="Y288" s="91"/>
      <c r="Z288" s="88"/>
    </row>
    <row r="289" spans="6:26" ht="12.5" x14ac:dyDescent="0.25">
      <c r="F289" s="101"/>
      <c r="G289" s="91"/>
      <c r="H289" s="91"/>
      <c r="I289" s="88"/>
      <c r="J289" s="91"/>
      <c r="K289" s="88"/>
      <c r="L289" s="88"/>
      <c r="M289" s="91"/>
      <c r="N289" s="88"/>
      <c r="O289" s="91"/>
      <c r="P289" s="91"/>
      <c r="Q289" s="88"/>
      <c r="R289" s="91"/>
      <c r="S289" s="91"/>
      <c r="T289" s="88"/>
      <c r="U289" s="88"/>
      <c r="V289" s="88"/>
      <c r="Y289" s="91"/>
      <c r="Z289" s="88"/>
    </row>
    <row r="290" spans="6:26" ht="12.5" x14ac:dyDescent="0.25">
      <c r="F290" s="101"/>
      <c r="G290" s="91"/>
      <c r="H290" s="91"/>
      <c r="I290" s="88"/>
      <c r="J290" s="91"/>
      <c r="K290" s="88"/>
      <c r="L290" s="88"/>
      <c r="M290" s="91"/>
      <c r="N290" s="88"/>
      <c r="O290" s="91"/>
      <c r="P290" s="91"/>
      <c r="Q290" s="88"/>
      <c r="R290" s="91"/>
      <c r="S290" s="91"/>
      <c r="T290" s="88"/>
      <c r="U290" s="88"/>
      <c r="V290" s="88"/>
      <c r="Y290" s="91"/>
      <c r="Z290" s="88"/>
    </row>
    <row r="291" spans="6:26" ht="12.5" x14ac:dyDescent="0.25">
      <c r="F291" s="101"/>
      <c r="G291" s="91"/>
      <c r="H291" s="91"/>
      <c r="I291" s="88"/>
      <c r="J291" s="91"/>
      <c r="K291" s="88"/>
      <c r="L291" s="88"/>
      <c r="M291" s="91"/>
      <c r="N291" s="88"/>
      <c r="O291" s="91"/>
      <c r="P291" s="91"/>
      <c r="Q291" s="88"/>
      <c r="R291" s="91"/>
      <c r="S291" s="91"/>
      <c r="T291" s="88"/>
      <c r="U291" s="88"/>
      <c r="V291" s="88"/>
      <c r="Y291" s="91"/>
      <c r="Z291" s="88"/>
    </row>
    <row r="292" spans="6:26" ht="12.5" x14ac:dyDescent="0.25">
      <c r="F292" s="101"/>
      <c r="G292" s="91"/>
      <c r="H292" s="91"/>
      <c r="I292" s="88"/>
      <c r="J292" s="91"/>
      <c r="K292" s="88"/>
      <c r="L292" s="88"/>
      <c r="M292" s="91"/>
      <c r="N292" s="88"/>
      <c r="O292" s="91"/>
      <c r="P292" s="91"/>
      <c r="Q292" s="88"/>
      <c r="R292" s="91"/>
      <c r="S292" s="91"/>
      <c r="T292" s="88"/>
      <c r="U292" s="88"/>
      <c r="V292" s="88"/>
      <c r="Y292" s="91"/>
      <c r="Z292" s="88"/>
    </row>
    <row r="293" spans="6:26" ht="12.5" x14ac:dyDescent="0.25">
      <c r="F293" s="101"/>
      <c r="G293" s="91"/>
      <c r="H293" s="91"/>
      <c r="I293" s="88"/>
      <c r="J293" s="91"/>
      <c r="K293" s="88"/>
      <c r="L293" s="88"/>
      <c r="M293" s="91"/>
      <c r="N293" s="88"/>
      <c r="O293" s="91"/>
      <c r="P293" s="91"/>
      <c r="Q293" s="88"/>
      <c r="R293" s="91"/>
      <c r="S293" s="91"/>
      <c r="T293" s="88"/>
      <c r="U293" s="88"/>
      <c r="V293" s="88"/>
      <c r="Y293" s="91"/>
      <c r="Z293" s="88"/>
    </row>
    <row r="294" spans="6:26" ht="12.5" x14ac:dyDescent="0.25">
      <c r="F294" s="101"/>
      <c r="G294" s="91"/>
      <c r="H294" s="91"/>
      <c r="I294" s="88"/>
      <c r="J294" s="91"/>
      <c r="K294" s="88"/>
      <c r="L294" s="88"/>
      <c r="M294" s="91"/>
      <c r="N294" s="88"/>
      <c r="O294" s="91"/>
      <c r="P294" s="91"/>
      <c r="Q294" s="88"/>
      <c r="R294" s="91"/>
      <c r="S294" s="91"/>
      <c r="T294" s="88"/>
      <c r="U294" s="88"/>
      <c r="V294" s="88"/>
      <c r="Y294" s="91"/>
      <c r="Z294" s="88"/>
    </row>
    <row r="295" spans="6:26" ht="12.5" x14ac:dyDescent="0.25">
      <c r="F295" s="101"/>
      <c r="G295" s="91"/>
      <c r="H295" s="91"/>
      <c r="I295" s="88"/>
      <c r="J295" s="91"/>
      <c r="K295" s="88"/>
      <c r="L295" s="88"/>
      <c r="M295" s="91"/>
      <c r="N295" s="88"/>
      <c r="O295" s="91"/>
      <c r="P295" s="91"/>
      <c r="Q295" s="88"/>
      <c r="R295" s="91"/>
      <c r="S295" s="91"/>
      <c r="T295" s="88"/>
      <c r="U295" s="88"/>
      <c r="V295" s="88"/>
      <c r="Y295" s="91"/>
      <c r="Z295" s="88"/>
    </row>
    <row r="296" spans="6:26" ht="12.5" x14ac:dyDescent="0.25">
      <c r="F296" s="101"/>
      <c r="G296" s="91"/>
      <c r="H296" s="91"/>
      <c r="I296" s="88"/>
      <c r="J296" s="91"/>
      <c r="K296" s="88"/>
      <c r="L296" s="88"/>
      <c r="M296" s="91"/>
      <c r="N296" s="88"/>
      <c r="O296" s="91"/>
      <c r="P296" s="91"/>
      <c r="Q296" s="88"/>
      <c r="R296" s="91"/>
      <c r="S296" s="91"/>
      <c r="T296" s="88"/>
      <c r="U296" s="88"/>
      <c r="V296" s="88"/>
      <c r="Y296" s="91"/>
      <c r="Z296" s="88"/>
    </row>
    <row r="297" spans="6:26" ht="12.5" x14ac:dyDescent="0.25">
      <c r="F297" s="101"/>
      <c r="G297" s="91"/>
      <c r="H297" s="91"/>
      <c r="I297" s="88"/>
      <c r="J297" s="91"/>
      <c r="K297" s="88"/>
      <c r="L297" s="88"/>
      <c r="M297" s="91"/>
      <c r="N297" s="88"/>
      <c r="O297" s="91"/>
      <c r="P297" s="91"/>
      <c r="Q297" s="88"/>
      <c r="R297" s="91"/>
      <c r="S297" s="91"/>
      <c r="T297" s="88"/>
      <c r="U297" s="88"/>
      <c r="V297" s="88"/>
      <c r="Y297" s="91"/>
      <c r="Z297" s="88"/>
    </row>
    <row r="298" spans="6:26" ht="12.5" x14ac:dyDescent="0.25">
      <c r="F298" s="101"/>
      <c r="G298" s="91"/>
      <c r="H298" s="91"/>
      <c r="I298" s="88"/>
      <c r="J298" s="91"/>
      <c r="K298" s="88"/>
      <c r="L298" s="88"/>
      <c r="M298" s="91"/>
      <c r="N298" s="88"/>
      <c r="O298" s="91"/>
      <c r="P298" s="91"/>
      <c r="Q298" s="88"/>
      <c r="R298" s="91"/>
      <c r="S298" s="91"/>
      <c r="T298" s="88"/>
      <c r="U298" s="88"/>
      <c r="V298" s="88"/>
      <c r="Y298" s="91"/>
      <c r="Z298" s="88"/>
    </row>
    <row r="299" spans="6:26" ht="12.5" x14ac:dyDescent="0.25">
      <c r="F299" s="101"/>
      <c r="G299" s="91"/>
      <c r="H299" s="91"/>
      <c r="I299" s="88"/>
      <c r="J299" s="91"/>
      <c r="K299" s="88"/>
      <c r="L299" s="88"/>
      <c r="M299" s="91"/>
      <c r="N299" s="88"/>
      <c r="O299" s="91"/>
      <c r="P299" s="91"/>
      <c r="Q299" s="88"/>
      <c r="R299" s="91"/>
      <c r="S299" s="91"/>
      <c r="T299" s="88"/>
      <c r="U299" s="88"/>
      <c r="V299" s="88"/>
      <c r="Y299" s="91"/>
      <c r="Z299" s="88"/>
    </row>
    <row r="300" spans="6:26" ht="12.5" x14ac:dyDescent="0.25">
      <c r="F300" s="101"/>
      <c r="G300" s="91"/>
      <c r="H300" s="91"/>
      <c r="I300" s="88"/>
      <c r="J300" s="91"/>
      <c r="K300" s="88"/>
      <c r="L300" s="88"/>
      <c r="M300" s="91"/>
      <c r="N300" s="88"/>
      <c r="O300" s="91"/>
      <c r="P300" s="91"/>
      <c r="Q300" s="88"/>
      <c r="R300" s="91"/>
      <c r="S300" s="91"/>
      <c r="T300" s="88"/>
      <c r="U300" s="88"/>
      <c r="V300" s="88"/>
      <c r="Y300" s="91"/>
      <c r="Z300" s="88"/>
    </row>
    <row r="301" spans="6:26" ht="12.5" x14ac:dyDescent="0.25">
      <c r="F301" s="101"/>
      <c r="G301" s="91"/>
      <c r="H301" s="91"/>
      <c r="I301" s="88"/>
      <c r="J301" s="91"/>
      <c r="K301" s="88"/>
      <c r="L301" s="88"/>
      <c r="M301" s="91"/>
      <c r="N301" s="88"/>
      <c r="O301" s="91"/>
      <c r="P301" s="91"/>
      <c r="Q301" s="88"/>
      <c r="R301" s="91"/>
      <c r="S301" s="91"/>
      <c r="T301" s="88"/>
      <c r="U301" s="88"/>
      <c r="V301" s="88"/>
      <c r="Y301" s="91"/>
      <c r="Z301" s="88"/>
    </row>
    <row r="302" spans="6:26" ht="12.5" x14ac:dyDescent="0.25">
      <c r="F302" s="101"/>
      <c r="G302" s="91"/>
      <c r="H302" s="91"/>
      <c r="I302" s="88"/>
      <c r="J302" s="91"/>
      <c r="K302" s="88"/>
      <c r="L302" s="88"/>
      <c r="M302" s="91"/>
      <c r="N302" s="88"/>
      <c r="O302" s="91"/>
      <c r="P302" s="91"/>
      <c r="Q302" s="88"/>
      <c r="R302" s="91"/>
      <c r="S302" s="91"/>
      <c r="T302" s="88"/>
      <c r="U302" s="88"/>
      <c r="V302" s="88"/>
      <c r="Y302" s="91"/>
      <c r="Z302" s="88"/>
    </row>
    <row r="303" spans="6:26" ht="12.5" x14ac:dyDescent="0.25">
      <c r="F303" s="101"/>
      <c r="G303" s="91"/>
      <c r="H303" s="91"/>
      <c r="I303" s="88"/>
      <c r="J303" s="91"/>
      <c r="K303" s="88"/>
      <c r="L303" s="88"/>
      <c r="M303" s="91"/>
      <c r="N303" s="88"/>
      <c r="O303" s="91"/>
      <c r="P303" s="91"/>
      <c r="Q303" s="88"/>
      <c r="R303" s="91"/>
      <c r="S303" s="91"/>
      <c r="T303" s="88"/>
      <c r="U303" s="88"/>
      <c r="V303" s="88"/>
      <c r="Y303" s="91"/>
      <c r="Z303" s="88"/>
    </row>
    <row r="304" spans="6:26" ht="12.5" x14ac:dyDescent="0.25">
      <c r="F304" s="101"/>
      <c r="G304" s="91"/>
      <c r="H304" s="91"/>
      <c r="I304" s="88"/>
      <c r="J304" s="91"/>
      <c r="K304" s="88"/>
      <c r="L304" s="88"/>
      <c r="M304" s="91"/>
      <c r="N304" s="88"/>
      <c r="O304" s="91"/>
      <c r="P304" s="91"/>
      <c r="Q304" s="88"/>
      <c r="R304" s="91"/>
      <c r="S304" s="91"/>
      <c r="T304" s="88"/>
      <c r="U304" s="88"/>
      <c r="V304" s="88"/>
      <c r="Y304" s="91"/>
      <c r="Z304" s="88"/>
    </row>
    <row r="305" spans="6:26" ht="12.5" x14ac:dyDescent="0.25">
      <c r="F305" s="101"/>
      <c r="G305" s="91"/>
      <c r="H305" s="91"/>
      <c r="I305" s="88"/>
      <c r="J305" s="91"/>
      <c r="K305" s="88"/>
      <c r="L305" s="88"/>
      <c r="M305" s="91"/>
      <c r="N305" s="88"/>
      <c r="O305" s="91"/>
      <c r="P305" s="91"/>
      <c r="Q305" s="88"/>
      <c r="R305" s="91"/>
      <c r="S305" s="91"/>
      <c r="T305" s="88"/>
      <c r="U305" s="88"/>
      <c r="V305" s="88"/>
      <c r="Y305" s="91"/>
      <c r="Z305" s="88"/>
    </row>
    <row r="306" spans="6:26" ht="12.5" x14ac:dyDescent="0.25">
      <c r="F306" s="101"/>
      <c r="G306" s="91"/>
      <c r="H306" s="91"/>
      <c r="I306" s="88"/>
      <c r="J306" s="91"/>
      <c r="K306" s="88"/>
      <c r="L306" s="88"/>
      <c r="M306" s="91"/>
      <c r="N306" s="88"/>
      <c r="O306" s="91"/>
      <c r="P306" s="91"/>
      <c r="Q306" s="88"/>
      <c r="R306" s="91"/>
      <c r="S306" s="91"/>
      <c r="T306" s="88"/>
      <c r="U306" s="88"/>
      <c r="V306" s="88"/>
      <c r="Y306" s="91"/>
      <c r="Z306" s="88"/>
    </row>
    <row r="307" spans="6:26" ht="12.5" x14ac:dyDescent="0.25">
      <c r="F307" s="101"/>
      <c r="G307" s="91"/>
      <c r="H307" s="91"/>
      <c r="I307" s="88"/>
      <c r="J307" s="91"/>
      <c r="K307" s="88"/>
      <c r="L307" s="88"/>
      <c r="M307" s="91"/>
      <c r="N307" s="88"/>
      <c r="O307" s="91"/>
      <c r="P307" s="91"/>
      <c r="Q307" s="88"/>
      <c r="R307" s="91"/>
      <c r="S307" s="91"/>
      <c r="T307" s="88"/>
      <c r="U307" s="88"/>
      <c r="V307" s="88"/>
      <c r="Y307" s="91"/>
      <c r="Z307" s="88"/>
    </row>
    <row r="308" spans="6:26" ht="12.5" x14ac:dyDescent="0.25">
      <c r="F308" s="101"/>
      <c r="G308" s="91"/>
      <c r="H308" s="91"/>
      <c r="I308" s="88"/>
      <c r="J308" s="91"/>
      <c r="K308" s="88"/>
      <c r="L308" s="88"/>
      <c r="M308" s="91"/>
      <c r="N308" s="88"/>
      <c r="O308" s="91"/>
      <c r="P308" s="91"/>
      <c r="Q308" s="88"/>
      <c r="R308" s="91"/>
      <c r="S308" s="91"/>
      <c r="T308" s="88"/>
      <c r="U308" s="88"/>
      <c r="V308" s="88"/>
      <c r="Y308" s="91"/>
      <c r="Z308" s="88"/>
    </row>
    <row r="309" spans="6:26" ht="12.5" x14ac:dyDescent="0.25">
      <c r="F309" s="101"/>
      <c r="G309" s="91"/>
      <c r="H309" s="91"/>
      <c r="I309" s="88"/>
      <c r="J309" s="91"/>
      <c r="K309" s="88"/>
      <c r="L309" s="88"/>
      <c r="M309" s="91"/>
      <c r="N309" s="88"/>
      <c r="O309" s="91"/>
      <c r="P309" s="91"/>
      <c r="Q309" s="88"/>
      <c r="R309" s="91"/>
      <c r="S309" s="91"/>
      <c r="T309" s="88"/>
      <c r="U309" s="88"/>
      <c r="V309" s="88"/>
      <c r="Y309" s="91"/>
      <c r="Z309" s="88"/>
    </row>
    <row r="310" spans="6:26" ht="12.5" x14ac:dyDescent="0.25">
      <c r="F310" s="101"/>
      <c r="G310" s="91"/>
      <c r="H310" s="91"/>
      <c r="I310" s="88"/>
      <c r="J310" s="91"/>
      <c r="K310" s="88"/>
      <c r="L310" s="88"/>
      <c r="M310" s="91"/>
      <c r="N310" s="88"/>
      <c r="O310" s="91"/>
      <c r="P310" s="91"/>
      <c r="Q310" s="88"/>
      <c r="R310" s="91"/>
      <c r="S310" s="91"/>
      <c r="T310" s="88"/>
      <c r="U310" s="88"/>
      <c r="V310" s="88"/>
      <c r="Y310" s="91"/>
      <c r="Z310" s="88"/>
    </row>
    <row r="311" spans="6:26" ht="12.5" x14ac:dyDescent="0.25">
      <c r="F311" s="101"/>
      <c r="G311" s="91"/>
      <c r="H311" s="91"/>
      <c r="I311" s="88"/>
      <c r="J311" s="91"/>
      <c r="K311" s="88"/>
      <c r="L311" s="88"/>
      <c r="M311" s="91"/>
      <c r="N311" s="88"/>
      <c r="O311" s="91"/>
      <c r="P311" s="91"/>
      <c r="Q311" s="88"/>
      <c r="R311" s="91"/>
      <c r="S311" s="91"/>
      <c r="T311" s="88"/>
      <c r="U311" s="88"/>
      <c r="V311" s="88"/>
      <c r="Y311" s="91"/>
      <c r="Z311" s="88"/>
    </row>
    <row r="312" spans="6:26" ht="12.5" x14ac:dyDescent="0.25">
      <c r="F312" s="101"/>
      <c r="G312" s="91"/>
      <c r="H312" s="91"/>
      <c r="I312" s="88"/>
      <c r="J312" s="91"/>
      <c r="K312" s="88"/>
      <c r="L312" s="88"/>
      <c r="M312" s="91"/>
      <c r="N312" s="88"/>
      <c r="O312" s="91"/>
      <c r="P312" s="91"/>
      <c r="Q312" s="88"/>
      <c r="R312" s="91"/>
      <c r="S312" s="91"/>
      <c r="T312" s="88"/>
      <c r="U312" s="88"/>
      <c r="V312" s="88"/>
      <c r="Y312" s="91"/>
      <c r="Z312" s="88"/>
    </row>
    <row r="313" spans="6:26" ht="12.5" x14ac:dyDescent="0.25">
      <c r="F313" s="101"/>
      <c r="G313" s="91"/>
      <c r="H313" s="91"/>
      <c r="I313" s="88"/>
      <c r="J313" s="91"/>
      <c r="K313" s="88"/>
      <c r="L313" s="88"/>
      <c r="M313" s="91"/>
      <c r="N313" s="88"/>
      <c r="O313" s="91"/>
      <c r="P313" s="91"/>
      <c r="Q313" s="88"/>
      <c r="R313" s="91"/>
      <c r="S313" s="91"/>
      <c r="T313" s="88"/>
      <c r="U313" s="88"/>
      <c r="V313" s="88"/>
      <c r="Y313" s="91"/>
      <c r="Z313" s="88"/>
    </row>
    <row r="314" spans="6:26" ht="12.5" x14ac:dyDescent="0.25">
      <c r="F314" s="101"/>
      <c r="G314" s="91"/>
      <c r="H314" s="91"/>
      <c r="I314" s="88"/>
      <c r="J314" s="91"/>
      <c r="K314" s="88"/>
      <c r="L314" s="88"/>
      <c r="M314" s="91"/>
      <c r="N314" s="88"/>
      <c r="O314" s="91"/>
      <c r="P314" s="91"/>
      <c r="Q314" s="88"/>
      <c r="R314" s="91"/>
      <c r="S314" s="91"/>
      <c r="T314" s="88"/>
      <c r="U314" s="88"/>
      <c r="V314" s="88"/>
      <c r="Y314" s="91"/>
      <c r="Z314" s="88"/>
    </row>
    <row r="315" spans="6:26" ht="12.5" x14ac:dyDescent="0.25">
      <c r="F315" s="101"/>
      <c r="G315" s="91"/>
      <c r="H315" s="91"/>
      <c r="I315" s="88"/>
      <c r="J315" s="91"/>
      <c r="K315" s="88"/>
      <c r="L315" s="88"/>
      <c r="M315" s="91"/>
      <c r="N315" s="88"/>
      <c r="O315" s="91"/>
      <c r="P315" s="91"/>
      <c r="Q315" s="88"/>
      <c r="R315" s="91"/>
      <c r="S315" s="91"/>
      <c r="T315" s="88"/>
      <c r="U315" s="88"/>
      <c r="V315" s="88"/>
      <c r="Y315" s="91"/>
      <c r="Z315" s="88"/>
    </row>
    <row r="316" spans="6:26" ht="12.5" x14ac:dyDescent="0.25">
      <c r="F316" s="101"/>
      <c r="G316" s="91"/>
      <c r="H316" s="91"/>
      <c r="I316" s="88"/>
      <c r="J316" s="91"/>
      <c r="K316" s="88"/>
      <c r="L316" s="88"/>
      <c r="M316" s="91"/>
      <c r="N316" s="88"/>
      <c r="O316" s="91"/>
      <c r="P316" s="91"/>
      <c r="Q316" s="88"/>
      <c r="R316" s="91"/>
      <c r="S316" s="91"/>
      <c r="T316" s="88"/>
      <c r="U316" s="88"/>
      <c r="V316" s="88"/>
      <c r="Y316" s="91"/>
      <c r="Z316" s="88"/>
    </row>
    <row r="317" spans="6:26" ht="12.5" x14ac:dyDescent="0.25">
      <c r="F317" s="101"/>
      <c r="G317" s="91"/>
      <c r="H317" s="91"/>
      <c r="I317" s="88"/>
      <c r="J317" s="91"/>
      <c r="K317" s="88"/>
      <c r="L317" s="88"/>
      <c r="M317" s="91"/>
      <c r="N317" s="88"/>
      <c r="O317" s="91"/>
      <c r="P317" s="91"/>
      <c r="Q317" s="88"/>
      <c r="R317" s="91"/>
      <c r="S317" s="91"/>
      <c r="T317" s="88"/>
      <c r="U317" s="88"/>
      <c r="V317" s="88"/>
      <c r="Y317" s="91"/>
      <c r="Z317" s="88"/>
    </row>
    <row r="318" spans="6:26" ht="12.5" x14ac:dyDescent="0.25">
      <c r="F318" s="101"/>
      <c r="G318" s="91"/>
      <c r="H318" s="91"/>
      <c r="I318" s="88"/>
      <c r="J318" s="91"/>
      <c r="K318" s="88"/>
      <c r="L318" s="88"/>
      <c r="M318" s="91"/>
      <c r="N318" s="88"/>
      <c r="O318" s="91"/>
      <c r="P318" s="91"/>
      <c r="Q318" s="88"/>
      <c r="R318" s="91"/>
      <c r="S318" s="91"/>
      <c r="T318" s="88"/>
      <c r="U318" s="88"/>
      <c r="V318" s="88"/>
      <c r="Y318" s="91"/>
      <c r="Z318" s="88"/>
    </row>
    <row r="319" spans="6:26" ht="12.5" x14ac:dyDescent="0.25">
      <c r="F319" s="101"/>
      <c r="G319" s="91"/>
      <c r="H319" s="91"/>
      <c r="I319" s="88"/>
      <c r="J319" s="91"/>
      <c r="K319" s="88"/>
      <c r="L319" s="88"/>
      <c r="M319" s="91"/>
      <c r="N319" s="88"/>
      <c r="O319" s="91"/>
      <c r="P319" s="91"/>
      <c r="Q319" s="88"/>
      <c r="R319" s="91"/>
      <c r="S319" s="91"/>
      <c r="T319" s="88"/>
      <c r="U319" s="88"/>
      <c r="V319" s="88"/>
      <c r="Y319" s="91"/>
      <c r="Z319" s="88"/>
    </row>
    <row r="320" spans="6:26" ht="12.5" x14ac:dyDescent="0.25">
      <c r="F320" s="101"/>
      <c r="G320" s="91"/>
      <c r="H320" s="91"/>
      <c r="I320" s="88"/>
      <c r="J320" s="91"/>
      <c r="K320" s="88"/>
      <c r="L320" s="88"/>
      <c r="M320" s="91"/>
      <c r="N320" s="88"/>
      <c r="O320" s="91"/>
      <c r="P320" s="91"/>
      <c r="Q320" s="88"/>
      <c r="R320" s="91"/>
      <c r="S320" s="91"/>
      <c r="T320" s="88"/>
      <c r="U320" s="88"/>
      <c r="V320" s="88"/>
      <c r="Y320" s="91"/>
      <c r="Z320" s="88"/>
    </row>
    <row r="321" spans="6:26" ht="12.5" x14ac:dyDescent="0.25">
      <c r="F321" s="101"/>
      <c r="G321" s="91"/>
      <c r="H321" s="91"/>
      <c r="I321" s="88"/>
      <c r="J321" s="91"/>
      <c r="K321" s="88"/>
      <c r="L321" s="88"/>
      <c r="M321" s="91"/>
      <c r="N321" s="88"/>
      <c r="O321" s="91"/>
      <c r="P321" s="91"/>
      <c r="Q321" s="88"/>
      <c r="R321" s="91"/>
      <c r="S321" s="91"/>
      <c r="T321" s="88"/>
      <c r="U321" s="88"/>
      <c r="V321" s="88"/>
      <c r="Y321" s="91"/>
      <c r="Z321" s="88"/>
    </row>
    <row r="322" spans="6:26" ht="12.5" x14ac:dyDescent="0.25">
      <c r="F322" s="101"/>
      <c r="G322" s="91"/>
      <c r="H322" s="91"/>
      <c r="I322" s="88"/>
      <c r="J322" s="91"/>
      <c r="K322" s="88"/>
      <c r="L322" s="88"/>
      <c r="M322" s="91"/>
      <c r="N322" s="88"/>
      <c r="O322" s="91"/>
      <c r="P322" s="91"/>
      <c r="Q322" s="88"/>
      <c r="R322" s="91"/>
      <c r="S322" s="91"/>
      <c r="T322" s="88"/>
      <c r="U322" s="88"/>
      <c r="V322" s="88"/>
      <c r="Y322" s="91"/>
      <c r="Z322" s="88"/>
    </row>
    <row r="323" spans="6:26" ht="12.5" x14ac:dyDescent="0.25">
      <c r="F323" s="101"/>
      <c r="G323" s="91"/>
      <c r="H323" s="91"/>
      <c r="I323" s="88"/>
      <c r="J323" s="91"/>
      <c r="K323" s="88"/>
      <c r="L323" s="88"/>
      <c r="M323" s="91"/>
      <c r="N323" s="88"/>
      <c r="O323" s="91"/>
      <c r="P323" s="91"/>
      <c r="Q323" s="88"/>
      <c r="R323" s="91"/>
      <c r="S323" s="91"/>
      <c r="T323" s="88"/>
      <c r="U323" s="88"/>
      <c r="V323" s="88"/>
      <c r="Y323" s="91"/>
      <c r="Z323" s="88"/>
    </row>
    <row r="324" spans="6:26" ht="12.5" x14ac:dyDescent="0.25">
      <c r="F324" s="101"/>
      <c r="G324" s="91"/>
      <c r="H324" s="91"/>
      <c r="I324" s="88"/>
      <c r="J324" s="91"/>
      <c r="K324" s="88"/>
      <c r="L324" s="88"/>
      <c r="M324" s="91"/>
      <c r="N324" s="88"/>
      <c r="O324" s="91"/>
      <c r="P324" s="91"/>
      <c r="Q324" s="88"/>
      <c r="R324" s="91"/>
      <c r="S324" s="91"/>
      <c r="T324" s="88"/>
      <c r="U324" s="88"/>
      <c r="V324" s="88"/>
      <c r="Y324" s="91"/>
      <c r="Z324" s="88"/>
    </row>
    <row r="325" spans="6:26" ht="12.5" x14ac:dyDescent="0.25">
      <c r="F325" s="101"/>
      <c r="G325" s="91"/>
      <c r="H325" s="91"/>
      <c r="I325" s="88"/>
      <c r="J325" s="91"/>
      <c r="K325" s="88"/>
      <c r="L325" s="88"/>
      <c r="M325" s="91"/>
      <c r="N325" s="88"/>
      <c r="O325" s="91"/>
      <c r="P325" s="91"/>
      <c r="Q325" s="88"/>
      <c r="R325" s="91"/>
      <c r="S325" s="91"/>
      <c r="T325" s="88"/>
      <c r="U325" s="88"/>
      <c r="V325" s="88"/>
      <c r="Y325" s="91"/>
      <c r="Z325" s="88"/>
    </row>
    <row r="326" spans="6:26" ht="12.5" x14ac:dyDescent="0.25">
      <c r="F326" s="101"/>
      <c r="G326" s="91"/>
      <c r="H326" s="91"/>
      <c r="I326" s="88"/>
      <c r="J326" s="91"/>
      <c r="K326" s="88"/>
      <c r="L326" s="88"/>
      <c r="M326" s="91"/>
      <c r="N326" s="88"/>
      <c r="O326" s="91"/>
      <c r="P326" s="91"/>
      <c r="Q326" s="88"/>
      <c r="R326" s="91"/>
      <c r="S326" s="91"/>
      <c r="T326" s="88"/>
      <c r="U326" s="88"/>
      <c r="V326" s="88"/>
      <c r="Y326" s="91"/>
      <c r="Z326" s="88"/>
    </row>
    <row r="327" spans="6:26" ht="12.5" x14ac:dyDescent="0.25">
      <c r="F327" s="101"/>
      <c r="G327" s="91"/>
      <c r="H327" s="91"/>
      <c r="I327" s="88"/>
      <c r="J327" s="91"/>
      <c r="K327" s="88"/>
      <c r="L327" s="88"/>
      <c r="M327" s="91"/>
      <c r="N327" s="88"/>
      <c r="O327" s="91"/>
      <c r="P327" s="91"/>
      <c r="Q327" s="88"/>
      <c r="R327" s="91"/>
      <c r="S327" s="91"/>
      <c r="T327" s="88"/>
      <c r="U327" s="88"/>
      <c r="V327" s="88"/>
      <c r="Y327" s="91"/>
      <c r="Z327" s="88"/>
    </row>
    <row r="328" spans="6:26" ht="12.5" x14ac:dyDescent="0.25">
      <c r="F328" s="101"/>
      <c r="G328" s="91"/>
      <c r="H328" s="91"/>
      <c r="I328" s="88"/>
      <c r="J328" s="91"/>
      <c r="K328" s="88"/>
      <c r="L328" s="88"/>
      <c r="M328" s="91"/>
      <c r="N328" s="88"/>
      <c r="O328" s="91"/>
      <c r="P328" s="91"/>
      <c r="Q328" s="88"/>
      <c r="R328" s="91"/>
      <c r="S328" s="91"/>
      <c r="T328" s="88"/>
      <c r="U328" s="88"/>
      <c r="V328" s="88"/>
      <c r="Y328" s="91"/>
      <c r="Z328" s="88"/>
    </row>
    <row r="329" spans="6:26" ht="12.5" x14ac:dyDescent="0.25">
      <c r="F329" s="101"/>
      <c r="G329" s="91"/>
      <c r="H329" s="91"/>
      <c r="I329" s="88"/>
      <c r="J329" s="91"/>
      <c r="K329" s="88"/>
      <c r="L329" s="88"/>
      <c r="M329" s="91"/>
      <c r="N329" s="88"/>
      <c r="O329" s="91"/>
      <c r="P329" s="91"/>
      <c r="Q329" s="88"/>
      <c r="R329" s="91"/>
      <c r="S329" s="91"/>
      <c r="T329" s="88"/>
      <c r="U329" s="88"/>
      <c r="V329" s="88"/>
      <c r="Y329" s="91"/>
      <c r="Z329" s="88"/>
    </row>
    <row r="330" spans="6:26" ht="12.5" x14ac:dyDescent="0.25">
      <c r="F330" s="101"/>
      <c r="G330" s="91"/>
      <c r="H330" s="91"/>
      <c r="I330" s="88"/>
      <c r="J330" s="91"/>
      <c r="K330" s="88"/>
      <c r="L330" s="88"/>
      <c r="M330" s="91"/>
      <c r="N330" s="88"/>
      <c r="O330" s="91"/>
      <c r="P330" s="91"/>
      <c r="Q330" s="88"/>
      <c r="R330" s="91"/>
      <c r="S330" s="91"/>
      <c r="T330" s="88"/>
      <c r="U330" s="88"/>
      <c r="V330" s="88"/>
      <c r="Y330" s="91"/>
      <c r="Z330" s="88"/>
    </row>
    <row r="331" spans="6:26" ht="12.5" x14ac:dyDescent="0.25">
      <c r="F331" s="101"/>
      <c r="G331" s="91"/>
      <c r="H331" s="91"/>
      <c r="I331" s="88"/>
      <c r="J331" s="91"/>
      <c r="K331" s="88"/>
      <c r="L331" s="88"/>
      <c r="M331" s="91"/>
      <c r="N331" s="88"/>
      <c r="O331" s="91"/>
      <c r="P331" s="91"/>
      <c r="Q331" s="88"/>
      <c r="R331" s="91"/>
      <c r="S331" s="91"/>
      <c r="T331" s="88"/>
      <c r="U331" s="88"/>
      <c r="V331" s="88"/>
      <c r="Y331" s="91"/>
      <c r="Z331" s="88"/>
    </row>
    <row r="332" spans="6:26" ht="12.5" x14ac:dyDescent="0.25">
      <c r="F332" s="101"/>
      <c r="G332" s="91"/>
      <c r="H332" s="91"/>
      <c r="I332" s="88"/>
      <c r="J332" s="91"/>
      <c r="K332" s="88"/>
      <c r="L332" s="88"/>
      <c r="M332" s="91"/>
      <c r="N332" s="88"/>
      <c r="O332" s="91"/>
      <c r="P332" s="91"/>
      <c r="Q332" s="88"/>
      <c r="R332" s="91"/>
      <c r="S332" s="91"/>
      <c r="T332" s="88"/>
      <c r="U332" s="88"/>
      <c r="V332" s="88"/>
      <c r="Y332" s="91"/>
      <c r="Z332" s="88"/>
    </row>
    <row r="333" spans="6:26" ht="12.5" x14ac:dyDescent="0.25">
      <c r="F333" s="101"/>
      <c r="G333" s="91"/>
      <c r="H333" s="91"/>
      <c r="I333" s="88"/>
      <c r="J333" s="91"/>
      <c r="K333" s="88"/>
      <c r="L333" s="88"/>
      <c r="M333" s="91"/>
      <c r="N333" s="88"/>
      <c r="O333" s="91"/>
      <c r="P333" s="91"/>
      <c r="Q333" s="88"/>
      <c r="R333" s="91"/>
      <c r="S333" s="91"/>
      <c r="T333" s="88"/>
      <c r="U333" s="88"/>
      <c r="V333" s="88"/>
      <c r="Y333" s="91"/>
      <c r="Z333" s="88"/>
    </row>
    <row r="334" spans="6:26" ht="12.5" x14ac:dyDescent="0.25">
      <c r="F334" s="101"/>
      <c r="G334" s="91"/>
      <c r="H334" s="91"/>
      <c r="I334" s="88"/>
      <c r="J334" s="91"/>
      <c r="K334" s="88"/>
      <c r="L334" s="88"/>
      <c r="M334" s="91"/>
      <c r="N334" s="88"/>
      <c r="O334" s="91"/>
      <c r="P334" s="91"/>
      <c r="Q334" s="88"/>
      <c r="R334" s="91"/>
      <c r="S334" s="91"/>
      <c r="T334" s="88"/>
      <c r="U334" s="88"/>
      <c r="V334" s="88"/>
      <c r="Y334" s="91"/>
      <c r="Z334" s="88"/>
    </row>
    <row r="335" spans="6:26" ht="12.5" x14ac:dyDescent="0.25">
      <c r="F335" s="101"/>
      <c r="G335" s="91"/>
      <c r="H335" s="91"/>
      <c r="I335" s="88"/>
      <c r="J335" s="91"/>
      <c r="K335" s="88"/>
      <c r="L335" s="88"/>
      <c r="M335" s="91"/>
      <c r="N335" s="88"/>
      <c r="O335" s="91"/>
      <c r="P335" s="91"/>
      <c r="Q335" s="88"/>
      <c r="R335" s="91"/>
      <c r="S335" s="91"/>
      <c r="T335" s="88"/>
      <c r="U335" s="88"/>
      <c r="V335" s="88"/>
      <c r="Y335" s="91"/>
      <c r="Z335" s="88"/>
    </row>
    <row r="336" spans="6:26" ht="12.5" x14ac:dyDescent="0.25">
      <c r="F336" s="101"/>
      <c r="G336" s="91"/>
      <c r="H336" s="91"/>
      <c r="I336" s="88"/>
      <c r="J336" s="91"/>
      <c r="K336" s="88"/>
      <c r="L336" s="88"/>
      <c r="M336" s="91"/>
      <c r="N336" s="88"/>
      <c r="O336" s="91"/>
      <c r="P336" s="91"/>
      <c r="Q336" s="88"/>
      <c r="R336" s="91"/>
      <c r="S336" s="91"/>
      <c r="T336" s="88"/>
      <c r="U336" s="88"/>
      <c r="V336" s="88"/>
      <c r="Y336" s="91"/>
      <c r="Z336" s="88"/>
    </row>
    <row r="337" spans="6:26" ht="12.5" x14ac:dyDescent="0.25">
      <c r="F337" s="101"/>
      <c r="G337" s="91"/>
      <c r="H337" s="91"/>
      <c r="I337" s="88"/>
      <c r="J337" s="91"/>
      <c r="K337" s="88"/>
      <c r="L337" s="88"/>
      <c r="M337" s="91"/>
      <c r="N337" s="88"/>
      <c r="O337" s="91"/>
      <c r="P337" s="91"/>
      <c r="Q337" s="88"/>
      <c r="R337" s="91"/>
      <c r="S337" s="91"/>
      <c r="T337" s="88"/>
      <c r="U337" s="88"/>
      <c r="V337" s="88"/>
      <c r="Y337" s="91"/>
      <c r="Z337" s="88"/>
    </row>
    <row r="338" spans="6:26" ht="12.5" x14ac:dyDescent="0.25">
      <c r="F338" s="101"/>
      <c r="G338" s="91"/>
      <c r="H338" s="91"/>
      <c r="I338" s="88"/>
      <c r="J338" s="91"/>
      <c r="K338" s="88"/>
      <c r="L338" s="88"/>
      <c r="M338" s="91"/>
      <c r="N338" s="88"/>
      <c r="O338" s="91"/>
      <c r="P338" s="91"/>
      <c r="Q338" s="88"/>
      <c r="R338" s="91"/>
      <c r="S338" s="91"/>
      <c r="T338" s="88"/>
      <c r="U338" s="88"/>
      <c r="V338" s="88"/>
      <c r="Y338" s="91"/>
      <c r="Z338" s="88"/>
    </row>
    <row r="339" spans="6:26" ht="12.5" x14ac:dyDescent="0.25">
      <c r="F339" s="101"/>
      <c r="G339" s="91"/>
      <c r="H339" s="91"/>
      <c r="I339" s="88"/>
      <c r="J339" s="91"/>
      <c r="K339" s="88"/>
      <c r="L339" s="88"/>
      <c r="M339" s="91"/>
      <c r="N339" s="88"/>
      <c r="O339" s="91"/>
      <c r="P339" s="91"/>
      <c r="Q339" s="88"/>
      <c r="R339" s="91"/>
      <c r="S339" s="91"/>
      <c r="T339" s="88"/>
      <c r="U339" s="88"/>
      <c r="V339" s="88"/>
      <c r="Y339" s="91"/>
      <c r="Z339" s="88"/>
    </row>
    <row r="340" spans="6:26" ht="12.5" x14ac:dyDescent="0.25">
      <c r="F340" s="101"/>
      <c r="G340" s="91"/>
      <c r="H340" s="91"/>
      <c r="I340" s="88"/>
      <c r="J340" s="91"/>
      <c r="K340" s="88"/>
      <c r="L340" s="88"/>
      <c r="M340" s="91"/>
      <c r="N340" s="88"/>
      <c r="O340" s="91"/>
      <c r="P340" s="91"/>
      <c r="Q340" s="88"/>
      <c r="R340" s="91"/>
      <c r="S340" s="91"/>
      <c r="T340" s="88"/>
      <c r="U340" s="88"/>
      <c r="V340" s="88"/>
      <c r="Y340" s="91"/>
      <c r="Z340" s="88"/>
    </row>
    <row r="341" spans="6:26" ht="12.5" x14ac:dyDescent="0.25">
      <c r="F341" s="101"/>
      <c r="G341" s="91"/>
      <c r="H341" s="91"/>
      <c r="I341" s="88"/>
      <c r="J341" s="91"/>
      <c r="K341" s="88"/>
      <c r="L341" s="88"/>
      <c r="M341" s="91"/>
      <c r="N341" s="88"/>
      <c r="O341" s="91"/>
      <c r="P341" s="91"/>
      <c r="Q341" s="88"/>
      <c r="R341" s="91"/>
      <c r="S341" s="91"/>
      <c r="T341" s="88"/>
      <c r="U341" s="88"/>
      <c r="V341" s="88"/>
      <c r="Y341" s="91"/>
      <c r="Z341" s="88"/>
    </row>
    <row r="342" spans="6:26" ht="12.5" x14ac:dyDescent="0.25">
      <c r="F342" s="101"/>
      <c r="G342" s="91"/>
      <c r="H342" s="91"/>
      <c r="I342" s="88"/>
      <c r="J342" s="91"/>
      <c r="K342" s="88"/>
      <c r="L342" s="88"/>
      <c r="M342" s="91"/>
      <c r="N342" s="88"/>
      <c r="O342" s="91"/>
      <c r="P342" s="91"/>
      <c r="Q342" s="88"/>
      <c r="R342" s="91"/>
      <c r="S342" s="91"/>
      <c r="T342" s="88"/>
      <c r="U342" s="88"/>
      <c r="V342" s="88"/>
      <c r="Y342" s="91"/>
      <c r="Z342" s="88"/>
    </row>
    <row r="343" spans="6:26" ht="12.5" x14ac:dyDescent="0.25">
      <c r="F343" s="101"/>
      <c r="G343" s="91"/>
      <c r="H343" s="91"/>
      <c r="I343" s="88"/>
      <c r="J343" s="91"/>
      <c r="K343" s="88"/>
      <c r="L343" s="88"/>
      <c r="M343" s="91"/>
      <c r="N343" s="88"/>
      <c r="O343" s="91"/>
      <c r="P343" s="91"/>
      <c r="Q343" s="88"/>
      <c r="R343" s="91"/>
      <c r="S343" s="91"/>
      <c r="T343" s="88"/>
      <c r="U343" s="88"/>
      <c r="V343" s="88"/>
      <c r="Y343" s="91"/>
      <c r="Z343" s="88"/>
    </row>
    <row r="344" spans="6:26" ht="12.5" x14ac:dyDescent="0.25">
      <c r="F344" s="101"/>
      <c r="G344" s="91"/>
      <c r="H344" s="91"/>
      <c r="I344" s="88"/>
      <c r="J344" s="91"/>
      <c r="K344" s="88"/>
      <c r="L344" s="88"/>
      <c r="M344" s="91"/>
      <c r="N344" s="88"/>
      <c r="O344" s="91"/>
      <c r="P344" s="91"/>
      <c r="Q344" s="88"/>
      <c r="R344" s="91"/>
      <c r="S344" s="91"/>
      <c r="T344" s="88"/>
      <c r="U344" s="88"/>
      <c r="V344" s="88"/>
      <c r="Y344" s="91"/>
      <c r="Z344" s="88"/>
    </row>
    <row r="345" spans="6:26" ht="12.5" x14ac:dyDescent="0.25">
      <c r="F345" s="101"/>
      <c r="G345" s="91"/>
      <c r="H345" s="91"/>
      <c r="I345" s="88"/>
      <c r="J345" s="91"/>
      <c r="K345" s="88"/>
      <c r="L345" s="88"/>
      <c r="M345" s="91"/>
      <c r="N345" s="88"/>
      <c r="O345" s="91"/>
      <c r="P345" s="91"/>
      <c r="Q345" s="88"/>
      <c r="R345" s="91"/>
      <c r="S345" s="91"/>
      <c r="T345" s="88"/>
      <c r="U345" s="88"/>
      <c r="V345" s="88"/>
      <c r="Y345" s="91"/>
      <c r="Z345" s="88"/>
    </row>
    <row r="346" spans="6:26" ht="12.5" x14ac:dyDescent="0.25">
      <c r="F346" s="101"/>
      <c r="G346" s="91"/>
      <c r="H346" s="91"/>
      <c r="I346" s="88"/>
      <c r="J346" s="91"/>
      <c r="K346" s="88"/>
      <c r="L346" s="88"/>
      <c r="M346" s="91"/>
      <c r="N346" s="88"/>
      <c r="O346" s="91"/>
      <c r="P346" s="91"/>
      <c r="Q346" s="88"/>
      <c r="R346" s="91"/>
      <c r="S346" s="91"/>
      <c r="T346" s="88"/>
      <c r="U346" s="88"/>
      <c r="V346" s="88"/>
      <c r="Y346" s="91"/>
      <c r="Z346" s="88"/>
    </row>
    <row r="347" spans="6:26" ht="12.5" x14ac:dyDescent="0.25">
      <c r="F347" s="101"/>
      <c r="G347" s="91"/>
      <c r="H347" s="91"/>
      <c r="I347" s="88"/>
      <c r="J347" s="91"/>
      <c r="K347" s="88"/>
      <c r="L347" s="88"/>
      <c r="M347" s="91"/>
      <c r="N347" s="88"/>
      <c r="O347" s="91"/>
      <c r="P347" s="91"/>
      <c r="Q347" s="88"/>
      <c r="R347" s="91"/>
      <c r="S347" s="91"/>
      <c r="T347" s="88"/>
      <c r="U347" s="88"/>
      <c r="V347" s="88"/>
      <c r="Y347" s="91"/>
      <c r="Z347" s="88"/>
    </row>
    <row r="348" spans="6:26" ht="12.5" x14ac:dyDescent="0.25">
      <c r="F348" s="101"/>
      <c r="G348" s="91"/>
      <c r="H348" s="91"/>
      <c r="I348" s="88"/>
      <c r="J348" s="91"/>
      <c r="K348" s="88"/>
      <c r="L348" s="88"/>
      <c r="M348" s="91"/>
      <c r="N348" s="88"/>
      <c r="O348" s="91"/>
      <c r="P348" s="91"/>
      <c r="Q348" s="88"/>
      <c r="R348" s="91"/>
      <c r="S348" s="91"/>
      <c r="T348" s="88"/>
      <c r="U348" s="88"/>
      <c r="V348" s="88"/>
      <c r="Y348" s="91"/>
      <c r="Z348" s="88"/>
    </row>
    <row r="349" spans="6:26" ht="12.5" x14ac:dyDescent="0.25">
      <c r="F349" s="101"/>
      <c r="G349" s="91"/>
      <c r="H349" s="91"/>
      <c r="I349" s="88"/>
      <c r="J349" s="91"/>
      <c r="K349" s="88"/>
      <c r="L349" s="88"/>
      <c r="M349" s="91"/>
      <c r="N349" s="88"/>
      <c r="O349" s="91"/>
      <c r="P349" s="91"/>
      <c r="Q349" s="88"/>
      <c r="R349" s="91"/>
      <c r="S349" s="91"/>
      <c r="T349" s="88"/>
      <c r="U349" s="88"/>
      <c r="V349" s="88"/>
      <c r="Y349" s="91"/>
      <c r="Z349" s="88"/>
    </row>
    <row r="350" spans="6:26" ht="12.5" x14ac:dyDescent="0.25">
      <c r="F350" s="101"/>
      <c r="G350" s="91"/>
      <c r="H350" s="91"/>
      <c r="I350" s="88"/>
      <c r="J350" s="91"/>
      <c r="K350" s="88"/>
      <c r="L350" s="88"/>
      <c r="M350" s="91"/>
      <c r="N350" s="88"/>
      <c r="O350" s="91"/>
      <c r="P350" s="91"/>
      <c r="Q350" s="88"/>
      <c r="R350" s="91"/>
      <c r="S350" s="91"/>
      <c r="T350" s="88"/>
      <c r="U350" s="88"/>
      <c r="V350" s="88"/>
      <c r="Y350" s="91"/>
      <c r="Z350" s="88"/>
    </row>
    <row r="351" spans="6:26" ht="12.5" x14ac:dyDescent="0.25">
      <c r="F351" s="101"/>
      <c r="G351" s="91"/>
      <c r="H351" s="91"/>
      <c r="I351" s="88"/>
      <c r="J351" s="91"/>
      <c r="K351" s="88"/>
      <c r="L351" s="88"/>
      <c r="M351" s="91"/>
      <c r="N351" s="88"/>
      <c r="O351" s="91"/>
      <c r="P351" s="91"/>
      <c r="Q351" s="88"/>
      <c r="R351" s="91"/>
      <c r="S351" s="91"/>
      <c r="T351" s="88"/>
      <c r="U351" s="88"/>
      <c r="V351" s="88"/>
      <c r="Y351" s="91"/>
      <c r="Z351" s="88"/>
    </row>
    <row r="352" spans="6:26" ht="12.5" x14ac:dyDescent="0.25">
      <c r="F352" s="101"/>
      <c r="G352" s="91"/>
      <c r="H352" s="91"/>
      <c r="I352" s="88"/>
      <c r="J352" s="91"/>
      <c r="K352" s="88"/>
      <c r="L352" s="88"/>
      <c r="M352" s="91"/>
      <c r="N352" s="88"/>
      <c r="O352" s="91"/>
      <c r="P352" s="91"/>
      <c r="Q352" s="88"/>
      <c r="R352" s="91"/>
      <c r="S352" s="91"/>
      <c r="T352" s="88"/>
      <c r="U352" s="88"/>
      <c r="V352" s="88"/>
      <c r="Y352" s="91"/>
      <c r="Z352" s="88"/>
    </row>
    <row r="353" spans="6:26" ht="12.5" x14ac:dyDescent="0.25">
      <c r="F353" s="101"/>
      <c r="G353" s="91"/>
      <c r="H353" s="91"/>
      <c r="I353" s="88"/>
      <c r="J353" s="91"/>
      <c r="K353" s="88"/>
      <c r="L353" s="88"/>
      <c r="M353" s="91"/>
      <c r="N353" s="88"/>
      <c r="O353" s="91"/>
      <c r="P353" s="91"/>
      <c r="Q353" s="88"/>
      <c r="R353" s="91"/>
      <c r="S353" s="91"/>
      <c r="T353" s="88"/>
      <c r="U353" s="88"/>
      <c r="V353" s="88"/>
      <c r="Y353" s="91"/>
      <c r="Z353" s="88"/>
    </row>
    <row r="354" spans="6:26" ht="12.5" x14ac:dyDescent="0.25">
      <c r="F354" s="101"/>
      <c r="G354" s="91"/>
      <c r="H354" s="91"/>
      <c r="I354" s="88"/>
      <c r="J354" s="91"/>
      <c r="K354" s="88"/>
      <c r="L354" s="88"/>
      <c r="M354" s="91"/>
      <c r="N354" s="88"/>
      <c r="O354" s="91"/>
      <c r="P354" s="91"/>
      <c r="Q354" s="88"/>
      <c r="R354" s="91"/>
      <c r="S354" s="91"/>
      <c r="T354" s="88"/>
      <c r="U354" s="88"/>
      <c r="V354" s="88"/>
      <c r="Y354" s="91"/>
      <c r="Z354" s="88"/>
    </row>
    <row r="355" spans="6:26" ht="12.5" x14ac:dyDescent="0.25">
      <c r="F355" s="101"/>
      <c r="G355" s="91"/>
      <c r="H355" s="91"/>
      <c r="I355" s="88"/>
      <c r="J355" s="91"/>
      <c r="K355" s="88"/>
      <c r="L355" s="88"/>
      <c r="M355" s="91"/>
      <c r="N355" s="88"/>
      <c r="O355" s="91"/>
      <c r="P355" s="91"/>
      <c r="Q355" s="88"/>
      <c r="R355" s="91"/>
      <c r="S355" s="91"/>
      <c r="T355" s="88"/>
      <c r="U355" s="88"/>
      <c r="V355" s="88"/>
      <c r="Y355" s="91"/>
      <c r="Z355" s="88"/>
    </row>
    <row r="356" spans="6:26" ht="12.5" x14ac:dyDescent="0.25">
      <c r="F356" s="101"/>
      <c r="G356" s="91"/>
      <c r="H356" s="91"/>
      <c r="I356" s="88"/>
      <c r="J356" s="91"/>
      <c r="K356" s="88"/>
      <c r="L356" s="88"/>
      <c r="M356" s="91"/>
      <c r="N356" s="88"/>
      <c r="O356" s="91"/>
      <c r="P356" s="91"/>
      <c r="Q356" s="88"/>
      <c r="R356" s="91"/>
      <c r="S356" s="91"/>
      <c r="T356" s="88"/>
      <c r="U356" s="88"/>
      <c r="V356" s="88"/>
      <c r="Y356" s="91"/>
      <c r="Z356" s="88"/>
    </row>
    <row r="357" spans="6:26" ht="12.5" x14ac:dyDescent="0.25">
      <c r="F357" s="101"/>
      <c r="G357" s="91"/>
      <c r="H357" s="91"/>
      <c r="I357" s="88"/>
      <c r="J357" s="91"/>
      <c r="K357" s="88"/>
      <c r="L357" s="88"/>
      <c r="M357" s="91"/>
      <c r="N357" s="88"/>
      <c r="O357" s="91"/>
      <c r="P357" s="91"/>
      <c r="Q357" s="88"/>
      <c r="R357" s="91"/>
      <c r="S357" s="91"/>
      <c r="T357" s="88"/>
      <c r="U357" s="88"/>
      <c r="V357" s="88"/>
      <c r="Y357" s="91"/>
      <c r="Z357" s="88"/>
    </row>
    <row r="358" spans="6:26" ht="12.5" x14ac:dyDescent="0.25">
      <c r="F358" s="101"/>
      <c r="G358" s="91"/>
      <c r="H358" s="91"/>
      <c r="I358" s="88"/>
      <c r="J358" s="91"/>
      <c r="K358" s="88"/>
      <c r="L358" s="88"/>
      <c r="M358" s="91"/>
      <c r="N358" s="88"/>
      <c r="O358" s="91"/>
      <c r="P358" s="91"/>
      <c r="Q358" s="88"/>
      <c r="R358" s="91"/>
      <c r="S358" s="91"/>
      <c r="T358" s="88"/>
      <c r="U358" s="88"/>
      <c r="V358" s="88"/>
      <c r="Y358" s="91"/>
      <c r="Z358" s="88"/>
    </row>
    <row r="359" spans="6:26" ht="12.5" x14ac:dyDescent="0.25">
      <c r="F359" s="101"/>
      <c r="G359" s="91"/>
      <c r="H359" s="91"/>
      <c r="I359" s="88"/>
      <c r="J359" s="91"/>
      <c r="K359" s="88"/>
      <c r="L359" s="88"/>
      <c r="M359" s="91"/>
      <c r="N359" s="88"/>
      <c r="O359" s="91"/>
      <c r="P359" s="91"/>
      <c r="Q359" s="88"/>
      <c r="R359" s="91"/>
      <c r="S359" s="91"/>
      <c r="T359" s="88"/>
      <c r="U359" s="88"/>
      <c r="V359" s="88"/>
      <c r="Y359" s="91"/>
      <c r="Z359" s="88"/>
    </row>
    <row r="360" spans="6:26" ht="12.5" x14ac:dyDescent="0.25">
      <c r="F360" s="101"/>
      <c r="G360" s="91"/>
      <c r="H360" s="91"/>
      <c r="I360" s="88"/>
      <c r="J360" s="91"/>
      <c r="K360" s="88"/>
      <c r="L360" s="88"/>
      <c r="M360" s="91"/>
      <c r="N360" s="88"/>
      <c r="O360" s="91"/>
      <c r="P360" s="91"/>
      <c r="Q360" s="88"/>
      <c r="R360" s="91"/>
      <c r="S360" s="91"/>
      <c r="T360" s="88"/>
      <c r="U360" s="88"/>
      <c r="V360" s="88"/>
      <c r="Y360" s="91"/>
      <c r="Z360" s="88"/>
    </row>
    <row r="361" spans="6:26" ht="12.5" x14ac:dyDescent="0.25">
      <c r="F361" s="101"/>
      <c r="G361" s="91"/>
      <c r="H361" s="91"/>
      <c r="I361" s="88"/>
      <c r="J361" s="91"/>
      <c r="K361" s="88"/>
      <c r="L361" s="88"/>
      <c r="M361" s="91"/>
      <c r="N361" s="88"/>
      <c r="O361" s="91"/>
      <c r="P361" s="91"/>
      <c r="Q361" s="88"/>
      <c r="R361" s="91"/>
      <c r="S361" s="91"/>
      <c r="T361" s="88"/>
      <c r="U361" s="88"/>
      <c r="V361" s="88"/>
      <c r="Y361" s="91"/>
      <c r="Z361" s="88"/>
    </row>
    <row r="362" spans="6:26" ht="12.5" x14ac:dyDescent="0.25">
      <c r="F362" s="101"/>
      <c r="G362" s="91"/>
      <c r="H362" s="91"/>
      <c r="I362" s="88"/>
      <c r="J362" s="91"/>
      <c r="K362" s="88"/>
      <c r="L362" s="88"/>
      <c r="M362" s="91"/>
      <c r="N362" s="88"/>
      <c r="O362" s="91"/>
      <c r="P362" s="91"/>
      <c r="Q362" s="88"/>
      <c r="R362" s="91"/>
      <c r="S362" s="91"/>
      <c r="T362" s="88"/>
      <c r="U362" s="88"/>
      <c r="V362" s="88"/>
      <c r="Y362" s="91"/>
      <c r="Z362" s="88"/>
    </row>
    <row r="363" spans="6:26" ht="12.5" x14ac:dyDescent="0.25">
      <c r="F363" s="101"/>
      <c r="G363" s="91"/>
      <c r="H363" s="91"/>
      <c r="I363" s="88"/>
      <c r="J363" s="91"/>
      <c r="K363" s="88"/>
      <c r="L363" s="88"/>
      <c r="M363" s="91"/>
      <c r="N363" s="88"/>
      <c r="O363" s="91"/>
      <c r="P363" s="91"/>
      <c r="Q363" s="88"/>
      <c r="R363" s="91"/>
      <c r="S363" s="91"/>
      <c r="T363" s="88"/>
      <c r="U363" s="88"/>
      <c r="V363" s="88"/>
      <c r="Y363" s="91"/>
      <c r="Z363" s="88"/>
    </row>
    <row r="364" spans="6:26" ht="12.5" x14ac:dyDescent="0.25">
      <c r="F364" s="101"/>
      <c r="G364" s="91"/>
      <c r="H364" s="91"/>
      <c r="I364" s="88"/>
      <c r="J364" s="91"/>
      <c r="K364" s="88"/>
      <c r="L364" s="88"/>
      <c r="M364" s="91"/>
      <c r="N364" s="88"/>
      <c r="O364" s="91"/>
      <c r="P364" s="91"/>
      <c r="Q364" s="88"/>
      <c r="R364" s="91"/>
      <c r="S364" s="91"/>
      <c r="T364" s="88"/>
      <c r="U364" s="88"/>
      <c r="V364" s="88"/>
      <c r="Y364" s="91"/>
      <c r="Z364" s="88"/>
    </row>
    <row r="365" spans="6:26" ht="12.5" x14ac:dyDescent="0.25">
      <c r="F365" s="101"/>
      <c r="G365" s="91"/>
      <c r="H365" s="91"/>
      <c r="I365" s="88"/>
      <c r="J365" s="91"/>
      <c r="K365" s="88"/>
      <c r="L365" s="88"/>
      <c r="M365" s="91"/>
      <c r="N365" s="88"/>
      <c r="O365" s="91"/>
      <c r="P365" s="91"/>
      <c r="Q365" s="88"/>
      <c r="R365" s="91"/>
      <c r="S365" s="91"/>
      <c r="T365" s="88"/>
      <c r="U365" s="88"/>
      <c r="V365" s="88"/>
      <c r="Y365" s="91"/>
      <c r="Z365" s="88"/>
    </row>
    <row r="366" spans="6:26" ht="12.5" x14ac:dyDescent="0.25">
      <c r="F366" s="101"/>
      <c r="G366" s="91"/>
      <c r="H366" s="91"/>
      <c r="I366" s="88"/>
      <c r="J366" s="91"/>
      <c r="K366" s="88"/>
      <c r="L366" s="88"/>
      <c r="M366" s="91"/>
      <c r="N366" s="88"/>
      <c r="O366" s="91"/>
      <c r="P366" s="91"/>
      <c r="Q366" s="88"/>
      <c r="R366" s="91"/>
      <c r="S366" s="91"/>
      <c r="T366" s="88"/>
      <c r="U366" s="88"/>
      <c r="V366" s="88"/>
      <c r="Y366" s="91"/>
      <c r="Z366" s="88"/>
    </row>
    <row r="367" spans="6:26" ht="12.5" x14ac:dyDescent="0.25">
      <c r="F367" s="101"/>
      <c r="G367" s="91"/>
      <c r="H367" s="91"/>
      <c r="I367" s="88"/>
      <c r="J367" s="91"/>
      <c r="K367" s="88"/>
      <c r="L367" s="88"/>
      <c r="M367" s="91"/>
      <c r="N367" s="88"/>
      <c r="O367" s="91"/>
      <c r="P367" s="91"/>
      <c r="Q367" s="88"/>
      <c r="R367" s="91"/>
      <c r="S367" s="91"/>
      <c r="T367" s="88"/>
      <c r="U367" s="88"/>
      <c r="V367" s="88"/>
      <c r="Y367" s="91"/>
      <c r="Z367" s="88"/>
    </row>
    <row r="368" spans="6:26" ht="12.5" x14ac:dyDescent="0.25">
      <c r="F368" s="101"/>
      <c r="G368" s="91"/>
      <c r="H368" s="91"/>
      <c r="I368" s="88"/>
      <c r="J368" s="91"/>
      <c r="K368" s="88"/>
      <c r="L368" s="88"/>
      <c r="M368" s="91"/>
      <c r="N368" s="88"/>
      <c r="O368" s="91"/>
      <c r="P368" s="91"/>
      <c r="Q368" s="88"/>
      <c r="R368" s="91"/>
      <c r="S368" s="91"/>
      <c r="T368" s="88"/>
      <c r="U368" s="88"/>
      <c r="V368" s="88"/>
      <c r="Y368" s="91"/>
      <c r="Z368" s="88"/>
    </row>
    <row r="369" spans="6:26" ht="12.5" x14ac:dyDescent="0.25">
      <c r="F369" s="101"/>
      <c r="G369" s="91"/>
      <c r="H369" s="91"/>
      <c r="I369" s="88"/>
      <c r="J369" s="91"/>
      <c r="K369" s="88"/>
      <c r="L369" s="88"/>
      <c r="M369" s="91"/>
      <c r="N369" s="88"/>
      <c r="O369" s="91"/>
      <c r="P369" s="91"/>
      <c r="Q369" s="88"/>
      <c r="R369" s="91"/>
      <c r="S369" s="91"/>
      <c r="T369" s="88"/>
      <c r="U369" s="88"/>
      <c r="V369" s="88"/>
      <c r="Y369" s="91"/>
      <c r="Z369" s="88"/>
    </row>
    <row r="370" spans="6:26" ht="12.5" x14ac:dyDescent="0.25">
      <c r="F370" s="101"/>
      <c r="G370" s="91"/>
      <c r="H370" s="91"/>
      <c r="I370" s="88"/>
      <c r="J370" s="91"/>
      <c r="K370" s="88"/>
      <c r="L370" s="88"/>
      <c r="M370" s="91"/>
      <c r="N370" s="88"/>
      <c r="O370" s="91"/>
      <c r="P370" s="91"/>
      <c r="Q370" s="88"/>
      <c r="R370" s="91"/>
      <c r="S370" s="91"/>
      <c r="T370" s="88"/>
      <c r="U370" s="88"/>
      <c r="V370" s="88"/>
      <c r="Y370" s="91"/>
      <c r="Z370" s="88"/>
    </row>
    <row r="371" spans="6:26" ht="12.5" x14ac:dyDescent="0.25">
      <c r="F371" s="101"/>
      <c r="G371" s="91"/>
      <c r="H371" s="91"/>
      <c r="I371" s="88"/>
      <c r="J371" s="91"/>
      <c r="K371" s="88"/>
      <c r="L371" s="88"/>
      <c r="M371" s="91"/>
      <c r="N371" s="88"/>
      <c r="O371" s="91"/>
      <c r="P371" s="91"/>
      <c r="Q371" s="88"/>
      <c r="R371" s="91"/>
      <c r="S371" s="91"/>
      <c r="T371" s="88"/>
      <c r="U371" s="88"/>
      <c r="V371" s="88"/>
      <c r="Y371" s="91"/>
      <c r="Z371" s="88"/>
    </row>
    <row r="372" spans="6:26" ht="12.5" x14ac:dyDescent="0.25">
      <c r="F372" s="101"/>
      <c r="G372" s="91"/>
      <c r="H372" s="91"/>
      <c r="I372" s="88"/>
      <c r="J372" s="91"/>
      <c r="K372" s="88"/>
      <c r="L372" s="88"/>
      <c r="M372" s="91"/>
      <c r="N372" s="88"/>
      <c r="O372" s="91"/>
      <c r="P372" s="91"/>
      <c r="Q372" s="88"/>
      <c r="R372" s="91"/>
      <c r="S372" s="91"/>
      <c r="T372" s="88"/>
      <c r="U372" s="88"/>
      <c r="V372" s="88"/>
      <c r="Y372" s="91"/>
      <c r="Z372" s="88"/>
    </row>
    <row r="373" spans="6:26" ht="12.5" x14ac:dyDescent="0.25">
      <c r="F373" s="101"/>
      <c r="G373" s="91"/>
      <c r="H373" s="91"/>
      <c r="I373" s="88"/>
      <c r="J373" s="91"/>
      <c r="K373" s="88"/>
      <c r="L373" s="88"/>
      <c r="M373" s="91"/>
      <c r="N373" s="88"/>
      <c r="O373" s="91"/>
      <c r="P373" s="91"/>
      <c r="Q373" s="88"/>
      <c r="R373" s="91"/>
      <c r="S373" s="91"/>
      <c r="T373" s="88"/>
      <c r="U373" s="88"/>
      <c r="V373" s="88"/>
      <c r="Y373" s="91"/>
      <c r="Z373" s="88"/>
    </row>
    <row r="374" spans="6:26" ht="12.5" x14ac:dyDescent="0.25">
      <c r="F374" s="101"/>
      <c r="G374" s="91"/>
      <c r="H374" s="91"/>
      <c r="I374" s="88"/>
      <c r="J374" s="91"/>
      <c r="K374" s="88"/>
      <c r="L374" s="88"/>
      <c r="M374" s="91"/>
      <c r="N374" s="88"/>
      <c r="O374" s="91"/>
      <c r="P374" s="91"/>
      <c r="Q374" s="88"/>
      <c r="R374" s="91"/>
      <c r="S374" s="91"/>
      <c r="T374" s="88"/>
      <c r="U374" s="88"/>
      <c r="V374" s="88"/>
      <c r="Y374" s="91"/>
      <c r="Z374" s="88"/>
    </row>
    <row r="375" spans="6:26" ht="12.5" x14ac:dyDescent="0.25">
      <c r="F375" s="101"/>
      <c r="G375" s="91"/>
      <c r="H375" s="91"/>
      <c r="I375" s="88"/>
      <c r="J375" s="91"/>
      <c r="K375" s="88"/>
      <c r="L375" s="88"/>
      <c r="M375" s="91"/>
      <c r="N375" s="88"/>
      <c r="O375" s="91"/>
      <c r="P375" s="91"/>
      <c r="Q375" s="88"/>
      <c r="R375" s="91"/>
      <c r="S375" s="91"/>
      <c r="T375" s="88"/>
      <c r="U375" s="88"/>
      <c r="V375" s="88"/>
      <c r="Y375" s="91"/>
      <c r="Z375" s="88"/>
    </row>
    <row r="376" spans="6:26" ht="12.5" x14ac:dyDescent="0.25">
      <c r="F376" s="101"/>
      <c r="G376" s="91"/>
      <c r="H376" s="91"/>
      <c r="I376" s="88"/>
      <c r="J376" s="91"/>
      <c r="K376" s="88"/>
      <c r="L376" s="88"/>
      <c r="M376" s="91"/>
      <c r="N376" s="88"/>
      <c r="O376" s="91"/>
      <c r="P376" s="91"/>
      <c r="Q376" s="88"/>
      <c r="R376" s="91"/>
      <c r="S376" s="91"/>
      <c r="T376" s="88"/>
      <c r="U376" s="88"/>
      <c r="V376" s="88"/>
      <c r="Y376" s="91"/>
      <c r="Z376" s="88"/>
    </row>
    <row r="377" spans="6:26" ht="12.5" x14ac:dyDescent="0.25">
      <c r="F377" s="101"/>
      <c r="G377" s="91"/>
      <c r="H377" s="91"/>
      <c r="I377" s="88"/>
      <c r="J377" s="91"/>
      <c r="K377" s="88"/>
      <c r="L377" s="88"/>
      <c r="M377" s="91"/>
      <c r="N377" s="88"/>
      <c r="O377" s="91"/>
      <c r="P377" s="91"/>
      <c r="Q377" s="88"/>
      <c r="R377" s="91"/>
      <c r="S377" s="91"/>
      <c r="T377" s="88"/>
      <c r="U377" s="88"/>
      <c r="V377" s="88"/>
      <c r="Y377" s="91"/>
      <c r="Z377" s="88"/>
    </row>
    <row r="378" spans="6:26" ht="12.5" x14ac:dyDescent="0.25">
      <c r="F378" s="101"/>
      <c r="G378" s="91"/>
      <c r="H378" s="91"/>
      <c r="I378" s="88"/>
      <c r="J378" s="91"/>
      <c r="K378" s="88"/>
      <c r="L378" s="88"/>
      <c r="M378" s="91"/>
      <c r="N378" s="88"/>
      <c r="O378" s="91"/>
      <c r="P378" s="91"/>
      <c r="Q378" s="88"/>
      <c r="R378" s="91"/>
      <c r="S378" s="91"/>
      <c r="T378" s="88"/>
      <c r="U378" s="88"/>
      <c r="V378" s="88"/>
      <c r="Y378" s="91"/>
      <c r="Z378" s="88"/>
    </row>
    <row r="379" spans="6:26" ht="12.5" x14ac:dyDescent="0.25">
      <c r="F379" s="101"/>
      <c r="G379" s="91"/>
      <c r="H379" s="91"/>
      <c r="I379" s="88"/>
      <c r="J379" s="91"/>
      <c r="K379" s="88"/>
      <c r="L379" s="88"/>
      <c r="M379" s="91"/>
      <c r="N379" s="88"/>
      <c r="O379" s="91"/>
      <c r="P379" s="91"/>
      <c r="Q379" s="88"/>
      <c r="R379" s="91"/>
      <c r="S379" s="91"/>
      <c r="T379" s="88"/>
      <c r="U379" s="88"/>
      <c r="V379" s="88"/>
      <c r="Y379" s="91"/>
      <c r="Z379" s="88"/>
    </row>
    <row r="380" spans="6:26" ht="12.5" x14ac:dyDescent="0.25">
      <c r="F380" s="101"/>
      <c r="G380" s="91"/>
      <c r="H380" s="91"/>
      <c r="I380" s="88"/>
      <c r="J380" s="91"/>
      <c r="K380" s="88"/>
      <c r="L380" s="88"/>
      <c r="M380" s="91"/>
      <c r="N380" s="88"/>
      <c r="O380" s="91"/>
      <c r="P380" s="91"/>
      <c r="Q380" s="88"/>
      <c r="R380" s="91"/>
      <c r="S380" s="91"/>
      <c r="T380" s="88"/>
      <c r="U380" s="88"/>
      <c r="V380" s="88"/>
      <c r="Y380" s="91"/>
      <c r="Z380" s="88"/>
    </row>
    <row r="381" spans="6:26" ht="12.5" x14ac:dyDescent="0.25">
      <c r="F381" s="101"/>
      <c r="G381" s="91"/>
      <c r="H381" s="91"/>
      <c r="I381" s="88"/>
      <c r="J381" s="91"/>
      <c r="K381" s="88"/>
      <c r="L381" s="88"/>
      <c r="M381" s="91"/>
      <c r="N381" s="88"/>
      <c r="O381" s="91"/>
      <c r="P381" s="91"/>
      <c r="Q381" s="88"/>
      <c r="R381" s="91"/>
      <c r="S381" s="91"/>
      <c r="T381" s="88"/>
      <c r="U381" s="88"/>
      <c r="V381" s="88"/>
      <c r="Y381" s="91"/>
      <c r="Z381" s="88"/>
    </row>
    <row r="382" spans="6:26" ht="12.5" x14ac:dyDescent="0.25">
      <c r="F382" s="101"/>
      <c r="G382" s="91"/>
      <c r="H382" s="91"/>
      <c r="I382" s="88"/>
      <c r="J382" s="91"/>
      <c r="K382" s="88"/>
      <c r="L382" s="88"/>
      <c r="M382" s="91"/>
      <c r="N382" s="88"/>
      <c r="O382" s="91"/>
      <c r="P382" s="91"/>
      <c r="Q382" s="88"/>
      <c r="R382" s="91"/>
      <c r="S382" s="91"/>
      <c r="T382" s="88"/>
      <c r="U382" s="88"/>
      <c r="V382" s="88"/>
      <c r="Y382" s="91"/>
      <c r="Z382" s="88"/>
    </row>
    <row r="383" spans="6:26" ht="12.5" x14ac:dyDescent="0.25">
      <c r="F383" s="101"/>
      <c r="G383" s="91"/>
      <c r="H383" s="91"/>
      <c r="I383" s="88"/>
      <c r="J383" s="91"/>
      <c r="K383" s="88"/>
      <c r="L383" s="88"/>
      <c r="M383" s="91"/>
      <c r="N383" s="88"/>
      <c r="O383" s="91"/>
      <c r="P383" s="91"/>
      <c r="Q383" s="88"/>
      <c r="R383" s="91"/>
      <c r="S383" s="91"/>
      <c r="T383" s="88"/>
      <c r="U383" s="88"/>
      <c r="V383" s="88"/>
      <c r="Y383" s="91"/>
      <c r="Z383" s="88"/>
    </row>
    <row r="384" spans="6:26" ht="12.5" x14ac:dyDescent="0.25">
      <c r="F384" s="101"/>
      <c r="G384" s="91"/>
      <c r="H384" s="91"/>
      <c r="I384" s="88"/>
      <c r="J384" s="91"/>
      <c r="K384" s="88"/>
      <c r="L384" s="88"/>
      <c r="M384" s="91"/>
      <c r="N384" s="88"/>
      <c r="O384" s="91"/>
      <c r="P384" s="91"/>
      <c r="Q384" s="88"/>
      <c r="R384" s="91"/>
      <c r="S384" s="91"/>
      <c r="T384" s="88"/>
      <c r="U384" s="88"/>
      <c r="V384" s="88"/>
      <c r="Y384" s="91"/>
      <c r="Z384" s="88"/>
    </row>
    <row r="385" spans="6:26" ht="12.5" x14ac:dyDescent="0.25">
      <c r="F385" s="101"/>
      <c r="G385" s="91"/>
      <c r="H385" s="91"/>
      <c r="I385" s="88"/>
      <c r="J385" s="91"/>
      <c r="K385" s="88"/>
      <c r="L385" s="88"/>
      <c r="M385" s="91"/>
      <c r="N385" s="88"/>
      <c r="O385" s="91"/>
      <c r="P385" s="91"/>
      <c r="Q385" s="88"/>
      <c r="R385" s="91"/>
      <c r="S385" s="91"/>
      <c r="T385" s="88"/>
      <c r="U385" s="88"/>
      <c r="V385" s="88"/>
      <c r="Y385" s="91"/>
      <c r="Z385" s="88"/>
    </row>
    <row r="386" spans="6:26" ht="12.5" x14ac:dyDescent="0.25">
      <c r="F386" s="101"/>
      <c r="G386" s="91"/>
      <c r="H386" s="91"/>
      <c r="I386" s="88"/>
      <c r="J386" s="91"/>
      <c r="K386" s="88"/>
      <c r="L386" s="88"/>
      <c r="M386" s="91"/>
      <c r="N386" s="88"/>
      <c r="O386" s="91"/>
      <c r="P386" s="91"/>
      <c r="Q386" s="88"/>
      <c r="R386" s="91"/>
      <c r="S386" s="91"/>
      <c r="T386" s="88"/>
      <c r="U386" s="88"/>
      <c r="V386" s="88"/>
      <c r="Y386" s="91"/>
      <c r="Z386" s="88"/>
    </row>
    <row r="387" spans="6:26" ht="12.5" x14ac:dyDescent="0.25">
      <c r="F387" s="101"/>
      <c r="G387" s="91"/>
      <c r="H387" s="91"/>
      <c r="I387" s="88"/>
      <c r="J387" s="91"/>
      <c r="K387" s="88"/>
      <c r="L387" s="88"/>
      <c r="M387" s="91"/>
      <c r="N387" s="88"/>
      <c r="O387" s="91"/>
      <c r="P387" s="91"/>
      <c r="Q387" s="88"/>
      <c r="R387" s="91"/>
      <c r="S387" s="91"/>
      <c r="T387" s="88"/>
      <c r="U387" s="88"/>
      <c r="V387" s="88"/>
      <c r="Y387" s="91"/>
      <c r="Z387" s="88"/>
    </row>
    <row r="388" spans="6:26" ht="12.5" x14ac:dyDescent="0.25">
      <c r="F388" s="101"/>
      <c r="G388" s="91"/>
      <c r="H388" s="91"/>
      <c r="I388" s="88"/>
      <c r="J388" s="91"/>
      <c r="K388" s="88"/>
      <c r="L388" s="88"/>
      <c r="M388" s="91"/>
      <c r="N388" s="88"/>
      <c r="O388" s="91"/>
      <c r="P388" s="91"/>
      <c r="Q388" s="88"/>
      <c r="R388" s="91"/>
      <c r="S388" s="91"/>
      <c r="T388" s="88"/>
      <c r="U388" s="88"/>
      <c r="V388" s="88"/>
      <c r="Y388" s="91"/>
      <c r="Z388" s="88"/>
    </row>
    <row r="389" spans="6:26" ht="12.5" x14ac:dyDescent="0.25">
      <c r="F389" s="101"/>
      <c r="G389" s="91"/>
      <c r="H389" s="91"/>
      <c r="I389" s="88"/>
      <c r="J389" s="91"/>
      <c r="K389" s="88"/>
      <c r="L389" s="88"/>
      <c r="M389" s="91"/>
      <c r="N389" s="88"/>
      <c r="O389" s="91"/>
      <c r="P389" s="91"/>
      <c r="Q389" s="88"/>
      <c r="R389" s="91"/>
      <c r="S389" s="91"/>
      <c r="T389" s="88"/>
      <c r="U389" s="88"/>
      <c r="V389" s="88"/>
      <c r="Y389" s="91"/>
      <c r="Z389" s="88"/>
    </row>
    <row r="390" spans="6:26" ht="12.5" x14ac:dyDescent="0.25">
      <c r="F390" s="101"/>
      <c r="G390" s="91"/>
      <c r="H390" s="91"/>
      <c r="I390" s="88"/>
      <c r="J390" s="91"/>
      <c r="K390" s="88"/>
      <c r="L390" s="88"/>
      <c r="M390" s="91"/>
      <c r="N390" s="88"/>
      <c r="O390" s="91"/>
      <c r="P390" s="91"/>
      <c r="Q390" s="88"/>
      <c r="R390" s="91"/>
      <c r="S390" s="91"/>
      <c r="T390" s="88"/>
      <c r="U390" s="88"/>
      <c r="V390" s="88"/>
      <c r="Y390" s="91"/>
      <c r="Z390" s="88"/>
    </row>
    <row r="391" spans="6:26" ht="12.5" x14ac:dyDescent="0.25">
      <c r="F391" s="101"/>
      <c r="G391" s="91"/>
      <c r="H391" s="91"/>
      <c r="I391" s="88"/>
      <c r="J391" s="91"/>
      <c r="K391" s="88"/>
      <c r="L391" s="88"/>
      <c r="M391" s="91"/>
      <c r="N391" s="88"/>
      <c r="O391" s="91"/>
      <c r="P391" s="91"/>
      <c r="Q391" s="88"/>
      <c r="R391" s="91"/>
      <c r="S391" s="91"/>
      <c r="T391" s="88"/>
      <c r="U391" s="88"/>
      <c r="V391" s="88"/>
      <c r="Y391" s="91"/>
      <c r="Z391" s="88"/>
    </row>
    <row r="392" spans="6:26" ht="12.5" x14ac:dyDescent="0.25">
      <c r="F392" s="101"/>
      <c r="G392" s="91"/>
      <c r="H392" s="91"/>
      <c r="I392" s="88"/>
      <c r="J392" s="91"/>
      <c r="K392" s="88"/>
      <c r="L392" s="88"/>
      <c r="M392" s="91"/>
      <c r="N392" s="88"/>
      <c r="O392" s="91"/>
      <c r="P392" s="91"/>
      <c r="Q392" s="88"/>
      <c r="R392" s="91"/>
      <c r="S392" s="91"/>
      <c r="T392" s="88"/>
      <c r="U392" s="88"/>
      <c r="V392" s="88"/>
      <c r="Y392" s="91"/>
      <c r="Z392" s="88"/>
    </row>
    <row r="393" spans="6:26" ht="12.5" x14ac:dyDescent="0.25">
      <c r="F393" s="101"/>
      <c r="G393" s="91"/>
      <c r="H393" s="91"/>
      <c r="I393" s="88"/>
      <c r="J393" s="91"/>
      <c r="K393" s="88"/>
      <c r="L393" s="88"/>
      <c r="M393" s="91"/>
      <c r="N393" s="88"/>
      <c r="O393" s="91"/>
      <c r="P393" s="91"/>
      <c r="Q393" s="88"/>
      <c r="R393" s="91"/>
      <c r="S393" s="91"/>
      <c r="T393" s="88"/>
      <c r="U393" s="88"/>
      <c r="V393" s="88"/>
      <c r="Y393" s="91"/>
      <c r="Z393" s="88"/>
    </row>
    <row r="394" spans="6:26" ht="12.5" x14ac:dyDescent="0.25">
      <c r="F394" s="101"/>
      <c r="G394" s="91"/>
      <c r="H394" s="91"/>
      <c r="I394" s="88"/>
      <c r="J394" s="91"/>
      <c r="K394" s="88"/>
      <c r="L394" s="88"/>
      <c r="M394" s="91"/>
      <c r="N394" s="88"/>
      <c r="O394" s="91"/>
      <c r="P394" s="91"/>
      <c r="Q394" s="88"/>
      <c r="R394" s="91"/>
      <c r="S394" s="91"/>
      <c r="T394" s="88"/>
      <c r="U394" s="88"/>
      <c r="V394" s="88"/>
      <c r="Y394" s="91"/>
      <c r="Z394" s="88"/>
    </row>
    <row r="395" spans="6:26" ht="12.5" x14ac:dyDescent="0.25">
      <c r="F395" s="101"/>
      <c r="G395" s="91"/>
      <c r="H395" s="91"/>
      <c r="I395" s="88"/>
      <c r="J395" s="91"/>
      <c r="K395" s="88"/>
      <c r="L395" s="88"/>
      <c r="M395" s="91"/>
      <c r="N395" s="88"/>
      <c r="O395" s="91"/>
      <c r="P395" s="91"/>
      <c r="Q395" s="88"/>
      <c r="R395" s="91"/>
      <c r="S395" s="91"/>
      <c r="T395" s="88"/>
      <c r="U395" s="88"/>
      <c r="V395" s="88"/>
      <c r="Y395" s="91"/>
      <c r="Z395" s="88"/>
    </row>
    <row r="396" spans="6:26" ht="12.5" x14ac:dyDescent="0.25">
      <c r="F396" s="101"/>
      <c r="G396" s="91"/>
      <c r="H396" s="91"/>
      <c r="I396" s="88"/>
      <c r="J396" s="91"/>
      <c r="K396" s="88"/>
      <c r="L396" s="88"/>
      <c r="M396" s="91"/>
      <c r="N396" s="88"/>
      <c r="O396" s="91"/>
      <c r="P396" s="91"/>
      <c r="Q396" s="88"/>
      <c r="R396" s="91"/>
      <c r="S396" s="91"/>
      <c r="T396" s="88"/>
      <c r="U396" s="88"/>
      <c r="V396" s="88"/>
      <c r="Y396" s="91"/>
      <c r="Z396" s="88"/>
    </row>
    <row r="397" spans="6:26" ht="12.5" x14ac:dyDescent="0.25">
      <c r="F397" s="101"/>
      <c r="G397" s="91"/>
      <c r="H397" s="91"/>
      <c r="I397" s="88"/>
      <c r="J397" s="91"/>
      <c r="K397" s="88"/>
      <c r="L397" s="88"/>
      <c r="M397" s="91"/>
      <c r="N397" s="88"/>
      <c r="O397" s="91"/>
      <c r="P397" s="91"/>
      <c r="Q397" s="88"/>
      <c r="R397" s="91"/>
      <c r="S397" s="91"/>
      <c r="T397" s="88"/>
      <c r="U397" s="88"/>
      <c r="V397" s="88"/>
      <c r="Y397" s="91"/>
      <c r="Z397" s="88"/>
    </row>
    <row r="398" spans="6:26" ht="12.5" x14ac:dyDescent="0.25">
      <c r="F398" s="101"/>
      <c r="G398" s="91"/>
      <c r="H398" s="91"/>
      <c r="I398" s="88"/>
      <c r="J398" s="91"/>
      <c r="K398" s="88"/>
      <c r="L398" s="88"/>
      <c r="M398" s="91"/>
      <c r="N398" s="88"/>
      <c r="O398" s="91"/>
      <c r="P398" s="91"/>
      <c r="Q398" s="88"/>
      <c r="R398" s="91"/>
      <c r="S398" s="91"/>
      <c r="T398" s="88"/>
      <c r="U398" s="88"/>
      <c r="V398" s="88"/>
      <c r="Y398" s="91"/>
      <c r="Z398" s="88"/>
    </row>
    <row r="399" spans="6:26" ht="12.5" x14ac:dyDescent="0.25">
      <c r="F399" s="101"/>
      <c r="G399" s="91"/>
      <c r="H399" s="91"/>
      <c r="I399" s="88"/>
      <c r="J399" s="91"/>
      <c r="K399" s="88"/>
      <c r="L399" s="88"/>
      <c r="M399" s="91"/>
      <c r="N399" s="88"/>
      <c r="O399" s="91"/>
      <c r="P399" s="91"/>
      <c r="Q399" s="88"/>
      <c r="R399" s="91"/>
      <c r="S399" s="91"/>
      <c r="T399" s="88"/>
      <c r="U399" s="88"/>
      <c r="V399" s="88"/>
      <c r="Y399" s="91"/>
      <c r="Z399" s="88"/>
    </row>
    <row r="400" spans="6:26" ht="12.5" x14ac:dyDescent="0.25">
      <c r="F400" s="101"/>
      <c r="G400" s="91"/>
      <c r="H400" s="91"/>
      <c r="I400" s="88"/>
      <c r="J400" s="91"/>
      <c r="K400" s="88"/>
      <c r="L400" s="88"/>
      <c r="M400" s="91"/>
      <c r="N400" s="88"/>
      <c r="O400" s="91"/>
      <c r="P400" s="91"/>
      <c r="Q400" s="88"/>
      <c r="R400" s="91"/>
      <c r="S400" s="91"/>
      <c r="T400" s="88"/>
      <c r="U400" s="88"/>
      <c r="V400" s="88"/>
      <c r="Y400" s="91"/>
      <c r="Z400" s="88"/>
    </row>
    <row r="401" spans="6:26" ht="12.5" x14ac:dyDescent="0.25">
      <c r="F401" s="101"/>
      <c r="G401" s="91"/>
      <c r="H401" s="91"/>
      <c r="I401" s="88"/>
      <c r="J401" s="91"/>
      <c r="K401" s="88"/>
      <c r="L401" s="88"/>
      <c r="M401" s="91"/>
      <c r="N401" s="88"/>
      <c r="O401" s="91"/>
      <c r="P401" s="91"/>
      <c r="Q401" s="88"/>
      <c r="R401" s="91"/>
      <c r="S401" s="91"/>
      <c r="T401" s="88"/>
      <c r="U401" s="88"/>
      <c r="V401" s="88"/>
      <c r="Y401" s="91"/>
      <c r="Z401" s="88"/>
    </row>
    <row r="402" spans="6:26" ht="12.5" x14ac:dyDescent="0.25">
      <c r="F402" s="101"/>
      <c r="G402" s="91"/>
      <c r="H402" s="91"/>
      <c r="I402" s="88"/>
      <c r="J402" s="91"/>
      <c r="K402" s="88"/>
      <c r="L402" s="88"/>
      <c r="M402" s="91"/>
      <c r="N402" s="88"/>
      <c r="O402" s="91"/>
      <c r="P402" s="91"/>
      <c r="Q402" s="88"/>
      <c r="R402" s="91"/>
      <c r="S402" s="91"/>
      <c r="T402" s="88"/>
      <c r="U402" s="88"/>
      <c r="V402" s="88"/>
      <c r="Y402" s="91"/>
      <c r="Z402" s="88"/>
    </row>
    <row r="403" spans="6:26" ht="12.5" x14ac:dyDescent="0.25">
      <c r="F403" s="101"/>
      <c r="G403" s="91"/>
      <c r="H403" s="91"/>
      <c r="I403" s="88"/>
      <c r="J403" s="91"/>
      <c r="K403" s="88"/>
      <c r="L403" s="88"/>
      <c r="M403" s="91"/>
      <c r="N403" s="88"/>
      <c r="O403" s="91"/>
      <c r="P403" s="91"/>
      <c r="Q403" s="88"/>
      <c r="R403" s="91"/>
      <c r="S403" s="91"/>
      <c r="T403" s="88"/>
      <c r="U403" s="88"/>
      <c r="V403" s="88"/>
      <c r="Y403" s="91"/>
      <c r="Z403" s="88"/>
    </row>
    <row r="404" spans="6:26" ht="12.5" x14ac:dyDescent="0.25">
      <c r="F404" s="101"/>
      <c r="G404" s="91"/>
      <c r="H404" s="91"/>
      <c r="I404" s="88"/>
      <c r="J404" s="91"/>
      <c r="K404" s="88"/>
      <c r="L404" s="88"/>
      <c r="M404" s="91"/>
      <c r="N404" s="88"/>
      <c r="O404" s="91"/>
      <c r="P404" s="91"/>
      <c r="Q404" s="88"/>
      <c r="R404" s="91"/>
      <c r="S404" s="91"/>
      <c r="T404" s="88"/>
      <c r="U404" s="88"/>
      <c r="V404" s="88"/>
      <c r="Y404" s="91"/>
      <c r="Z404" s="88"/>
    </row>
    <row r="405" spans="6:26" ht="12.5" x14ac:dyDescent="0.25">
      <c r="F405" s="101"/>
      <c r="G405" s="91"/>
      <c r="H405" s="91"/>
      <c r="I405" s="88"/>
      <c r="J405" s="91"/>
      <c r="K405" s="88"/>
      <c r="L405" s="88"/>
      <c r="M405" s="91"/>
      <c r="N405" s="88"/>
      <c r="O405" s="91"/>
      <c r="P405" s="91"/>
      <c r="Q405" s="88"/>
      <c r="R405" s="91"/>
      <c r="S405" s="91"/>
      <c r="T405" s="88"/>
      <c r="U405" s="88"/>
      <c r="V405" s="88"/>
      <c r="Y405" s="91"/>
      <c r="Z405" s="88"/>
    </row>
    <row r="406" spans="6:26" ht="12.5" x14ac:dyDescent="0.25">
      <c r="F406" s="101"/>
      <c r="G406" s="91"/>
      <c r="H406" s="91"/>
      <c r="I406" s="88"/>
      <c r="J406" s="91"/>
      <c r="K406" s="88"/>
      <c r="L406" s="88"/>
      <c r="M406" s="91"/>
      <c r="N406" s="88"/>
      <c r="O406" s="91"/>
      <c r="P406" s="91"/>
      <c r="Q406" s="88"/>
      <c r="R406" s="91"/>
      <c r="S406" s="91"/>
      <c r="T406" s="88"/>
      <c r="U406" s="88"/>
      <c r="V406" s="88"/>
      <c r="Y406" s="91"/>
      <c r="Z406" s="88"/>
    </row>
    <row r="407" spans="6:26" ht="12.5" x14ac:dyDescent="0.25">
      <c r="F407" s="101"/>
      <c r="G407" s="91"/>
      <c r="H407" s="91"/>
      <c r="I407" s="88"/>
      <c r="J407" s="91"/>
      <c r="K407" s="88"/>
      <c r="L407" s="88"/>
      <c r="M407" s="91"/>
      <c r="N407" s="88"/>
      <c r="O407" s="91"/>
      <c r="P407" s="91"/>
      <c r="Q407" s="88"/>
      <c r="R407" s="91"/>
      <c r="S407" s="91"/>
      <c r="T407" s="88"/>
      <c r="U407" s="88"/>
      <c r="V407" s="88"/>
      <c r="Y407" s="91"/>
      <c r="Z407" s="88"/>
    </row>
    <row r="408" spans="6:26" ht="12.5" x14ac:dyDescent="0.25">
      <c r="F408" s="101"/>
      <c r="G408" s="91"/>
      <c r="H408" s="91"/>
      <c r="I408" s="88"/>
      <c r="J408" s="91"/>
      <c r="K408" s="88"/>
      <c r="L408" s="88"/>
      <c r="M408" s="91"/>
      <c r="N408" s="88"/>
      <c r="O408" s="91"/>
      <c r="P408" s="91"/>
      <c r="Q408" s="88"/>
      <c r="R408" s="91"/>
      <c r="S408" s="91"/>
      <c r="T408" s="88"/>
      <c r="U408" s="88"/>
      <c r="V408" s="88"/>
      <c r="Y408" s="91"/>
      <c r="Z408" s="88"/>
    </row>
    <row r="409" spans="6:26" ht="12.5" x14ac:dyDescent="0.25">
      <c r="F409" s="101"/>
      <c r="G409" s="91"/>
      <c r="H409" s="91"/>
      <c r="I409" s="88"/>
      <c r="J409" s="91"/>
      <c r="K409" s="88"/>
      <c r="L409" s="88"/>
      <c r="M409" s="91"/>
      <c r="N409" s="88"/>
      <c r="O409" s="91"/>
      <c r="P409" s="91"/>
      <c r="Q409" s="88"/>
      <c r="R409" s="91"/>
      <c r="S409" s="91"/>
      <c r="T409" s="88"/>
      <c r="U409" s="88"/>
      <c r="V409" s="88"/>
      <c r="Y409" s="91"/>
      <c r="Z409" s="88"/>
    </row>
    <row r="410" spans="6:26" ht="12.5" x14ac:dyDescent="0.25">
      <c r="F410" s="101"/>
      <c r="G410" s="91"/>
      <c r="H410" s="91"/>
      <c r="I410" s="88"/>
      <c r="J410" s="91"/>
      <c r="K410" s="88"/>
      <c r="L410" s="88"/>
      <c r="M410" s="91"/>
      <c r="N410" s="88"/>
      <c r="O410" s="91"/>
      <c r="P410" s="91"/>
      <c r="Q410" s="88"/>
      <c r="R410" s="91"/>
      <c r="S410" s="91"/>
      <c r="T410" s="88"/>
      <c r="U410" s="88"/>
      <c r="V410" s="88"/>
      <c r="Y410" s="91"/>
      <c r="Z410" s="88"/>
    </row>
    <row r="411" spans="6:26" ht="12.5" x14ac:dyDescent="0.25">
      <c r="F411" s="101"/>
      <c r="G411" s="91"/>
      <c r="H411" s="91"/>
      <c r="I411" s="88"/>
      <c r="J411" s="91"/>
      <c r="K411" s="88"/>
      <c r="L411" s="88"/>
      <c r="M411" s="91"/>
      <c r="N411" s="88"/>
      <c r="O411" s="91"/>
      <c r="P411" s="91"/>
      <c r="Q411" s="88"/>
      <c r="R411" s="91"/>
      <c r="S411" s="91"/>
      <c r="T411" s="88"/>
      <c r="U411" s="88"/>
      <c r="V411" s="88"/>
      <c r="Y411" s="91"/>
      <c r="Z411" s="88"/>
    </row>
    <row r="412" spans="6:26" ht="12.5" x14ac:dyDescent="0.25">
      <c r="F412" s="101"/>
      <c r="G412" s="91"/>
      <c r="H412" s="91"/>
      <c r="I412" s="88"/>
      <c r="J412" s="91"/>
      <c r="K412" s="88"/>
      <c r="L412" s="88"/>
      <c r="M412" s="91"/>
      <c r="N412" s="88"/>
      <c r="O412" s="91"/>
      <c r="P412" s="91"/>
      <c r="Q412" s="88"/>
      <c r="R412" s="91"/>
      <c r="S412" s="91"/>
      <c r="T412" s="88"/>
      <c r="U412" s="88"/>
      <c r="V412" s="88"/>
      <c r="Y412" s="91"/>
      <c r="Z412" s="88"/>
    </row>
    <row r="413" spans="6:26" ht="12.5" x14ac:dyDescent="0.25">
      <c r="F413" s="101"/>
      <c r="G413" s="91"/>
      <c r="H413" s="91"/>
      <c r="I413" s="88"/>
      <c r="J413" s="91"/>
      <c r="K413" s="88"/>
      <c r="L413" s="88"/>
      <c r="M413" s="91"/>
      <c r="N413" s="88"/>
      <c r="O413" s="91"/>
      <c r="P413" s="91"/>
      <c r="Q413" s="88"/>
      <c r="R413" s="91"/>
      <c r="S413" s="91"/>
      <c r="T413" s="88"/>
      <c r="U413" s="88"/>
      <c r="V413" s="88"/>
      <c r="Y413" s="91"/>
      <c r="Z413" s="88"/>
    </row>
    <row r="414" spans="6:26" ht="12.5" x14ac:dyDescent="0.25">
      <c r="F414" s="101"/>
      <c r="G414" s="91"/>
      <c r="H414" s="91"/>
      <c r="I414" s="88"/>
      <c r="J414" s="91"/>
      <c r="K414" s="88"/>
      <c r="L414" s="88"/>
      <c r="M414" s="91"/>
      <c r="N414" s="88"/>
      <c r="O414" s="91"/>
      <c r="P414" s="91"/>
      <c r="Q414" s="88"/>
      <c r="R414" s="91"/>
      <c r="S414" s="91"/>
      <c r="T414" s="88"/>
      <c r="U414" s="88"/>
      <c r="V414" s="88"/>
      <c r="Y414" s="91"/>
      <c r="Z414" s="88"/>
    </row>
    <row r="415" spans="6:26" ht="12.5" x14ac:dyDescent="0.25">
      <c r="F415" s="101"/>
      <c r="G415" s="91"/>
      <c r="H415" s="91"/>
      <c r="I415" s="88"/>
      <c r="J415" s="91"/>
      <c r="K415" s="88"/>
      <c r="L415" s="88"/>
      <c r="M415" s="91"/>
      <c r="N415" s="88"/>
      <c r="O415" s="91"/>
      <c r="P415" s="91"/>
      <c r="Q415" s="88"/>
      <c r="R415" s="91"/>
      <c r="S415" s="91"/>
      <c r="T415" s="88"/>
      <c r="U415" s="88"/>
      <c r="V415" s="88"/>
      <c r="Y415" s="91"/>
      <c r="Z415" s="88"/>
    </row>
    <row r="416" spans="6:26" ht="12.5" x14ac:dyDescent="0.25">
      <c r="F416" s="101"/>
      <c r="G416" s="91"/>
      <c r="H416" s="91"/>
      <c r="I416" s="88"/>
      <c r="J416" s="91"/>
      <c r="K416" s="88"/>
      <c r="L416" s="88"/>
      <c r="M416" s="91"/>
      <c r="N416" s="88"/>
      <c r="O416" s="91"/>
      <c r="P416" s="91"/>
      <c r="Q416" s="88"/>
      <c r="R416" s="91"/>
      <c r="S416" s="91"/>
      <c r="T416" s="88"/>
      <c r="U416" s="88"/>
      <c r="V416" s="88"/>
      <c r="Y416" s="91"/>
      <c r="Z416" s="88"/>
    </row>
    <row r="417" spans="6:26" ht="12.5" x14ac:dyDescent="0.25">
      <c r="F417" s="101"/>
      <c r="G417" s="91"/>
      <c r="H417" s="91"/>
      <c r="I417" s="88"/>
      <c r="J417" s="91"/>
      <c r="K417" s="88"/>
      <c r="L417" s="88"/>
      <c r="M417" s="91"/>
      <c r="N417" s="88"/>
      <c r="O417" s="91"/>
      <c r="P417" s="91"/>
      <c r="Q417" s="88"/>
      <c r="R417" s="91"/>
      <c r="S417" s="91"/>
      <c r="T417" s="88"/>
      <c r="U417" s="88"/>
      <c r="V417" s="88"/>
      <c r="Y417" s="91"/>
      <c r="Z417" s="88"/>
    </row>
    <row r="418" spans="6:26" ht="12.5" x14ac:dyDescent="0.25">
      <c r="F418" s="101"/>
      <c r="G418" s="91"/>
      <c r="H418" s="91"/>
      <c r="I418" s="88"/>
      <c r="J418" s="91"/>
      <c r="K418" s="88"/>
      <c r="L418" s="88"/>
      <c r="M418" s="91"/>
      <c r="N418" s="88"/>
      <c r="O418" s="91"/>
      <c r="P418" s="91"/>
      <c r="Q418" s="88"/>
      <c r="R418" s="91"/>
      <c r="S418" s="91"/>
      <c r="T418" s="88"/>
      <c r="U418" s="88"/>
      <c r="V418" s="88"/>
      <c r="Y418" s="91"/>
      <c r="Z418" s="88"/>
    </row>
    <row r="419" spans="6:26" ht="12.5" x14ac:dyDescent="0.25">
      <c r="F419" s="101"/>
      <c r="G419" s="91"/>
      <c r="H419" s="91"/>
      <c r="I419" s="88"/>
      <c r="J419" s="91"/>
      <c r="K419" s="88"/>
      <c r="L419" s="88"/>
      <c r="M419" s="91"/>
      <c r="N419" s="88"/>
      <c r="O419" s="91"/>
      <c r="P419" s="91"/>
      <c r="Q419" s="88"/>
      <c r="R419" s="91"/>
      <c r="S419" s="91"/>
      <c r="T419" s="88"/>
      <c r="U419" s="88"/>
      <c r="V419" s="88"/>
      <c r="Y419" s="91"/>
      <c r="Z419" s="88"/>
    </row>
    <row r="420" spans="6:26" ht="12.5" x14ac:dyDescent="0.25">
      <c r="F420" s="101"/>
      <c r="G420" s="91"/>
      <c r="H420" s="91"/>
      <c r="I420" s="88"/>
      <c r="J420" s="91"/>
      <c r="K420" s="88"/>
      <c r="L420" s="88"/>
      <c r="M420" s="91"/>
      <c r="N420" s="88"/>
      <c r="O420" s="91"/>
      <c r="P420" s="91"/>
      <c r="Q420" s="88"/>
      <c r="R420" s="91"/>
      <c r="S420" s="91"/>
      <c r="T420" s="88"/>
      <c r="U420" s="88"/>
      <c r="V420" s="88"/>
      <c r="Y420" s="91"/>
      <c r="Z420" s="88"/>
    </row>
    <row r="421" spans="6:26" ht="12.5" x14ac:dyDescent="0.25">
      <c r="F421" s="101"/>
      <c r="G421" s="91"/>
      <c r="H421" s="91"/>
      <c r="I421" s="88"/>
      <c r="J421" s="91"/>
      <c r="K421" s="88"/>
      <c r="L421" s="88"/>
      <c r="M421" s="91"/>
      <c r="N421" s="88"/>
      <c r="O421" s="91"/>
      <c r="P421" s="91"/>
      <c r="Q421" s="88"/>
      <c r="R421" s="91"/>
      <c r="S421" s="91"/>
      <c r="T421" s="88"/>
      <c r="U421" s="88"/>
      <c r="V421" s="88"/>
      <c r="Y421" s="91"/>
      <c r="Z421" s="88"/>
    </row>
    <row r="422" spans="6:26" ht="12.5" x14ac:dyDescent="0.25">
      <c r="F422" s="101"/>
      <c r="G422" s="91"/>
      <c r="H422" s="91"/>
      <c r="I422" s="88"/>
      <c r="J422" s="91"/>
      <c r="K422" s="88"/>
      <c r="L422" s="88"/>
      <c r="M422" s="91"/>
      <c r="N422" s="88"/>
      <c r="O422" s="91"/>
      <c r="P422" s="91"/>
      <c r="Q422" s="88"/>
      <c r="R422" s="91"/>
      <c r="S422" s="91"/>
      <c r="T422" s="88"/>
      <c r="U422" s="88"/>
      <c r="V422" s="88"/>
      <c r="Y422" s="91"/>
      <c r="Z422" s="88"/>
    </row>
    <row r="423" spans="6:26" ht="12.5" x14ac:dyDescent="0.25">
      <c r="F423" s="101"/>
      <c r="G423" s="91"/>
      <c r="H423" s="91"/>
      <c r="I423" s="88"/>
      <c r="J423" s="91"/>
      <c r="K423" s="88"/>
      <c r="L423" s="88"/>
      <c r="M423" s="91"/>
      <c r="N423" s="88"/>
      <c r="O423" s="91"/>
      <c r="P423" s="91"/>
      <c r="Q423" s="88"/>
      <c r="R423" s="91"/>
      <c r="S423" s="91"/>
      <c r="T423" s="88"/>
      <c r="U423" s="88"/>
      <c r="V423" s="88"/>
      <c r="Y423" s="91"/>
      <c r="Z423" s="88"/>
    </row>
    <row r="424" spans="6:26" ht="12.5" x14ac:dyDescent="0.25">
      <c r="F424" s="101"/>
      <c r="G424" s="91"/>
      <c r="H424" s="91"/>
      <c r="I424" s="88"/>
      <c r="J424" s="91"/>
      <c r="K424" s="88"/>
      <c r="L424" s="88"/>
      <c r="M424" s="91"/>
      <c r="N424" s="88"/>
      <c r="O424" s="91"/>
      <c r="P424" s="91"/>
      <c r="Q424" s="88"/>
      <c r="R424" s="91"/>
      <c r="S424" s="91"/>
      <c r="T424" s="88"/>
      <c r="U424" s="88"/>
      <c r="V424" s="88"/>
      <c r="Y424" s="91"/>
      <c r="Z424" s="88"/>
    </row>
    <row r="425" spans="6:26" ht="12.5" x14ac:dyDescent="0.25">
      <c r="F425" s="101"/>
      <c r="G425" s="91"/>
      <c r="H425" s="91"/>
      <c r="I425" s="88"/>
      <c r="J425" s="91"/>
      <c r="K425" s="88"/>
      <c r="L425" s="88"/>
      <c r="M425" s="91"/>
      <c r="N425" s="88"/>
      <c r="O425" s="91"/>
      <c r="P425" s="91"/>
      <c r="Q425" s="88"/>
      <c r="R425" s="91"/>
      <c r="S425" s="91"/>
      <c r="T425" s="88"/>
      <c r="U425" s="88"/>
      <c r="V425" s="88"/>
      <c r="Y425" s="91"/>
      <c r="Z425" s="88"/>
    </row>
    <row r="426" spans="6:26" ht="12.5" x14ac:dyDescent="0.25">
      <c r="F426" s="101"/>
      <c r="G426" s="91"/>
      <c r="H426" s="91"/>
      <c r="I426" s="88"/>
      <c r="J426" s="91"/>
      <c r="K426" s="88"/>
      <c r="L426" s="88"/>
      <c r="M426" s="91"/>
      <c r="N426" s="88"/>
      <c r="O426" s="91"/>
      <c r="P426" s="91"/>
      <c r="Q426" s="88"/>
      <c r="R426" s="91"/>
      <c r="S426" s="91"/>
      <c r="T426" s="88"/>
      <c r="U426" s="88"/>
      <c r="V426" s="88"/>
      <c r="Y426" s="91"/>
      <c r="Z426" s="88"/>
    </row>
    <row r="427" spans="6:26" ht="12.5" x14ac:dyDescent="0.25">
      <c r="F427" s="101"/>
      <c r="G427" s="91"/>
      <c r="H427" s="91"/>
      <c r="I427" s="88"/>
      <c r="J427" s="91"/>
      <c r="K427" s="88"/>
      <c r="L427" s="88"/>
      <c r="M427" s="91"/>
      <c r="N427" s="88"/>
      <c r="O427" s="91"/>
      <c r="P427" s="91"/>
      <c r="Q427" s="88"/>
      <c r="R427" s="91"/>
      <c r="S427" s="91"/>
      <c r="T427" s="88"/>
      <c r="U427" s="88"/>
      <c r="V427" s="88"/>
      <c r="Y427" s="91"/>
      <c r="Z427" s="88"/>
    </row>
    <row r="428" spans="6:26" ht="12.5" x14ac:dyDescent="0.25">
      <c r="F428" s="101"/>
      <c r="G428" s="91"/>
      <c r="H428" s="91"/>
      <c r="I428" s="88"/>
      <c r="J428" s="91"/>
      <c r="K428" s="88"/>
      <c r="L428" s="88"/>
      <c r="M428" s="91"/>
      <c r="N428" s="88"/>
      <c r="O428" s="91"/>
      <c r="P428" s="91"/>
      <c r="Q428" s="88"/>
      <c r="R428" s="91"/>
      <c r="S428" s="91"/>
      <c r="T428" s="88"/>
      <c r="U428" s="88"/>
      <c r="V428" s="88"/>
      <c r="Y428" s="91"/>
      <c r="Z428" s="88"/>
    </row>
    <row r="429" spans="6:26" ht="12.5" x14ac:dyDescent="0.25">
      <c r="F429" s="101"/>
      <c r="G429" s="91"/>
      <c r="H429" s="91"/>
      <c r="I429" s="88"/>
      <c r="J429" s="91"/>
      <c r="K429" s="88"/>
      <c r="L429" s="88"/>
      <c r="M429" s="91"/>
      <c r="N429" s="88"/>
      <c r="O429" s="91"/>
      <c r="P429" s="91"/>
      <c r="Q429" s="88"/>
      <c r="R429" s="91"/>
      <c r="S429" s="91"/>
      <c r="T429" s="88"/>
      <c r="U429" s="88"/>
      <c r="V429" s="88"/>
      <c r="Y429" s="91"/>
      <c r="Z429" s="88"/>
    </row>
    <row r="430" spans="6:26" ht="12.5" x14ac:dyDescent="0.25">
      <c r="F430" s="101"/>
      <c r="G430" s="91"/>
      <c r="H430" s="91"/>
      <c r="I430" s="88"/>
      <c r="J430" s="91"/>
      <c r="K430" s="88"/>
      <c r="L430" s="88"/>
      <c r="M430" s="91"/>
      <c r="N430" s="88"/>
      <c r="O430" s="91"/>
      <c r="P430" s="91"/>
      <c r="Q430" s="88"/>
      <c r="R430" s="91"/>
      <c r="S430" s="91"/>
      <c r="T430" s="88"/>
      <c r="U430" s="88"/>
      <c r="V430" s="88"/>
      <c r="Y430" s="91"/>
      <c r="Z430" s="88"/>
    </row>
    <row r="431" spans="6:26" ht="12.5" x14ac:dyDescent="0.25">
      <c r="F431" s="101"/>
      <c r="G431" s="91"/>
      <c r="H431" s="91"/>
      <c r="I431" s="88"/>
      <c r="J431" s="91"/>
      <c r="K431" s="88"/>
      <c r="L431" s="88"/>
      <c r="M431" s="91"/>
      <c r="N431" s="88"/>
      <c r="O431" s="91"/>
      <c r="P431" s="91"/>
      <c r="Q431" s="88"/>
      <c r="R431" s="91"/>
      <c r="S431" s="91"/>
      <c r="T431" s="88"/>
      <c r="U431" s="88"/>
      <c r="V431" s="88"/>
      <c r="Y431" s="91"/>
      <c r="Z431" s="88"/>
    </row>
    <row r="432" spans="6:26" ht="12.5" x14ac:dyDescent="0.25">
      <c r="F432" s="101"/>
      <c r="G432" s="91"/>
      <c r="H432" s="91"/>
      <c r="I432" s="88"/>
      <c r="J432" s="91"/>
      <c r="K432" s="88"/>
      <c r="L432" s="88"/>
      <c r="M432" s="91"/>
      <c r="N432" s="88"/>
      <c r="O432" s="91"/>
      <c r="P432" s="91"/>
      <c r="Q432" s="88"/>
      <c r="R432" s="91"/>
      <c r="S432" s="91"/>
      <c r="T432" s="88"/>
      <c r="U432" s="88"/>
      <c r="V432" s="88"/>
      <c r="Y432" s="91"/>
      <c r="Z432" s="88"/>
    </row>
    <row r="433" spans="6:26" ht="12.5" x14ac:dyDescent="0.25">
      <c r="F433" s="101"/>
      <c r="G433" s="91"/>
      <c r="H433" s="91"/>
      <c r="I433" s="88"/>
      <c r="J433" s="91"/>
      <c r="K433" s="88"/>
      <c r="L433" s="88"/>
      <c r="M433" s="91"/>
      <c r="N433" s="88"/>
      <c r="O433" s="91"/>
      <c r="P433" s="91"/>
      <c r="Q433" s="88"/>
      <c r="R433" s="91"/>
      <c r="S433" s="91"/>
      <c r="T433" s="88"/>
      <c r="U433" s="88"/>
      <c r="V433" s="88"/>
      <c r="Y433" s="91"/>
      <c r="Z433" s="88"/>
    </row>
    <row r="434" spans="6:26" ht="12.5" x14ac:dyDescent="0.25">
      <c r="F434" s="101"/>
      <c r="G434" s="91"/>
      <c r="H434" s="91"/>
      <c r="I434" s="88"/>
      <c r="J434" s="91"/>
      <c r="K434" s="88"/>
      <c r="L434" s="88"/>
      <c r="M434" s="91"/>
      <c r="N434" s="88"/>
      <c r="O434" s="91"/>
      <c r="P434" s="91"/>
      <c r="Q434" s="88"/>
      <c r="R434" s="91"/>
      <c r="S434" s="91"/>
      <c r="T434" s="88"/>
      <c r="U434" s="88"/>
      <c r="V434" s="88"/>
      <c r="Y434" s="91"/>
      <c r="Z434" s="88"/>
    </row>
    <row r="435" spans="6:26" ht="12.5" x14ac:dyDescent="0.25">
      <c r="F435" s="101"/>
      <c r="G435" s="91"/>
      <c r="H435" s="91"/>
      <c r="I435" s="88"/>
      <c r="J435" s="91"/>
      <c r="K435" s="88"/>
      <c r="L435" s="88"/>
      <c r="M435" s="91"/>
      <c r="N435" s="88"/>
      <c r="O435" s="91"/>
      <c r="P435" s="91"/>
      <c r="Q435" s="88"/>
      <c r="R435" s="91"/>
      <c r="S435" s="91"/>
      <c r="T435" s="88"/>
      <c r="U435" s="88"/>
      <c r="V435" s="88"/>
      <c r="Y435" s="91"/>
      <c r="Z435" s="88"/>
    </row>
    <row r="436" spans="6:26" ht="12.5" x14ac:dyDescent="0.25">
      <c r="F436" s="101"/>
      <c r="G436" s="91"/>
      <c r="H436" s="91"/>
      <c r="I436" s="88"/>
      <c r="J436" s="91"/>
      <c r="K436" s="88"/>
      <c r="L436" s="88"/>
      <c r="M436" s="91"/>
      <c r="N436" s="88"/>
      <c r="O436" s="91"/>
      <c r="P436" s="91"/>
      <c r="Q436" s="88"/>
      <c r="R436" s="91"/>
      <c r="S436" s="91"/>
      <c r="T436" s="88"/>
      <c r="U436" s="88"/>
      <c r="V436" s="88"/>
      <c r="Y436" s="91"/>
      <c r="Z436" s="88"/>
    </row>
    <row r="437" spans="6:26" ht="12.5" x14ac:dyDescent="0.25">
      <c r="F437" s="101"/>
      <c r="G437" s="91"/>
      <c r="H437" s="91"/>
      <c r="I437" s="88"/>
      <c r="J437" s="91"/>
      <c r="K437" s="88"/>
      <c r="L437" s="88"/>
      <c r="M437" s="91"/>
      <c r="N437" s="88"/>
      <c r="O437" s="91"/>
      <c r="P437" s="91"/>
      <c r="Q437" s="88"/>
      <c r="R437" s="91"/>
      <c r="S437" s="91"/>
      <c r="T437" s="88"/>
      <c r="U437" s="88"/>
      <c r="V437" s="88"/>
      <c r="Y437" s="91"/>
      <c r="Z437" s="88"/>
    </row>
    <row r="438" spans="6:26" ht="12.5" x14ac:dyDescent="0.25">
      <c r="F438" s="101"/>
      <c r="G438" s="91"/>
      <c r="H438" s="91"/>
      <c r="I438" s="88"/>
      <c r="J438" s="91"/>
      <c r="K438" s="88"/>
      <c r="L438" s="88"/>
      <c r="M438" s="91"/>
      <c r="N438" s="88"/>
      <c r="O438" s="91"/>
      <c r="P438" s="91"/>
      <c r="Q438" s="88"/>
      <c r="R438" s="91"/>
      <c r="S438" s="91"/>
      <c r="T438" s="88"/>
      <c r="U438" s="88"/>
      <c r="V438" s="88"/>
      <c r="Y438" s="91"/>
      <c r="Z438" s="88"/>
    </row>
    <row r="439" spans="6:26" ht="12.5" x14ac:dyDescent="0.25">
      <c r="F439" s="101"/>
      <c r="G439" s="91"/>
      <c r="H439" s="91"/>
      <c r="I439" s="88"/>
      <c r="J439" s="91"/>
      <c r="K439" s="88"/>
      <c r="L439" s="88"/>
      <c r="M439" s="91"/>
      <c r="N439" s="88"/>
      <c r="O439" s="91"/>
      <c r="P439" s="91"/>
      <c r="Q439" s="88"/>
      <c r="R439" s="91"/>
      <c r="S439" s="91"/>
      <c r="T439" s="88"/>
      <c r="U439" s="88"/>
      <c r="V439" s="88"/>
      <c r="Y439" s="91"/>
      <c r="Z439" s="88"/>
    </row>
    <row r="440" spans="6:26" ht="12.5" x14ac:dyDescent="0.25">
      <c r="F440" s="101"/>
      <c r="G440" s="91"/>
      <c r="H440" s="91"/>
      <c r="I440" s="88"/>
      <c r="J440" s="91"/>
      <c r="K440" s="88"/>
      <c r="L440" s="88"/>
      <c r="M440" s="91"/>
      <c r="N440" s="88"/>
      <c r="O440" s="91"/>
      <c r="P440" s="91"/>
      <c r="Q440" s="88"/>
      <c r="R440" s="91"/>
      <c r="S440" s="91"/>
      <c r="T440" s="88"/>
      <c r="U440" s="88"/>
      <c r="V440" s="88"/>
      <c r="Y440" s="91"/>
      <c r="Z440" s="88"/>
    </row>
    <row r="441" spans="6:26" ht="12.5" x14ac:dyDescent="0.25">
      <c r="F441" s="101"/>
      <c r="G441" s="91"/>
      <c r="H441" s="91"/>
      <c r="I441" s="88"/>
      <c r="J441" s="91"/>
      <c r="K441" s="88"/>
      <c r="L441" s="88"/>
      <c r="M441" s="91"/>
      <c r="N441" s="88"/>
      <c r="O441" s="91"/>
      <c r="P441" s="91"/>
      <c r="Q441" s="88"/>
      <c r="R441" s="91"/>
      <c r="S441" s="91"/>
      <c r="T441" s="88"/>
      <c r="U441" s="88"/>
      <c r="V441" s="88"/>
      <c r="Y441" s="91"/>
      <c r="Z441" s="88"/>
    </row>
    <row r="442" spans="6:26" ht="12.5" x14ac:dyDescent="0.25">
      <c r="F442" s="101"/>
      <c r="G442" s="91"/>
      <c r="H442" s="91"/>
      <c r="I442" s="88"/>
      <c r="J442" s="91"/>
      <c r="K442" s="88"/>
      <c r="L442" s="88"/>
      <c r="M442" s="91"/>
      <c r="N442" s="88"/>
      <c r="O442" s="91"/>
      <c r="P442" s="91"/>
      <c r="Q442" s="88"/>
      <c r="R442" s="91"/>
      <c r="S442" s="91"/>
      <c r="T442" s="88"/>
      <c r="U442" s="88"/>
      <c r="V442" s="88"/>
      <c r="Y442" s="91"/>
      <c r="Z442" s="88"/>
    </row>
    <row r="443" spans="6:26" ht="12.5" x14ac:dyDescent="0.25">
      <c r="F443" s="101"/>
      <c r="G443" s="91"/>
      <c r="H443" s="91"/>
      <c r="I443" s="88"/>
      <c r="J443" s="91"/>
      <c r="K443" s="88"/>
      <c r="L443" s="88"/>
      <c r="M443" s="91"/>
      <c r="N443" s="88"/>
      <c r="O443" s="91"/>
      <c r="P443" s="91"/>
      <c r="Q443" s="88"/>
      <c r="R443" s="91"/>
      <c r="S443" s="91"/>
      <c r="T443" s="88"/>
      <c r="U443" s="88"/>
      <c r="V443" s="88"/>
      <c r="Y443" s="91"/>
      <c r="Z443" s="88"/>
    </row>
    <row r="444" spans="6:26" ht="12.5" x14ac:dyDescent="0.25">
      <c r="F444" s="101"/>
      <c r="G444" s="91"/>
      <c r="H444" s="91"/>
      <c r="I444" s="88"/>
      <c r="J444" s="91"/>
      <c r="K444" s="88"/>
      <c r="L444" s="88"/>
      <c r="M444" s="91"/>
      <c r="N444" s="88"/>
      <c r="O444" s="91"/>
      <c r="P444" s="91"/>
      <c r="Q444" s="88"/>
      <c r="R444" s="91"/>
      <c r="S444" s="91"/>
      <c r="T444" s="88"/>
      <c r="U444" s="88"/>
      <c r="V444" s="88"/>
      <c r="Y444" s="91"/>
      <c r="Z444" s="88"/>
    </row>
    <row r="445" spans="6:26" ht="12.5" x14ac:dyDescent="0.25">
      <c r="F445" s="101"/>
      <c r="G445" s="91"/>
      <c r="H445" s="91"/>
      <c r="I445" s="88"/>
      <c r="J445" s="91"/>
      <c r="K445" s="88"/>
      <c r="L445" s="88"/>
      <c r="M445" s="91"/>
      <c r="N445" s="88"/>
      <c r="O445" s="91"/>
      <c r="P445" s="91"/>
      <c r="Q445" s="88"/>
      <c r="R445" s="91"/>
      <c r="S445" s="91"/>
      <c r="T445" s="88"/>
      <c r="U445" s="88"/>
      <c r="V445" s="88"/>
      <c r="Y445" s="91"/>
      <c r="Z445" s="88"/>
    </row>
    <row r="446" spans="6:26" ht="12.5" x14ac:dyDescent="0.25">
      <c r="F446" s="101"/>
      <c r="G446" s="91"/>
      <c r="H446" s="91"/>
      <c r="I446" s="88"/>
      <c r="J446" s="91"/>
      <c r="K446" s="88"/>
      <c r="L446" s="88"/>
      <c r="M446" s="91"/>
      <c r="N446" s="88"/>
      <c r="O446" s="91"/>
      <c r="P446" s="91"/>
      <c r="Q446" s="88"/>
      <c r="R446" s="91"/>
      <c r="S446" s="91"/>
      <c r="T446" s="88"/>
      <c r="U446" s="88"/>
      <c r="V446" s="88"/>
      <c r="Y446" s="91"/>
      <c r="Z446" s="88"/>
    </row>
    <row r="447" spans="6:26" ht="12.5" x14ac:dyDescent="0.25">
      <c r="F447" s="101"/>
      <c r="G447" s="91"/>
      <c r="H447" s="91"/>
      <c r="I447" s="88"/>
      <c r="J447" s="91"/>
      <c r="K447" s="88"/>
      <c r="L447" s="88"/>
      <c r="M447" s="91"/>
      <c r="N447" s="88"/>
      <c r="O447" s="91"/>
      <c r="P447" s="91"/>
      <c r="Q447" s="88"/>
      <c r="R447" s="91"/>
      <c r="S447" s="91"/>
      <c r="T447" s="88"/>
      <c r="U447" s="88"/>
      <c r="V447" s="88"/>
      <c r="Y447" s="91"/>
      <c r="Z447" s="88"/>
    </row>
    <row r="448" spans="6:26" ht="12.5" x14ac:dyDescent="0.25">
      <c r="F448" s="101"/>
      <c r="G448" s="91"/>
      <c r="H448" s="91"/>
      <c r="I448" s="88"/>
      <c r="J448" s="91"/>
      <c r="K448" s="88"/>
      <c r="L448" s="88"/>
      <c r="M448" s="91"/>
      <c r="N448" s="88"/>
      <c r="O448" s="91"/>
      <c r="P448" s="91"/>
      <c r="Q448" s="88"/>
      <c r="R448" s="91"/>
      <c r="S448" s="91"/>
      <c r="T448" s="88"/>
      <c r="U448" s="88"/>
      <c r="V448" s="88"/>
      <c r="Y448" s="91"/>
      <c r="Z448" s="88"/>
    </row>
    <row r="449" spans="6:26" ht="12.5" x14ac:dyDescent="0.25">
      <c r="F449" s="101"/>
      <c r="G449" s="91"/>
      <c r="H449" s="91"/>
      <c r="I449" s="88"/>
      <c r="J449" s="91"/>
      <c r="K449" s="88"/>
      <c r="L449" s="88"/>
      <c r="M449" s="91"/>
      <c r="N449" s="88"/>
      <c r="O449" s="91"/>
      <c r="P449" s="91"/>
      <c r="Q449" s="88"/>
      <c r="R449" s="91"/>
      <c r="S449" s="91"/>
      <c r="T449" s="88"/>
      <c r="U449" s="88"/>
      <c r="V449" s="88"/>
      <c r="Y449" s="91"/>
      <c r="Z449" s="88"/>
    </row>
    <row r="450" spans="6:26" ht="12.5" x14ac:dyDescent="0.25">
      <c r="F450" s="101"/>
      <c r="G450" s="91"/>
      <c r="H450" s="91"/>
      <c r="I450" s="88"/>
      <c r="J450" s="91"/>
      <c r="K450" s="88"/>
      <c r="L450" s="88"/>
      <c r="M450" s="91"/>
      <c r="N450" s="88"/>
      <c r="O450" s="91"/>
      <c r="P450" s="91"/>
      <c r="Q450" s="88"/>
      <c r="R450" s="91"/>
      <c r="S450" s="91"/>
      <c r="T450" s="88"/>
      <c r="U450" s="88"/>
      <c r="V450" s="88"/>
      <c r="Y450" s="91"/>
      <c r="Z450" s="88"/>
    </row>
    <row r="451" spans="6:26" ht="12.5" x14ac:dyDescent="0.25">
      <c r="F451" s="101"/>
      <c r="G451" s="91"/>
      <c r="H451" s="91"/>
      <c r="I451" s="88"/>
      <c r="J451" s="91"/>
      <c r="K451" s="88"/>
      <c r="L451" s="88"/>
      <c r="M451" s="91"/>
      <c r="N451" s="88"/>
      <c r="O451" s="91"/>
      <c r="P451" s="91"/>
      <c r="Q451" s="88"/>
      <c r="R451" s="91"/>
      <c r="S451" s="91"/>
      <c r="T451" s="88"/>
      <c r="U451" s="88"/>
      <c r="V451" s="88"/>
      <c r="Y451" s="91"/>
      <c r="Z451" s="88"/>
    </row>
    <row r="452" spans="6:26" ht="12.5" x14ac:dyDescent="0.25">
      <c r="F452" s="101"/>
      <c r="G452" s="91"/>
      <c r="H452" s="91"/>
      <c r="I452" s="88"/>
      <c r="J452" s="91"/>
      <c r="K452" s="88"/>
      <c r="L452" s="88"/>
      <c r="M452" s="91"/>
      <c r="N452" s="88"/>
      <c r="O452" s="91"/>
      <c r="P452" s="91"/>
      <c r="Q452" s="88"/>
      <c r="R452" s="91"/>
      <c r="S452" s="91"/>
      <c r="T452" s="88"/>
      <c r="U452" s="88"/>
      <c r="V452" s="88"/>
      <c r="Y452" s="91"/>
      <c r="Z452" s="88"/>
    </row>
    <row r="453" spans="6:26" ht="12.5" x14ac:dyDescent="0.25">
      <c r="F453" s="101"/>
      <c r="G453" s="91"/>
      <c r="H453" s="91"/>
      <c r="I453" s="88"/>
      <c r="J453" s="91"/>
      <c r="K453" s="88"/>
      <c r="L453" s="88"/>
      <c r="M453" s="91"/>
      <c r="N453" s="88"/>
      <c r="O453" s="91"/>
      <c r="P453" s="91"/>
      <c r="Q453" s="88"/>
      <c r="R453" s="91"/>
      <c r="S453" s="91"/>
      <c r="T453" s="88"/>
      <c r="U453" s="88"/>
      <c r="V453" s="88"/>
      <c r="Y453" s="91"/>
      <c r="Z453" s="88"/>
    </row>
    <row r="454" spans="6:26" ht="12.5" x14ac:dyDescent="0.25">
      <c r="F454" s="101"/>
      <c r="G454" s="91"/>
      <c r="H454" s="91"/>
      <c r="I454" s="88"/>
      <c r="J454" s="91"/>
      <c r="K454" s="88"/>
      <c r="L454" s="88"/>
      <c r="M454" s="91"/>
      <c r="N454" s="88"/>
      <c r="O454" s="91"/>
      <c r="P454" s="91"/>
      <c r="Q454" s="88"/>
      <c r="R454" s="91"/>
      <c r="S454" s="91"/>
      <c r="T454" s="88"/>
      <c r="U454" s="88"/>
      <c r="V454" s="88"/>
      <c r="Y454" s="91"/>
      <c r="Z454" s="88"/>
    </row>
    <row r="455" spans="6:26" ht="12.5" x14ac:dyDescent="0.25">
      <c r="F455" s="101"/>
      <c r="G455" s="91"/>
      <c r="H455" s="91"/>
      <c r="I455" s="88"/>
      <c r="J455" s="91"/>
      <c r="K455" s="88"/>
      <c r="L455" s="88"/>
      <c r="M455" s="91"/>
      <c r="N455" s="88"/>
      <c r="O455" s="91"/>
      <c r="P455" s="91"/>
      <c r="Q455" s="88"/>
      <c r="R455" s="91"/>
      <c r="S455" s="91"/>
      <c r="T455" s="88"/>
      <c r="U455" s="88"/>
      <c r="V455" s="88"/>
      <c r="Y455" s="91"/>
      <c r="Z455" s="88"/>
    </row>
    <row r="456" spans="6:26" ht="12.5" x14ac:dyDescent="0.25">
      <c r="F456" s="101"/>
      <c r="G456" s="91"/>
      <c r="H456" s="91"/>
      <c r="I456" s="88"/>
      <c r="J456" s="91"/>
      <c r="K456" s="88"/>
      <c r="L456" s="88"/>
      <c r="M456" s="91"/>
      <c r="N456" s="88"/>
      <c r="O456" s="91"/>
      <c r="P456" s="91"/>
      <c r="Q456" s="88"/>
      <c r="R456" s="91"/>
      <c r="S456" s="91"/>
      <c r="T456" s="88"/>
      <c r="U456" s="88"/>
      <c r="V456" s="88"/>
      <c r="Y456" s="91"/>
      <c r="Z456" s="88"/>
    </row>
    <row r="457" spans="6:26" ht="12.5" x14ac:dyDescent="0.25">
      <c r="F457" s="101"/>
      <c r="G457" s="91"/>
      <c r="H457" s="91"/>
      <c r="I457" s="88"/>
      <c r="J457" s="91"/>
      <c r="K457" s="88"/>
      <c r="L457" s="88"/>
      <c r="M457" s="91"/>
      <c r="N457" s="88"/>
      <c r="O457" s="91"/>
      <c r="P457" s="91"/>
      <c r="Q457" s="88"/>
      <c r="R457" s="91"/>
      <c r="S457" s="91"/>
      <c r="T457" s="88"/>
      <c r="U457" s="88"/>
      <c r="V457" s="88"/>
      <c r="Y457" s="91"/>
      <c r="Z457" s="88"/>
    </row>
    <row r="458" spans="6:26" ht="12.5" x14ac:dyDescent="0.25">
      <c r="F458" s="101"/>
      <c r="G458" s="91"/>
      <c r="H458" s="91"/>
      <c r="I458" s="88"/>
      <c r="J458" s="91"/>
      <c r="K458" s="88"/>
      <c r="L458" s="88"/>
      <c r="M458" s="91"/>
      <c r="N458" s="88"/>
      <c r="O458" s="91"/>
      <c r="P458" s="91"/>
      <c r="Q458" s="88"/>
      <c r="R458" s="91"/>
      <c r="S458" s="91"/>
      <c r="T458" s="88"/>
      <c r="U458" s="88"/>
      <c r="V458" s="88"/>
      <c r="Y458" s="91"/>
      <c r="Z458" s="88"/>
    </row>
    <row r="459" spans="6:26" ht="12.5" x14ac:dyDescent="0.25">
      <c r="F459" s="101"/>
      <c r="G459" s="91"/>
      <c r="H459" s="91"/>
      <c r="I459" s="88"/>
      <c r="J459" s="91"/>
      <c r="K459" s="88"/>
      <c r="L459" s="88"/>
      <c r="M459" s="91"/>
      <c r="N459" s="88"/>
      <c r="O459" s="91"/>
      <c r="P459" s="91"/>
      <c r="Q459" s="88"/>
      <c r="R459" s="91"/>
      <c r="S459" s="91"/>
      <c r="T459" s="88"/>
      <c r="U459" s="88"/>
      <c r="V459" s="88"/>
      <c r="Y459" s="91"/>
      <c r="Z459" s="88"/>
    </row>
    <row r="460" spans="6:26" ht="12.5" x14ac:dyDescent="0.25">
      <c r="F460" s="101"/>
      <c r="G460" s="91"/>
      <c r="H460" s="91"/>
      <c r="I460" s="88"/>
      <c r="J460" s="91"/>
      <c r="K460" s="88"/>
      <c r="L460" s="88"/>
      <c r="M460" s="91"/>
      <c r="N460" s="88"/>
      <c r="O460" s="91"/>
      <c r="P460" s="91"/>
      <c r="Q460" s="88"/>
      <c r="R460" s="91"/>
      <c r="S460" s="91"/>
      <c r="T460" s="88"/>
      <c r="U460" s="88"/>
      <c r="V460" s="88"/>
      <c r="Y460" s="91"/>
      <c r="Z460" s="88"/>
    </row>
    <row r="461" spans="6:26" ht="12.5" x14ac:dyDescent="0.25">
      <c r="F461" s="101"/>
      <c r="G461" s="91"/>
      <c r="H461" s="91"/>
      <c r="I461" s="88"/>
      <c r="J461" s="91"/>
      <c r="K461" s="88"/>
      <c r="L461" s="88"/>
      <c r="M461" s="91"/>
      <c r="N461" s="88"/>
      <c r="O461" s="91"/>
      <c r="P461" s="91"/>
      <c r="Q461" s="88"/>
      <c r="R461" s="91"/>
      <c r="S461" s="91"/>
      <c r="T461" s="88"/>
      <c r="U461" s="88"/>
      <c r="V461" s="88"/>
      <c r="Y461" s="91"/>
      <c r="Z461" s="88"/>
    </row>
    <row r="462" spans="6:26" ht="12.5" x14ac:dyDescent="0.25">
      <c r="F462" s="101"/>
      <c r="G462" s="91"/>
      <c r="H462" s="91"/>
      <c r="I462" s="88"/>
      <c r="J462" s="91"/>
      <c r="K462" s="88"/>
      <c r="L462" s="88"/>
      <c r="M462" s="91"/>
      <c r="N462" s="88"/>
      <c r="O462" s="91"/>
      <c r="P462" s="91"/>
      <c r="Q462" s="88"/>
      <c r="R462" s="91"/>
      <c r="S462" s="91"/>
      <c r="T462" s="88"/>
      <c r="U462" s="88"/>
      <c r="V462" s="88"/>
      <c r="Y462" s="91"/>
      <c r="Z462" s="88"/>
    </row>
    <row r="463" spans="6:26" ht="12.5" x14ac:dyDescent="0.25">
      <c r="F463" s="101"/>
      <c r="G463" s="91"/>
      <c r="H463" s="91"/>
      <c r="I463" s="88"/>
      <c r="J463" s="91"/>
      <c r="K463" s="88"/>
      <c r="L463" s="88"/>
      <c r="M463" s="91"/>
      <c r="N463" s="88"/>
      <c r="O463" s="91"/>
      <c r="P463" s="91"/>
      <c r="Q463" s="88"/>
      <c r="R463" s="91"/>
      <c r="S463" s="91"/>
      <c r="T463" s="88"/>
      <c r="U463" s="88"/>
      <c r="V463" s="88"/>
      <c r="Y463" s="91"/>
      <c r="Z463" s="88"/>
    </row>
    <row r="464" spans="6:26" ht="12.5" x14ac:dyDescent="0.25">
      <c r="F464" s="101"/>
      <c r="G464" s="91"/>
      <c r="H464" s="91"/>
      <c r="I464" s="88"/>
      <c r="J464" s="91"/>
      <c r="K464" s="88"/>
      <c r="L464" s="88"/>
      <c r="M464" s="91"/>
      <c r="N464" s="88"/>
      <c r="O464" s="91"/>
      <c r="P464" s="91"/>
      <c r="Q464" s="88"/>
      <c r="R464" s="91"/>
      <c r="S464" s="91"/>
      <c r="T464" s="88"/>
      <c r="U464" s="88"/>
      <c r="V464" s="88"/>
      <c r="Y464" s="91"/>
      <c r="Z464" s="88"/>
    </row>
    <row r="465" spans="6:26" ht="12.5" x14ac:dyDescent="0.25">
      <c r="F465" s="101"/>
      <c r="G465" s="91"/>
      <c r="H465" s="91"/>
      <c r="I465" s="88"/>
      <c r="J465" s="91"/>
      <c r="K465" s="88"/>
      <c r="L465" s="88"/>
      <c r="M465" s="91"/>
      <c r="N465" s="88"/>
      <c r="O465" s="91"/>
      <c r="P465" s="91"/>
      <c r="Q465" s="88"/>
      <c r="R465" s="91"/>
      <c r="S465" s="91"/>
      <c r="T465" s="88"/>
      <c r="U465" s="88"/>
      <c r="V465" s="88"/>
      <c r="Y465" s="91"/>
      <c r="Z465" s="88"/>
    </row>
    <row r="466" spans="6:26" ht="12.5" x14ac:dyDescent="0.25">
      <c r="F466" s="101"/>
      <c r="G466" s="91"/>
      <c r="H466" s="91"/>
      <c r="I466" s="88"/>
      <c r="J466" s="91"/>
      <c r="K466" s="88"/>
      <c r="L466" s="88"/>
      <c r="M466" s="91"/>
      <c r="N466" s="88"/>
      <c r="O466" s="91"/>
      <c r="P466" s="91"/>
      <c r="Q466" s="88"/>
      <c r="R466" s="91"/>
      <c r="S466" s="91"/>
      <c r="T466" s="88"/>
      <c r="U466" s="88"/>
      <c r="V466" s="88"/>
      <c r="Y466" s="91"/>
      <c r="Z466" s="88"/>
    </row>
    <row r="467" spans="6:26" ht="12.5" x14ac:dyDescent="0.25">
      <c r="F467" s="101"/>
      <c r="G467" s="91"/>
      <c r="H467" s="91"/>
      <c r="I467" s="88"/>
      <c r="J467" s="91"/>
      <c r="K467" s="88"/>
      <c r="L467" s="88"/>
      <c r="M467" s="91"/>
      <c r="N467" s="88"/>
      <c r="O467" s="91"/>
      <c r="P467" s="91"/>
      <c r="Q467" s="88"/>
      <c r="R467" s="91"/>
      <c r="S467" s="91"/>
      <c r="T467" s="88"/>
      <c r="U467" s="88"/>
      <c r="V467" s="88"/>
      <c r="Y467" s="91"/>
      <c r="Z467" s="88"/>
    </row>
    <row r="468" spans="6:26" ht="12.5" x14ac:dyDescent="0.25">
      <c r="F468" s="101"/>
      <c r="G468" s="91"/>
      <c r="H468" s="91"/>
      <c r="I468" s="88"/>
      <c r="J468" s="91"/>
      <c r="K468" s="88"/>
      <c r="L468" s="88"/>
      <c r="M468" s="91"/>
      <c r="N468" s="88"/>
      <c r="O468" s="91"/>
      <c r="P468" s="91"/>
      <c r="Q468" s="88"/>
      <c r="R468" s="91"/>
      <c r="S468" s="91"/>
      <c r="T468" s="88"/>
      <c r="U468" s="88"/>
      <c r="V468" s="88"/>
      <c r="Y468" s="91"/>
      <c r="Z468" s="88"/>
    </row>
    <row r="469" spans="6:26" ht="12.5" x14ac:dyDescent="0.25">
      <c r="F469" s="101"/>
      <c r="G469" s="91"/>
      <c r="H469" s="91"/>
      <c r="I469" s="88"/>
      <c r="J469" s="91"/>
      <c r="K469" s="88"/>
      <c r="L469" s="88"/>
      <c r="M469" s="91"/>
      <c r="N469" s="88"/>
      <c r="O469" s="91"/>
      <c r="P469" s="91"/>
      <c r="Q469" s="88"/>
      <c r="R469" s="91"/>
      <c r="S469" s="91"/>
      <c r="T469" s="88"/>
      <c r="U469" s="88"/>
      <c r="V469" s="88"/>
      <c r="Y469" s="91"/>
      <c r="Z469" s="88"/>
    </row>
    <row r="470" spans="6:26" ht="12.5" x14ac:dyDescent="0.25">
      <c r="F470" s="101"/>
      <c r="G470" s="91"/>
      <c r="H470" s="91"/>
      <c r="I470" s="88"/>
      <c r="J470" s="91"/>
      <c r="K470" s="88"/>
      <c r="L470" s="88"/>
      <c r="M470" s="91"/>
      <c r="N470" s="88"/>
      <c r="O470" s="91"/>
      <c r="P470" s="91"/>
      <c r="Q470" s="88"/>
      <c r="R470" s="91"/>
      <c r="S470" s="91"/>
      <c r="T470" s="88"/>
      <c r="U470" s="88"/>
      <c r="V470" s="88"/>
      <c r="Y470" s="91"/>
      <c r="Z470" s="88"/>
    </row>
    <row r="471" spans="6:26" ht="12.5" x14ac:dyDescent="0.25">
      <c r="F471" s="101"/>
      <c r="G471" s="91"/>
      <c r="H471" s="91"/>
      <c r="I471" s="88"/>
      <c r="J471" s="91"/>
      <c r="K471" s="88"/>
      <c r="L471" s="88"/>
      <c r="M471" s="91"/>
      <c r="N471" s="88"/>
      <c r="O471" s="91"/>
      <c r="P471" s="91"/>
      <c r="Q471" s="88"/>
      <c r="R471" s="91"/>
      <c r="S471" s="91"/>
      <c r="T471" s="88"/>
      <c r="U471" s="88"/>
      <c r="V471" s="88"/>
      <c r="Y471" s="91"/>
      <c r="Z471" s="88"/>
    </row>
    <row r="472" spans="6:26" ht="12.5" x14ac:dyDescent="0.25">
      <c r="F472" s="101"/>
      <c r="G472" s="91"/>
      <c r="H472" s="91"/>
      <c r="I472" s="88"/>
      <c r="J472" s="91"/>
      <c r="K472" s="88"/>
      <c r="L472" s="88"/>
      <c r="M472" s="91"/>
      <c r="N472" s="88"/>
      <c r="O472" s="91"/>
      <c r="P472" s="91"/>
      <c r="Q472" s="88"/>
      <c r="R472" s="91"/>
      <c r="S472" s="91"/>
      <c r="T472" s="88"/>
      <c r="U472" s="88"/>
      <c r="V472" s="88"/>
      <c r="Y472" s="91"/>
      <c r="Z472" s="88"/>
    </row>
    <row r="473" spans="6:26" ht="12.5" x14ac:dyDescent="0.25">
      <c r="F473" s="101"/>
      <c r="G473" s="91"/>
      <c r="H473" s="91"/>
      <c r="I473" s="88"/>
      <c r="J473" s="91"/>
      <c r="K473" s="88"/>
      <c r="L473" s="88"/>
      <c r="M473" s="91"/>
      <c r="N473" s="88"/>
      <c r="O473" s="91"/>
      <c r="P473" s="91"/>
      <c r="Q473" s="88"/>
      <c r="R473" s="91"/>
      <c r="S473" s="91"/>
      <c r="T473" s="88"/>
      <c r="U473" s="88"/>
      <c r="V473" s="88"/>
      <c r="Y473" s="91"/>
      <c r="Z473" s="88"/>
    </row>
    <row r="474" spans="6:26" ht="12.5" x14ac:dyDescent="0.25">
      <c r="F474" s="101"/>
      <c r="G474" s="91"/>
      <c r="H474" s="91"/>
      <c r="I474" s="88"/>
      <c r="J474" s="91"/>
      <c r="K474" s="88"/>
      <c r="L474" s="88"/>
      <c r="M474" s="91"/>
      <c r="N474" s="88"/>
      <c r="O474" s="91"/>
      <c r="P474" s="91"/>
      <c r="Q474" s="88"/>
      <c r="R474" s="91"/>
      <c r="S474" s="91"/>
      <c r="T474" s="88"/>
      <c r="U474" s="88"/>
      <c r="V474" s="88"/>
      <c r="Y474" s="91"/>
      <c r="Z474" s="88"/>
    </row>
    <row r="475" spans="6:26" ht="12.5" x14ac:dyDescent="0.25">
      <c r="F475" s="101"/>
      <c r="G475" s="91"/>
      <c r="H475" s="91"/>
      <c r="I475" s="88"/>
      <c r="J475" s="91"/>
      <c r="K475" s="88"/>
      <c r="L475" s="88"/>
      <c r="M475" s="91"/>
      <c r="N475" s="88"/>
      <c r="O475" s="91"/>
      <c r="P475" s="91"/>
      <c r="Q475" s="88"/>
      <c r="R475" s="91"/>
      <c r="S475" s="91"/>
      <c r="T475" s="88"/>
      <c r="U475" s="88"/>
      <c r="V475" s="88"/>
      <c r="Y475" s="91"/>
      <c r="Z475" s="88"/>
    </row>
    <row r="476" spans="6:26" ht="12.5" x14ac:dyDescent="0.25">
      <c r="F476" s="101"/>
      <c r="G476" s="91"/>
      <c r="H476" s="91"/>
      <c r="I476" s="88"/>
      <c r="J476" s="91"/>
      <c r="K476" s="88"/>
      <c r="L476" s="88"/>
      <c r="M476" s="91"/>
      <c r="N476" s="88"/>
      <c r="O476" s="91"/>
      <c r="P476" s="91"/>
      <c r="Q476" s="88"/>
      <c r="R476" s="91"/>
      <c r="S476" s="91"/>
      <c r="T476" s="88"/>
      <c r="U476" s="88"/>
      <c r="V476" s="88"/>
      <c r="Y476" s="91"/>
      <c r="Z476" s="88"/>
    </row>
    <row r="477" spans="6:26" ht="12.5" x14ac:dyDescent="0.25">
      <c r="F477" s="101"/>
      <c r="G477" s="91"/>
      <c r="H477" s="91"/>
      <c r="I477" s="88"/>
      <c r="J477" s="91"/>
      <c r="K477" s="88"/>
      <c r="L477" s="88"/>
      <c r="M477" s="91"/>
      <c r="N477" s="88"/>
      <c r="O477" s="91"/>
      <c r="P477" s="91"/>
      <c r="Q477" s="88"/>
      <c r="R477" s="91"/>
      <c r="S477" s="91"/>
      <c r="T477" s="88"/>
      <c r="U477" s="88"/>
      <c r="V477" s="88"/>
      <c r="Y477" s="91"/>
      <c r="Z477" s="88"/>
    </row>
    <row r="478" spans="6:26" ht="12.5" x14ac:dyDescent="0.25">
      <c r="F478" s="101"/>
      <c r="G478" s="91"/>
      <c r="H478" s="91"/>
      <c r="I478" s="88"/>
      <c r="J478" s="91"/>
      <c r="K478" s="88"/>
      <c r="L478" s="88"/>
      <c r="M478" s="91"/>
      <c r="N478" s="88"/>
      <c r="O478" s="91"/>
      <c r="P478" s="91"/>
      <c r="Q478" s="88"/>
      <c r="R478" s="91"/>
      <c r="S478" s="91"/>
      <c r="T478" s="88"/>
      <c r="U478" s="88"/>
      <c r="V478" s="88"/>
      <c r="Y478" s="91"/>
      <c r="Z478" s="88"/>
    </row>
    <row r="479" spans="6:26" ht="12.5" x14ac:dyDescent="0.25">
      <c r="F479" s="101"/>
      <c r="G479" s="91"/>
      <c r="H479" s="91"/>
      <c r="I479" s="88"/>
      <c r="J479" s="91"/>
      <c r="K479" s="88"/>
      <c r="L479" s="88"/>
      <c r="M479" s="91"/>
      <c r="N479" s="88"/>
      <c r="O479" s="91"/>
      <c r="P479" s="91"/>
      <c r="Q479" s="88"/>
      <c r="R479" s="91"/>
      <c r="S479" s="91"/>
      <c r="T479" s="88"/>
      <c r="U479" s="88"/>
      <c r="V479" s="88"/>
      <c r="Y479" s="91"/>
      <c r="Z479" s="88"/>
    </row>
    <row r="480" spans="6:26" ht="12.5" x14ac:dyDescent="0.25">
      <c r="F480" s="101"/>
      <c r="G480" s="91"/>
      <c r="H480" s="91"/>
      <c r="I480" s="88"/>
      <c r="J480" s="91"/>
      <c r="K480" s="88"/>
      <c r="L480" s="88"/>
      <c r="M480" s="91"/>
      <c r="N480" s="88"/>
      <c r="O480" s="91"/>
      <c r="P480" s="91"/>
      <c r="Q480" s="88"/>
      <c r="R480" s="91"/>
      <c r="S480" s="91"/>
      <c r="T480" s="88"/>
      <c r="U480" s="88"/>
      <c r="V480" s="88"/>
      <c r="Y480" s="91"/>
      <c r="Z480" s="88"/>
    </row>
    <row r="481" spans="6:26" ht="12.5" x14ac:dyDescent="0.25">
      <c r="F481" s="101"/>
      <c r="G481" s="91"/>
      <c r="H481" s="91"/>
      <c r="I481" s="88"/>
      <c r="J481" s="91"/>
      <c r="K481" s="88"/>
      <c r="L481" s="88"/>
      <c r="M481" s="91"/>
      <c r="N481" s="88"/>
      <c r="O481" s="91"/>
      <c r="P481" s="91"/>
      <c r="Q481" s="88"/>
      <c r="R481" s="91"/>
      <c r="S481" s="91"/>
      <c r="T481" s="88"/>
      <c r="U481" s="88"/>
      <c r="V481" s="88"/>
      <c r="Y481" s="91"/>
      <c r="Z481" s="88"/>
    </row>
    <row r="482" spans="6:26" ht="12.5" x14ac:dyDescent="0.25">
      <c r="F482" s="101"/>
      <c r="G482" s="91"/>
      <c r="H482" s="91"/>
      <c r="I482" s="88"/>
      <c r="J482" s="91"/>
      <c r="K482" s="88"/>
      <c r="L482" s="88"/>
      <c r="M482" s="91"/>
      <c r="N482" s="88"/>
      <c r="O482" s="91"/>
      <c r="P482" s="91"/>
      <c r="Q482" s="88"/>
      <c r="R482" s="91"/>
      <c r="S482" s="91"/>
      <c r="T482" s="88"/>
      <c r="U482" s="88"/>
      <c r="V482" s="88"/>
      <c r="Y482" s="91"/>
      <c r="Z482" s="88"/>
    </row>
    <row r="483" spans="6:26" ht="12.5" x14ac:dyDescent="0.25">
      <c r="F483" s="101"/>
      <c r="G483" s="91"/>
      <c r="H483" s="91"/>
      <c r="I483" s="88"/>
      <c r="J483" s="91"/>
      <c r="K483" s="88"/>
      <c r="L483" s="88"/>
      <c r="M483" s="91"/>
      <c r="N483" s="88"/>
      <c r="O483" s="91"/>
      <c r="P483" s="91"/>
      <c r="Q483" s="88"/>
      <c r="R483" s="91"/>
      <c r="S483" s="91"/>
      <c r="T483" s="88"/>
      <c r="U483" s="88"/>
      <c r="V483" s="88"/>
      <c r="Y483" s="91"/>
      <c r="Z483" s="88"/>
    </row>
    <row r="484" spans="6:26" ht="12.5" x14ac:dyDescent="0.25">
      <c r="F484" s="101"/>
      <c r="G484" s="91"/>
      <c r="H484" s="91"/>
      <c r="I484" s="88"/>
      <c r="J484" s="91"/>
      <c r="K484" s="88"/>
      <c r="L484" s="88"/>
      <c r="M484" s="91"/>
      <c r="N484" s="88"/>
      <c r="O484" s="91"/>
      <c r="P484" s="91"/>
      <c r="Q484" s="88"/>
      <c r="R484" s="91"/>
      <c r="S484" s="91"/>
      <c r="T484" s="88"/>
      <c r="U484" s="88"/>
      <c r="V484" s="88"/>
      <c r="Y484" s="91"/>
      <c r="Z484" s="88"/>
    </row>
    <row r="485" spans="6:26" ht="12.5" x14ac:dyDescent="0.25">
      <c r="F485" s="101"/>
      <c r="G485" s="91"/>
      <c r="H485" s="91"/>
      <c r="I485" s="88"/>
      <c r="J485" s="91"/>
      <c r="K485" s="88"/>
      <c r="L485" s="88"/>
      <c r="M485" s="91"/>
      <c r="N485" s="88"/>
      <c r="O485" s="91"/>
      <c r="P485" s="91"/>
      <c r="Q485" s="88"/>
      <c r="R485" s="91"/>
      <c r="S485" s="91"/>
      <c r="T485" s="88"/>
      <c r="U485" s="88"/>
      <c r="V485" s="88"/>
      <c r="Y485" s="91"/>
      <c r="Z485" s="88"/>
    </row>
    <row r="486" spans="6:26" ht="12.5" x14ac:dyDescent="0.25">
      <c r="F486" s="101"/>
      <c r="G486" s="91"/>
      <c r="H486" s="91"/>
      <c r="I486" s="88"/>
      <c r="J486" s="91"/>
      <c r="K486" s="88"/>
      <c r="L486" s="88"/>
      <c r="M486" s="91"/>
      <c r="N486" s="88"/>
      <c r="O486" s="91"/>
      <c r="P486" s="91"/>
      <c r="Q486" s="88"/>
      <c r="R486" s="91"/>
      <c r="S486" s="91"/>
      <c r="T486" s="88"/>
      <c r="U486" s="88"/>
      <c r="V486" s="88"/>
      <c r="Y486" s="91"/>
      <c r="Z486" s="88"/>
    </row>
    <row r="487" spans="6:26" ht="12.5" x14ac:dyDescent="0.25">
      <c r="F487" s="101"/>
      <c r="G487" s="91"/>
      <c r="H487" s="91"/>
      <c r="I487" s="88"/>
      <c r="J487" s="91"/>
      <c r="K487" s="88"/>
      <c r="L487" s="88"/>
      <c r="M487" s="91"/>
      <c r="N487" s="88"/>
      <c r="O487" s="91"/>
      <c r="P487" s="91"/>
      <c r="Q487" s="88"/>
      <c r="R487" s="91"/>
      <c r="S487" s="91"/>
      <c r="T487" s="88"/>
      <c r="U487" s="88"/>
      <c r="V487" s="88"/>
      <c r="Y487" s="91"/>
      <c r="Z487" s="88"/>
    </row>
    <row r="488" spans="6:26" ht="12.5" x14ac:dyDescent="0.25">
      <c r="F488" s="101"/>
      <c r="G488" s="91"/>
      <c r="H488" s="91"/>
      <c r="I488" s="88"/>
      <c r="J488" s="91"/>
      <c r="K488" s="88"/>
      <c r="L488" s="88"/>
      <c r="M488" s="91"/>
      <c r="N488" s="88"/>
      <c r="O488" s="91"/>
      <c r="P488" s="91"/>
      <c r="Q488" s="88"/>
      <c r="R488" s="91"/>
      <c r="S488" s="91"/>
      <c r="T488" s="88"/>
      <c r="U488" s="88"/>
      <c r="V488" s="88"/>
      <c r="Y488" s="91"/>
      <c r="Z488" s="88"/>
    </row>
    <row r="489" spans="6:26" ht="12.5" x14ac:dyDescent="0.25">
      <c r="F489" s="101"/>
      <c r="G489" s="91"/>
      <c r="H489" s="91"/>
      <c r="I489" s="88"/>
      <c r="J489" s="91"/>
      <c r="K489" s="88"/>
      <c r="L489" s="88"/>
      <c r="M489" s="91"/>
      <c r="N489" s="88"/>
      <c r="O489" s="91"/>
      <c r="P489" s="91"/>
      <c r="Q489" s="88"/>
      <c r="R489" s="91"/>
      <c r="S489" s="91"/>
      <c r="T489" s="88"/>
      <c r="U489" s="88"/>
      <c r="V489" s="88"/>
      <c r="Y489" s="91"/>
      <c r="Z489" s="88"/>
    </row>
    <row r="490" spans="6:26" ht="12.5" x14ac:dyDescent="0.25">
      <c r="F490" s="101"/>
      <c r="G490" s="91"/>
      <c r="H490" s="91"/>
      <c r="I490" s="88"/>
      <c r="J490" s="91"/>
      <c r="K490" s="88"/>
      <c r="L490" s="88"/>
      <c r="M490" s="91"/>
      <c r="N490" s="88"/>
      <c r="O490" s="91"/>
      <c r="P490" s="91"/>
      <c r="Q490" s="88"/>
      <c r="R490" s="91"/>
      <c r="S490" s="91"/>
      <c r="T490" s="88"/>
      <c r="U490" s="88"/>
      <c r="V490" s="88"/>
      <c r="Y490" s="91"/>
      <c r="Z490" s="88"/>
    </row>
    <row r="491" spans="6:26" ht="12.5" x14ac:dyDescent="0.25">
      <c r="F491" s="101"/>
      <c r="G491" s="91"/>
      <c r="H491" s="91"/>
      <c r="I491" s="88"/>
      <c r="J491" s="91"/>
      <c r="K491" s="88"/>
      <c r="L491" s="88"/>
      <c r="M491" s="91"/>
      <c r="N491" s="88"/>
      <c r="O491" s="91"/>
      <c r="P491" s="91"/>
      <c r="Q491" s="88"/>
      <c r="R491" s="91"/>
      <c r="S491" s="91"/>
      <c r="T491" s="88"/>
      <c r="U491" s="88"/>
      <c r="V491" s="88"/>
      <c r="Y491" s="91"/>
      <c r="Z491" s="88"/>
    </row>
    <row r="492" spans="6:26" ht="12.5" x14ac:dyDescent="0.25">
      <c r="F492" s="101"/>
      <c r="G492" s="91"/>
      <c r="H492" s="91"/>
      <c r="I492" s="88"/>
      <c r="J492" s="91"/>
      <c r="K492" s="88"/>
      <c r="L492" s="88"/>
      <c r="M492" s="91"/>
      <c r="N492" s="88"/>
      <c r="O492" s="91"/>
      <c r="P492" s="91"/>
      <c r="Q492" s="88"/>
      <c r="R492" s="91"/>
      <c r="S492" s="91"/>
      <c r="T492" s="88"/>
      <c r="U492" s="88"/>
      <c r="V492" s="88"/>
      <c r="Y492" s="91"/>
      <c r="Z492" s="88"/>
    </row>
    <row r="493" spans="6:26" ht="12.5" x14ac:dyDescent="0.25">
      <c r="F493" s="101"/>
      <c r="G493" s="91"/>
      <c r="H493" s="91"/>
      <c r="I493" s="88"/>
      <c r="J493" s="91"/>
      <c r="K493" s="88"/>
      <c r="L493" s="88"/>
      <c r="M493" s="91"/>
      <c r="N493" s="88"/>
      <c r="O493" s="91"/>
      <c r="P493" s="91"/>
      <c r="Q493" s="88"/>
      <c r="R493" s="91"/>
      <c r="S493" s="91"/>
      <c r="T493" s="88"/>
      <c r="U493" s="88"/>
      <c r="V493" s="88"/>
      <c r="Y493" s="91"/>
      <c r="Z493" s="88"/>
    </row>
    <row r="494" spans="6:26" ht="12.5" x14ac:dyDescent="0.25">
      <c r="F494" s="101"/>
      <c r="G494" s="91"/>
      <c r="H494" s="91"/>
      <c r="I494" s="88"/>
      <c r="J494" s="91"/>
      <c r="K494" s="88"/>
      <c r="L494" s="88"/>
      <c r="M494" s="91"/>
      <c r="N494" s="88"/>
      <c r="O494" s="91"/>
      <c r="P494" s="91"/>
      <c r="Q494" s="88"/>
      <c r="R494" s="91"/>
      <c r="S494" s="91"/>
      <c r="T494" s="88"/>
      <c r="U494" s="88"/>
      <c r="V494" s="88"/>
      <c r="Y494" s="91"/>
      <c r="Z494" s="88"/>
    </row>
    <row r="495" spans="6:26" ht="12.5" x14ac:dyDescent="0.25">
      <c r="F495" s="101"/>
      <c r="G495" s="91"/>
      <c r="H495" s="91"/>
      <c r="I495" s="88"/>
      <c r="J495" s="91"/>
      <c r="K495" s="88"/>
      <c r="L495" s="88"/>
      <c r="M495" s="91"/>
      <c r="N495" s="88"/>
      <c r="O495" s="91"/>
      <c r="P495" s="91"/>
      <c r="Q495" s="88"/>
      <c r="R495" s="91"/>
      <c r="S495" s="91"/>
      <c r="T495" s="88"/>
      <c r="U495" s="88"/>
      <c r="V495" s="88"/>
      <c r="Y495" s="91"/>
      <c r="Z495" s="88"/>
    </row>
    <row r="496" spans="6:26" ht="12.5" x14ac:dyDescent="0.25">
      <c r="F496" s="101"/>
      <c r="G496" s="91"/>
      <c r="H496" s="91"/>
      <c r="I496" s="88"/>
      <c r="J496" s="91"/>
      <c r="K496" s="88"/>
      <c r="L496" s="88"/>
      <c r="M496" s="91"/>
      <c r="N496" s="88"/>
      <c r="O496" s="91"/>
      <c r="P496" s="91"/>
      <c r="Q496" s="88"/>
      <c r="R496" s="91"/>
      <c r="S496" s="91"/>
      <c r="T496" s="88"/>
      <c r="U496" s="88"/>
      <c r="V496" s="88"/>
      <c r="Y496" s="91"/>
      <c r="Z496" s="88"/>
    </row>
    <row r="497" spans="6:26" ht="12.5" x14ac:dyDescent="0.25">
      <c r="F497" s="101"/>
      <c r="G497" s="91"/>
      <c r="H497" s="91"/>
      <c r="I497" s="88"/>
      <c r="J497" s="91"/>
      <c r="K497" s="88"/>
      <c r="L497" s="88"/>
      <c r="M497" s="91"/>
      <c r="N497" s="88"/>
      <c r="O497" s="91"/>
      <c r="P497" s="91"/>
      <c r="Q497" s="88"/>
      <c r="R497" s="91"/>
      <c r="S497" s="91"/>
      <c r="T497" s="88"/>
      <c r="U497" s="88"/>
      <c r="V497" s="88"/>
      <c r="Y497" s="91"/>
      <c r="Z497" s="88"/>
    </row>
    <row r="498" spans="6:26" ht="12.5" x14ac:dyDescent="0.25">
      <c r="F498" s="101"/>
      <c r="G498" s="91"/>
      <c r="H498" s="91"/>
      <c r="I498" s="88"/>
      <c r="J498" s="91"/>
      <c r="K498" s="88"/>
      <c r="L498" s="88"/>
      <c r="M498" s="91"/>
      <c r="N498" s="88"/>
      <c r="O498" s="91"/>
      <c r="P498" s="91"/>
      <c r="Q498" s="88"/>
      <c r="R498" s="91"/>
      <c r="S498" s="91"/>
      <c r="T498" s="88"/>
      <c r="U498" s="88"/>
      <c r="V498" s="88"/>
      <c r="Y498" s="91"/>
      <c r="Z498" s="88"/>
    </row>
    <row r="499" spans="6:26" ht="12.5" x14ac:dyDescent="0.25">
      <c r="F499" s="101"/>
      <c r="G499" s="91"/>
      <c r="H499" s="91"/>
      <c r="I499" s="88"/>
      <c r="J499" s="91"/>
      <c r="K499" s="88"/>
      <c r="L499" s="88"/>
      <c r="M499" s="91"/>
      <c r="N499" s="88"/>
      <c r="O499" s="91"/>
      <c r="P499" s="91"/>
      <c r="Q499" s="88"/>
      <c r="R499" s="91"/>
      <c r="S499" s="91"/>
      <c r="T499" s="88"/>
      <c r="U499" s="88"/>
      <c r="V499" s="88"/>
      <c r="Y499" s="91"/>
      <c r="Z499" s="88"/>
    </row>
    <row r="500" spans="6:26" ht="12.5" x14ac:dyDescent="0.25">
      <c r="F500" s="101"/>
      <c r="G500" s="91"/>
      <c r="H500" s="91"/>
      <c r="I500" s="88"/>
      <c r="J500" s="91"/>
      <c r="K500" s="88"/>
      <c r="L500" s="88"/>
      <c r="M500" s="91"/>
      <c r="N500" s="88"/>
      <c r="O500" s="91"/>
      <c r="P500" s="91"/>
      <c r="Q500" s="88"/>
      <c r="R500" s="91"/>
      <c r="S500" s="91"/>
      <c r="T500" s="88"/>
      <c r="U500" s="88"/>
      <c r="V500" s="88"/>
      <c r="Y500" s="91"/>
      <c r="Z500" s="88"/>
    </row>
    <row r="501" spans="6:26" ht="12.5" x14ac:dyDescent="0.25">
      <c r="F501" s="101"/>
      <c r="G501" s="91"/>
      <c r="H501" s="91"/>
      <c r="I501" s="88"/>
      <c r="J501" s="91"/>
      <c r="K501" s="88"/>
      <c r="L501" s="88"/>
      <c r="M501" s="91"/>
      <c r="N501" s="88"/>
      <c r="O501" s="91"/>
      <c r="P501" s="91"/>
      <c r="Q501" s="88"/>
      <c r="R501" s="91"/>
      <c r="S501" s="91"/>
      <c r="T501" s="88"/>
      <c r="U501" s="88"/>
      <c r="V501" s="88"/>
      <c r="Y501" s="91"/>
      <c r="Z501" s="88"/>
    </row>
    <row r="502" spans="6:26" ht="12.5" x14ac:dyDescent="0.25">
      <c r="F502" s="101"/>
      <c r="G502" s="91"/>
      <c r="H502" s="91"/>
      <c r="I502" s="88"/>
      <c r="J502" s="91"/>
      <c r="K502" s="88"/>
      <c r="L502" s="88"/>
      <c r="M502" s="91"/>
      <c r="N502" s="88"/>
      <c r="O502" s="91"/>
      <c r="P502" s="91"/>
      <c r="Q502" s="88"/>
      <c r="R502" s="91"/>
      <c r="S502" s="91"/>
      <c r="T502" s="88"/>
      <c r="U502" s="88"/>
      <c r="V502" s="88"/>
      <c r="Y502" s="91"/>
      <c r="Z502" s="88"/>
    </row>
    <row r="503" spans="6:26" ht="12.5" x14ac:dyDescent="0.25">
      <c r="F503" s="101"/>
      <c r="G503" s="91"/>
      <c r="H503" s="91"/>
      <c r="I503" s="88"/>
      <c r="J503" s="91"/>
      <c r="K503" s="88"/>
      <c r="L503" s="88"/>
      <c r="M503" s="91"/>
      <c r="N503" s="88"/>
      <c r="O503" s="91"/>
      <c r="P503" s="91"/>
      <c r="Q503" s="88"/>
      <c r="R503" s="91"/>
      <c r="S503" s="91"/>
      <c r="T503" s="88"/>
      <c r="U503" s="88"/>
      <c r="V503" s="88"/>
      <c r="Y503" s="91"/>
      <c r="Z503" s="88"/>
    </row>
    <row r="504" spans="6:26" ht="12.5" x14ac:dyDescent="0.25">
      <c r="F504" s="101"/>
      <c r="G504" s="91"/>
      <c r="H504" s="91"/>
      <c r="I504" s="88"/>
      <c r="J504" s="91"/>
      <c r="K504" s="88"/>
      <c r="L504" s="88"/>
      <c r="M504" s="91"/>
      <c r="N504" s="88"/>
      <c r="O504" s="91"/>
      <c r="P504" s="91"/>
      <c r="Q504" s="88"/>
      <c r="R504" s="91"/>
      <c r="S504" s="91"/>
      <c r="T504" s="88"/>
      <c r="U504" s="88"/>
      <c r="V504" s="88"/>
      <c r="Y504" s="91"/>
      <c r="Z504" s="88"/>
    </row>
    <row r="505" spans="6:26" ht="12.5" x14ac:dyDescent="0.25">
      <c r="F505" s="88"/>
      <c r="G505" s="91"/>
      <c r="H505" s="91"/>
      <c r="I505" s="88"/>
      <c r="J505" s="91"/>
      <c r="K505" s="88"/>
      <c r="L505" s="88"/>
      <c r="M505" s="91"/>
      <c r="N505" s="88"/>
      <c r="O505" s="91"/>
      <c r="P505" s="91"/>
      <c r="Q505" s="88"/>
      <c r="R505" s="91"/>
      <c r="S505" s="91"/>
      <c r="T505" s="88"/>
      <c r="U505" s="88"/>
      <c r="V505" s="88"/>
      <c r="Y505" s="91"/>
      <c r="Z505" s="88"/>
    </row>
    <row r="506" spans="6:26" ht="12.5" x14ac:dyDescent="0.25">
      <c r="F506" s="88"/>
      <c r="G506" s="91"/>
      <c r="H506" s="91"/>
      <c r="I506" s="88"/>
      <c r="J506" s="91"/>
      <c r="K506" s="88"/>
      <c r="L506" s="88"/>
      <c r="M506" s="91"/>
      <c r="N506" s="88"/>
      <c r="O506" s="91"/>
      <c r="P506" s="91"/>
      <c r="Q506" s="88"/>
      <c r="R506" s="91"/>
      <c r="S506" s="91"/>
      <c r="T506" s="88"/>
      <c r="U506" s="88"/>
      <c r="V506" s="88"/>
      <c r="Y506" s="91"/>
      <c r="Z506" s="88"/>
    </row>
    <row r="507" spans="6:26" ht="12.5" x14ac:dyDescent="0.25">
      <c r="F507" s="88"/>
      <c r="G507" s="91"/>
      <c r="H507" s="91"/>
      <c r="I507" s="88"/>
      <c r="J507" s="91"/>
      <c r="K507" s="88"/>
      <c r="L507" s="88"/>
      <c r="M507" s="91"/>
      <c r="N507" s="88"/>
      <c r="O507" s="91"/>
      <c r="P507" s="91"/>
      <c r="Q507" s="88"/>
      <c r="R507" s="91"/>
      <c r="S507" s="91"/>
      <c r="T507" s="88"/>
      <c r="U507" s="88"/>
      <c r="V507" s="88"/>
      <c r="Y507" s="91"/>
      <c r="Z507" s="88"/>
    </row>
    <row r="508" spans="6:26" ht="12.5" x14ac:dyDescent="0.25">
      <c r="F508" s="88"/>
      <c r="G508" s="91"/>
      <c r="H508" s="91"/>
      <c r="I508" s="88"/>
      <c r="J508" s="91"/>
      <c r="K508" s="88"/>
      <c r="L508" s="88"/>
      <c r="M508" s="91"/>
      <c r="N508" s="88"/>
      <c r="O508" s="91"/>
      <c r="P508" s="91"/>
      <c r="Q508" s="88"/>
      <c r="R508" s="91"/>
      <c r="S508" s="91"/>
      <c r="T508" s="88"/>
      <c r="U508" s="88"/>
      <c r="V508" s="88"/>
      <c r="Y508" s="91"/>
      <c r="Z508" s="88"/>
    </row>
    <row r="509" spans="6:26" ht="12.5" x14ac:dyDescent="0.25">
      <c r="F509" s="88"/>
      <c r="G509" s="91"/>
      <c r="H509" s="91"/>
      <c r="I509" s="88"/>
      <c r="J509" s="91"/>
      <c r="K509" s="88"/>
      <c r="L509" s="88"/>
      <c r="M509" s="91"/>
      <c r="N509" s="88"/>
      <c r="O509" s="91"/>
      <c r="P509" s="91"/>
      <c r="Q509" s="88"/>
      <c r="R509" s="91"/>
      <c r="S509" s="91"/>
      <c r="T509" s="88"/>
      <c r="U509" s="88"/>
      <c r="V509" s="88"/>
      <c r="Y509" s="91"/>
      <c r="Z509" s="88"/>
    </row>
    <row r="510" spans="6:26" ht="12.5" x14ac:dyDescent="0.25">
      <c r="F510" s="88"/>
      <c r="G510" s="91"/>
      <c r="H510" s="91"/>
      <c r="I510" s="88"/>
      <c r="J510" s="91"/>
      <c r="K510" s="88"/>
      <c r="L510" s="88"/>
      <c r="M510" s="91"/>
      <c r="N510" s="88"/>
      <c r="O510" s="91"/>
      <c r="P510" s="91"/>
      <c r="Q510" s="88"/>
      <c r="R510" s="91"/>
      <c r="S510" s="91"/>
      <c r="T510" s="88"/>
      <c r="U510" s="88"/>
      <c r="V510" s="88"/>
      <c r="Y510" s="91"/>
      <c r="Z510" s="88"/>
    </row>
    <row r="511" spans="6:26" ht="12.5" x14ac:dyDescent="0.25">
      <c r="F511" s="88"/>
      <c r="G511" s="91"/>
      <c r="H511" s="91"/>
      <c r="I511" s="88"/>
      <c r="J511" s="91"/>
      <c r="K511" s="88"/>
      <c r="L511" s="88"/>
      <c r="M511" s="91"/>
      <c r="N511" s="88"/>
      <c r="O511" s="91"/>
      <c r="P511" s="91"/>
      <c r="Q511" s="88"/>
      <c r="R511" s="91"/>
      <c r="S511" s="91"/>
      <c r="T511" s="88"/>
      <c r="U511" s="88"/>
      <c r="V511" s="88"/>
      <c r="Y511" s="91"/>
      <c r="Z511" s="88"/>
    </row>
    <row r="512" spans="6:26" ht="12.5" x14ac:dyDescent="0.25">
      <c r="F512" s="88"/>
      <c r="G512" s="91"/>
      <c r="H512" s="91"/>
      <c r="I512" s="88"/>
      <c r="J512" s="91"/>
      <c r="K512" s="88"/>
      <c r="L512" s="88"/>
      <c r="M512" s="91"/>
      <c r="N512" s="88"/>
      <c r="O512" s="91"/>
      <c r="P512" s="91"/>
      <c r="Q512" s="88"/>
      <c r="R512" s="91"/>
      <c r="S512" s="91"/>
      <c r="T512" s="88"/>
      <c r="U512" s="88"/>
      <c r="V512" s="88"/>
      <c r="Y512" s="91"/>
      <c r="Z512" s="88"/>
    </row>
    <row r="513" spans="6:26" ht="12.5" x14ac:dyDescent="0.25">
      <c r="F513" s="88"/>
      <c r="G513" s="91"/>
      <c r="H513" s="91"/>
      <c r="I513" s="88"/>
      <c r="J513" s="91"/>
      <c r="K513" s="88"/>
      <c r="L513" s="88"/>
      <c r="M513" s="91"/>
      <c r="N513" s="88"/>
      <c r="O513" s="91"/>
      <c r="P513" s="91"/>
      <c r="Q513" s="88"/>
      <c r="R513" s="91"/>
      <c r="S513" s="91"/>
      <c r="T513" s="88"/>
      <c r="U513" s="88"/>
      <c r="V513" s="88"/>
      <c r="Y513" s="91"/>
      <c r="Z513" s="88"/>
    </row>
    <row r="514" spans="6:26" ht="12.5" x14ac:dyDescent="0.25">
      <c r="F514" s="88"/>
      <c r="G514" s="91"/>
      <c r="H514" s="91"/>
      <c r="I514" s="88"/>
      <c r="J514" s="91"/>
      <c r="K514" s="88"/>
      <c r="L514" s="88"/>
      <c r="M514" s="91"/>
      <c r="N514" s="88"/>
      <c r="O514" s="91"/>
      <c r="P514" s="91"/>
      <c r="Q514" s="88"/>
      <c r="R514" s="91"/>
      <c r="S514" s="91"/>
      <c r="T514" s="88"/>
      <c r="U514" s="88"/>
      <c r="V514" s="88"/>
      <c r="Y514" s="91"/>
      <c r="Z514" s="88"/>
    </row>
    <row r="515" spans="6:26" ht="12.5" x14ac:dyDescent="0.25">
      <c r="F515" s="88"/>
      <c r="G515" s="91"/>
      <c r="H515" s="91"/>
      <c r="I515" s="88"/>
      <c r="J515" s="91"/>
      <c r="K515" s="88"/>
      <c r="L515" s="88"/>
      <c r="M515" s="91"/>
      <c r="N515" s="88"/>
      <c r="O515" s="91"/>
      <c r="P515" s="91"/>
      <c r="Q515" s="88"/>
      <c r="R515" s="91"/>
      <c r="S515" s="91"/>
      <c r="T515" s="88"/>
      <c r="U515" s="88"/>
      <c r="V515" s="88"/>
      <c r="Y515" s="91"/>
      <c r="Z515" s="88"/>
    </row>
    <row r="516" spans="6:26" ht="12.5" x14ac:dyDescent="0.25">
      <c r="F516" s="88"/>
      <c r="G516" s="91"/>
      <c r="H516" s="91"/>
      <c r="I516" s="88"/>
      <c r="J516" s="91"/>
      <c r="K516" s="88"/>
      <c r="L516" s="88"/>
      <c r="M516" s="91"/>
      <c r="N516" s="88"/>
      <c r="O516" s="91"/>
      <c r="P516" s="91"/>
      <c r="Q516" s="88"/>
      <c r="R516" s="91"/>
      <c r="S516" s="91"/>
      <c r="T516" s="88"/>
      <c r="U516" s="88"/>
      <c r="V516" s="88"/>
      <c r="Y516" s="91"/>
      <c r="Z516" s="88"/>
    </row>
    <row r="517" spans="6:26" ht="12.5" x14ac:dyDescent="0.25">
      <c r="F517" s="88"/>
      <c r="G517" s="91"/>
      <c r="H517" s="91"/>
      <c r="I517" s="88"/>
      <c r="J517" s="91"/>
      <c r="K517" s="88"/>
      <c r="L517" s="88"/>
      <c r="M517" s="91"/>
      <c r="N517" s="88"/>
      <c r="O517" s="91"/>
      <c r="P517" s="91"/>
      <c r="Q517" s="88"/>
      <c r="R517" s="91"/>
      <c r="S517" s="91"/>
      <c r="T517" s="88"/>
      <c r="U517" s="88"/>
      <c r="V517" s="88"/>
      <c r="Y517" s="91"/>
      <c r="Z517" s="88"/>
    </row>
    <row r="518" spans="6:26" ht="12.5" x14ac:dyDescent="0.25">
      <c r="F518" s="88"/>
      <c r="G518" s="91"/>
      <c r="H518" s="91"/>
      <c r="I518" s="88"/>
      <c r="J518" s="91"/>
      <c r="K518" s="88"/>
      <c r="L518" s="88"/>
      <c r="M518" s="91"/>
      <c r="N518" s="88"/>
      <c r="O518" s="91"/>
      <c r="P518" s="91"/>
      <c r="Q518" s="88"/>
      <c r="R518" s="91"/>
      <c r="S518" s="91"/>
      <c r="T518" s="88"/>
      <c r="U518" s="88"/>
      <c r="V518" s="88"/>
      <c r="Y518" s="91"/>
      <c r="Z518" s="88"/>
    </row>
    <row r="519" spans="6:26" ht="12.5" x14ac:dyDescent="0.25">
      <c r="F519" s="88"/>
      <c r="G519" s="91"/>
      <c r="H519" s="91"/>
      <c r="I519" s="88"/>
      <c r="J519" s="91"/>
      <c r="K519" s="88"/>
      <c r="L519" s="88"/>
      <c r="M519" s="91"/>
      <c r="N519" s="88"/>
      <c r="O519" s="91"/>
      <c r="P519" s="91"/>
      <c r="Q519" s="88"/>
      <c r="R519" s="91"/>
      <c r="S519" s="91"/>
      <c r="T519" s="88"/>
      <c r="U519" s="88"/>
      <c r="V519" s="88"/>
      <c r="Y519" s="91"/>
      <c r="Z519" s="88"/>
    </row>
    <row r="520" spans="6:26" ht="12.5" x14ac:dyDescent="0.25">
      <c r="F520" s="88"/>
      <c r="G520" s="91"/>
      <c r="H520" s="91"/>
      <c r="I520" s="88"/>
      <c r="J520" s="91"/>
      <c r="K520" s="88"/>
      <c r="L520" s="88"/>
      <c r="M520" s="91"/>
      <c r="N520" s="88"/>
      <c r="O520" s="91"/>
      <c r="P520" s="91"/>
      <c r="Q520" s="88"/>
      <c r="R520" s="91"/>
      <c r="S520" s="91"/>
      <c r="T520" s="88"/>
      <c r="U520" s="88"/>
      <c r="V520" s="88"/>
      <c r="Y520" s="91"/>
      <c r="Z520" s="88"/>
    </row>
    <row r="521" spans="6:26" ht="12.5" x14ac:dyDescent="0.25">
      <c r="F521" s="88"/>
      <c r="G521" s="91"/>
      <c r="H521" s="91"/>
      <c r="I521" s="88"/>
      <c r="J521" s="91"/>
      <c r="K521" s="88"/>
      <c r="L521" s="88"/>
      <c r="M521" s="91"/>
      <c r="N521" s="88"/>
      <c r="O521" s="91"/>
      <c r="P521" s="91"/>
      <c r="Q521" s="88"/>
      <c r="R521" s="91"/>
      <c r="S521" s="91"/>
      <c r="T521" s="88"/>
      <c r="U521" s="88"/>
      <c r="V521" s="88"/>
      <c r="Y521" s="91"/>
      <c r="Z521" s="88"/>
    </row>
    <row r="522" spans="6:26" ht="12.5" x14ac:dyDescent="0.25">
      <c r="F522" s="88"/>
      <c r="G522" s="91"/>
      <c r="H522" s="91"/>
      <c r="I522" s="88"/>
      <c r="J522" s="91"/>
      <c r="K522" s="88"/>
      <c r="L522" s="88"/>
      <c r="M522" s="91"/>
      <c r="N522" s="88"/>
      <c r="O522" s="91"/>
      <c r="P522" s="91"/>
      <c r="Q522" s="88"/>
      <c r="R522" s="91"/>
      <c r="S522" s="91"/>
      <c r="T522" s="88"/>
      <c r="U522" s="88"/>
      <c r="V522" s="88"/>
      <c r="Y522" s="91"/>
      <c r="Z522" s="88"/>
    </row>
    <row r="523" spans="6:26" ht="12.5" x14ac:dyDescent="0.25">
      <c r="F523" s="88"/>
      <c r="G523" s="91"/>
      <c r="H523" s="91"/>
      <c r="I523" s="88"/>
      <c r="J523" s="91"/>
      <c r="K523" s="88"/>
      <c r="L523" s="88"/>
      <c r="M523" s="91"/>
      <c r="N523" s="88"/>
      <c r="O523" s="91"/>
      <c r="P523" s="91"/>
      <c r="Q523" s="88"/>
      <c r="R523" s="91"/>
      <c r="S523" s="91"/>
      <c r="T523" s="88"/>
      <c r="U523" s="88"/>
      <c r="V523" s="88"/>
      <c r="Y523" s="91"/>
      <c r="Z523" s="88"/>
    </row>
    <row r="524" spans="6:26" ht="12.5" x14ac:dyDescent="0.25">
      <c r="F524" s="88"/>
      <c r="G524" s="91"/>
      <c r="H524" s="91"/>
      <c r="I524" s="88"/>
      <c r="J524" s="91"/>
      <c r="K524" s="88"/>
      <c r="L524" s="88"/>
      <c r="M524" s="91"/>
      <c r="N524" s="88"/>
      <c r="O524" s="91"/>
      <c r="P524" s="91"/>
      <c r="Q524" s="88"/>
      <c r="R524" s="91"/>
      <c r="S524" s="91"/>
      <c r="T524" s="88"/>
      <c r="U524" s="88"/>
      <c r="V524" s="88"/>
      <c r="Y524" s="91"/>
      <c r="Z524" s="88"/>
    </row>
    <row r="525" spans="6:26" ht="12.5" x14ac:dyDescent="0.25">
      <c r="F525" s="88"/>
      <c r="G525" s="91"/>
      <c r="H525" s="91"/>
      <c r="I525" s="88"/>
      <c r="J525" s="91"/>
      <c r="K525" s="88"/>
      <c r="L525" s="88"/>
      <c r="M525" s="91"/>
      <c r="N525" s="88"/>
      <c r="O525" s="91"/>
      <c r="P525" s="91"/>
      <c r="Q525" s="88"/>
      <c r="R525" s="91"/>
      <c r="S525" s="91"/>
      <c r="T525" s="88"/>
      <c r="U525" s="88"/>
      <c r="V525" s="88"/>
      <c r="Y525" s="91"/>
      <c r="Z525" s="88"/>
    </row>
    <row r="526" spans="6:26" ht="12.5" x14ac:dyDescent="0.25">
      <c r="F526" s="88"/>
      <c r="G526" s="91"/>
      <c r="H526" s="91"/>
      <c r="I526" s="88"/>
      <c r="J526" s="91"/>
      <c r="K526" s="88"/>
      <c r="L526" s="88"/>
      <c r="M526" s="91"/>
      <c r="N526" s="88"/>
      <c r="O526" s="91"/>
      <c r="P526" s="91"/>
      <c r="Q526" s="88"/>
      <c r="R526" s="91"/>
      <c r="S526" s="91"/>
      <c r="T526" s="88"/>
      <c r="U526" s="88"/>
      <c r="V526" s="88"/>
      <c r="Y526" s="91"/>
      <c r="Z526" s="88"/>
    </row>
    <row r="527" spans="6:26" ht="12.5" x14ac:dyDescent="0.25">
      <c r="F527" s="88"/>
      <c r="G527" s="91"/>
      <c r="H527" s="91"/>
      <c r="I527" s="88"/>
      <c r="J527" s="91"/>
      <c r="K527" s="88"/>
      <c r="L527" s="88"/>
      <c r="M527" s="91"/>
      <c r="N527" s="88"/>
      <c r="O527" s="91"/>
      <c r="P527" s="91"/>
      <c r="Q527" s="88"/>
      <c r="R527" s="91"/>
      <c r="S527" s="91"/>
      <c r="T527" s="88"/>
      <c r="U527" s="88"/>
      <c r="V527" s="88"/>
      <c r="Y527" s="91"/>
      <c r="Z527" s="88"/>
    </row>
    <row r="528" spans="6:26" ht="12.5" x14ac:dyDescent="0.25">
      <c r="F528" s="88"/>
      <c r="G528" s="91"/>
      <c r="H528" s="91"/>
      <c r="I528" s="88"/>
      <c r="J528" s="91"/>
      <c r="K528" s="88"/>
      <c r="L528" s="88"/>
      <c r="M528" s="91"/>
      <c r="N528" s="88"/>
      <c r="O528" s="91"/>
      <c r="P528" s="91"/>
      <c r="Q528" s="88"/>
      <c r="R528" s="91"/>
      <c r="S528" s="91"/>
      <c r="T528" s="88"/>
      <c r="U528" s="88"/>
      <c r="V528" s="88"/>
      <c r="Y528" s="91"/>
      <c r="Z528" s="88"/>
    </row>
    <row r="529" spans="6:26" ht="12.5" x14ac:dyDescent="0.25">
      <c r="F529" s="88"/>
      <c r="G529" s="91"/>
      <c r="H529" s="91"/>
      <c r="I529" s="88"/>
      <c r="J529" s="91"/>
      <c r="K529" s="88"/>
      <c r="L529" s="88"/>
      <c r="M529" s="91"/>
      <c r="N529" s="88"/>
      <c r="O529" s="91"/>
      <c r="P529" s="91"/>
      <c r="Q529" s="88"/>
      <c r="R529" s="91"/>
      <c r="S529" s="91"/>
      <c r="T529" s="88"/>
      <c r="U529" s="88"/>
      <c r="V529" s="88"/>
      <c r="Y529" s="91"/>
      <c r="Z529" s="88"/>
    </row>
    <row r="530" spans="6:26" ht="12.5" x14ac:dyDescent="0.25">
      <c r="F530" s="88"/>
      <c r="G530" s="91"/>
      <c r="H530" s="91"/>
      <c r="I530" s="88"/>
      <c r="J530" s="91"/>
      <c r="K530" s="88"/>
      <c r="L530" s="88"/>
      <c r="M530" s="91"/>
      <c r="N530" s="88"/>
      <c r="O530" s="91"/>
      <c r="P530" s="91"/>
      <c r="Q530" s="88"/>
      <c r="R530" s="91"/>
      <c r="S530" s="91"/>
      <c r="T530" s="88"/>
      <c r="U530" s="88"/>
      <c r="V530" s="88"/>
      <c r="Y530" s="91"/>
      <c r="Z530" s="88"/>
    </row>
    <row r="531" spans="6:26" ht="12.5" x14ac:dyDescent="0.25">
      <c r="F531" s="88"/>
      <c r="G531" s="91"/>
      <c r="H531" s="91"/>
      <c r="I531" s="88"/>
      <c r="J531" s="91"/>
      <c r="K531" s="88"/>
      <c r="L531" s="88"/>
      <c r="M531" s="91"/>
      <c r="N531" s="88"/>
      <c r="O531" s="91"/>
      <c r="P531" s="91"/>
      <c r="Q531" s="88"/>
      <c r="R531" s="91"/>
      <c r="S531" s="91"/>
      <c r="T531" s="88"/>
      <c r="U531" s="88"/>
      <c r="V531" s="88"/>
      <c r="Y531" s="91"/>
      <c r="Z531" s="88"/>
    </row>
    <row r="532" spans="6:26" ht="12.5" x14ac:dyDescent="0.25">
      <c r="F532" s="88"/>
      <c r="G532" s="91"/>
      <c r="H532" s="91"/>
      <c r="I532" s="88"/>
      <c r="J532" s="91"/>
      <c r="K532" s="88"/>
      <c r="L532" s="88"/>
      <c r="M532" s="91"/>
      <c r="N532" s="88"/>
      <c r="O532" s="91"/>
      <c r="P532" s="91"/>
      <c r="Q532" s="88"/>
      <c r="R532" s="91"/>
      <c r="S532" s="91"/>
      <c r="T532" s="88"/>
      <c r="U532" s="88"/>
      <c r="V532" s="88"/>
      <c r="Y532" s="91"/>
      <c r="Z532" s="88"/>
    </row>
    <row r="533" spans="6:26" ht="12.5" x14ac:dyDescent="0.25">
      <c r="F533" s="88"/>
      <c r="G533" s="91"/>
      <c r="H533" s="91"/>
      <c r="I533" s="88"/>
      <c r="J533" s="91"/>
      <c r="K533" s="88"/>
      <c r="L533" s="88"/>
      <c r="M533" s="91"/>
      <c r="N533" s="88"/>
      <c r="O533" s="91"/>
      <c r="P533" s="91"/>
      <c r="Q533" s="88"/>
      <c r="R533" s="91"/>
      <c r="S533" s="91"/>
      <c r="T533" s="88"/>
      <c r="U533" s="88"/>
      <c r="V533" s="88"/>
      <c r="Y533" s="91"/>
      <c r="Z533" s="88"/>
    </row>
    <row r="534" spans="6:26" ht="12.5" x14ac:dyDescent="0.25">
      <c r="F534" s="88"/>
      <c r="G534" s="91"/>
      <c r="H534" s="91"/>
      <c r="I534" s="88"/>
      <c r="J534" s="91"/>
      <c r="K534" s="88"/>
      <c r="L534" s="88"/>
      <c r="M534" s="91"/>
      <c r="N534" s="88"/>
      <c r="O534" s="91"/>
      <c r="P534" s="91"/>
      <c r="Q534" s="88"/>
      <c r="R534" s="91"/>
      <c r="S534" s="91"/>
      <c r="T534" s="88"/>
      <c r="U534" s="88"/>
      <c r="V534" s="88"/>
      <c r="Y534" s="91"/>
      <c r="Z534" s="88"/>
    </row>
    <row r="535" spans="6:26" ht="12.5" x14ac:dyDescent="0.25">
      <c r="F535" s="88"/>
      <c r="G535" s="91"/>
      <c r="H535" s="91"/>
      <c r="I535" s="88"/>
      <c r="J535" s="91"/>
      <c r="K535" s="88"/>
      <c r="L535" s="88"/>
      <c r="M535" s="91"/>
      <c r="N535" s="88"/>
      <c r="O535" s="91"/>
      <c r="P535" s="91"/>
      <c r="Q535" s="88"/>
      <c r="R535" s="91"/>
      <c r="S535" s="91"/>
      <c r="T535" s="88"/>
      <c r="U535" s="88"/>
      <c r="V535" s="88"/>
      <c r="Y535" s="91"/>
      <c r="Z535" s="88"/>
    </row>
    <row r="536" spans="6:26" ht="12.5" x14ac:dyDescent="0.25">
      <c r="F536" s="88"/>
      <c r="G536" s="91"/>
      <c r="H536" s="91"/>
      <c r="I536" s="88"/>
      <c r="J536" s="91"/>
      <c r="K536" s="88"/>
      <c r="L536" s="88"/>
      <c r="M536" s="91"/>
      <c r="N536" s="88"/>
      <c r="O536" s="91"/>
      <c r="P536" s="91"/>
      <c r="Q536" s="88"/>
      <c r="R536" s="91"/>
      <c r="S536" s="91"/>
      <c r="T536" s="88"/>
      <c r="U536" s="88"/>
      <c r="V536" s="88"/>
      <c r="Y536" s="91"/>
      <c r="Z536" s="88"/>
    </row>
    <row r="537" spans="6:26" ht="12.5" x14ac:dyDescent="0.25">
      <c r="F537" s="88"/>
      <c r="G537" s="91"/>
      <c r="H537" s="91"/>
      <c r="I537" s="88"/>
      <c r="J537" s="91"/>
      <c r="K537" s="88"/>
      <c r="L537" s="88"/>
      <c r="M537" s="91"/>
      <c r="N537" s="88"/>
      <c r="O537" s="91"/>
      <c r="P537" s="91"/>
      <c r="Q537" s="88"/>
      <c r="R537" s="91"/>
      <c r="S537" s="91"/>
      <c r="T537" s="88"/>
      <c r="U537" s="88"/>
      <c r="V537" s="88"/>
      <c r="Y537" s="91"/>
      <c r="Z537" s="88"/>
    </row>
    <row r="538" spans="6:26" ht="12.5" x14ac:dyDescent="0.25">
      <c r="F538" s="88"/>
      <c r="G538" s="91"/>
      <c r="H538" s="91"/>
      <c r="I538" s="88"/>
      <c r="J538" s="91"/>
      <c r="K538" s="88"/>
      <c r="L538" s="88"/>
      <c r="M538" s="91"/>
      <c r="N538" s="88"/>
      <c r="O538" s="91"/>
      <c r="P538" s="91"/>
      <c r="Q538" s="88"/>
      <c r="R538" s="91"/>
      <c r="S538" s="91"/>
      <c r="T538" s="88"/>
      <c r="U538" s="88"/>
      <c r="V538" s="88"/>
      <c r="Y538" s="91"/>
      <c r="Z538" s="88"/>
    </row>
    <row r="539" spans="6:26" ht="12.5" x14ac:dyDescent="0.25">
      <c r="F539" s="88"/>
      <c r="G539" s="91"/>
      <c r="H539" s="91"/>
      <c r="I539" s="88"/>
      <c r="J539" s="91"/>
      <c r="K539" s="88"/>
      <c r="L539" s="88"/>
      <c r="M539" s="91"/>
      <c r="N539" s="88"/>
      <c r="O539" s="91"/>
      <c r="P539" s="91"/>
      <c r="Q539" s="88"/>
      <c r="R539" s="91"/>
      <c r="S539" s="91"/>
      <c r="T539" s="88"/>
      <c r="U539" s="88"/>
      <c r="V539" s="88"/>
      <c r="Y539" s="91"/>
      <c r="Z539" s="88"/>
    </row>
    <row r="540" spans="6:26" ht="12.5" x14ac:dyDescent="0.25">
      <c r="F540" s="88"/>
      <c r="G540" s="91"/>
      <c r="H540" s="91"/>
      <c r="I540" s="88"/>
      <c r="J540" s="91"/>
      <c r="K540" s="88"/>
      <c r="L540" s="88"/>
      <c r="M540" s="91"/>
      <c r="N540" s="88"/>
      <c r="O540" s="91"/>
      <c r="P540" s="91"/>
      <c r="Q540" s="88"/>
      <c r="R540" s="91"/>
      <c r="S540" s="91"/>
      <c r="T540" s="88"/>
      <c r="U540" s="88"/>
      <c r="V540" s="88"/>
      <c r="Y540" s="91"/>
      <c r="Z540" s="88"/>
    </row>
    <row r="541" spans="6:26" ht="12.5" x14ac:dyDescent="0.25">
      <c r="F541" s="88"/>
      <c r="G541" s="91"/>
      <c r="H541" s="91"/>
      <c r="I541" s="88"/>
      <c r="J541" s="91"/>
      <c r="K541" s="88"/>
      <c r="L541" s="88"/>
      <c r="M541" s="91"/>
      <c r="N541" s="88"/>
      <c r="O541" s="91"/>
      <c r="P541" s="91"/>
      <c r="Q541" s="88"/>
      <c r="R541" s="91"/>
      <c r="S541" s="91"/>
      <c r="T541" s="88"/>
      <c r="U541" s="88"/>
      <c r="V541" s="88"/>
      <c r="Y541" s="91"/>
      <c r="Z541" s="88"/>
    </row>
    <row r="542" spans="6:26" ht="12.5" x14ac:dyDescent="0.25">
      <c r="F542" s="88"/>
      <c r="G542" s="91"/>
      <c r="H542" s="91"/>
      <c r="I542" s="88"/>
      <c r="J542" s="91"/>
      <c r="K542" s="88"/>
      <c r="L542" s="88"/>
      <c r="M542" s="91"/>
      <c r="N542" s="88"/>
      <c r="O542" s="91"/>
      <c r="P542" s="91"/>
      <c r="Q542" s="88"/>
      <c r="R542" s="91"/>
      <c r="S542" s="91"/>
      <c r="T542" s="88"/>
      <c r="U542" s="88"/>
      <c r="V542" s="88"/>
      <c r="Y542" s="91"/>
      <c r="Z542" s="88"/>
    </row>
    <row r="543" spans="6:26" ht="12.5" x14ac:dyDescent="0.25">
      <c r="F543" s="88"/>
      <c r="G543" s="91"/>
      <c r="H543" s="91"/>
      <c r="I543" s="88"/>
      <c r="J543" s="91"/>
      <c r="K543" s="88"/>
      <c r="L543" s="88"/>
      <c r="M543" s="91"/>
      <c r="N543" s="88"/>
      <c r="O543" s="91"/>
      <c r="P543" s="91"/>
      <c r="Q543" s="88"/>
      <c r="R543" s="91"/>
      <c r="S543" s="91"/>
      <c r="T543" s="88"/>
      <c r="U543" s="88"/>
      <c r="V543" s="88"/>
      <c r="Y543" s="91"/>
      <c r="Z543" s="88"/>
    </row>
    <row r="544" spans="6:26" ht="12.5" x14ac:dyDescent="0.25">
      <c r="F544" s="88"/>
      <c r="G544" s="91"/>
      <c r="H544" s="91"/>
      <c r="I544" s="88"/>
      <c r="J544" s="91"/>
      <c r="K544" s="88"/>
      <c r="L544" s="88"/>
      <c r="M544" s="91"/>
      <c r="N544" s="88"/>
      <c r="O544" s="91"/>
      <c r="P544" s="91"/>
      <c r="Q544" s="88"/>
      <c r="R544" s="91"/>
      <c r="S544" s="91"/>
      <c r="T544" s="88"/>
      <c r="U544" s="88"/>
      <c r="V544" s="88"/>
      <c r="Y544" s="91"/>
      <c r="Z544" s="88"/>
    </row>
    <row r="545" spans="6:26" ht="12.5" x14ac:dyDescent="0.25">
      <c r="F545" s="88"/>
      <c r="G545" s="91"/>
      <c r="H545" s="91"/>
      <c r="I545" s="88"/>
      <c r="J545" s="91"/>
      <c r="K545" s="88"/>
      <c r="L545" s="88"/>
      <c r="M545" s="91"/>
      <c r="N545" s="88"/>
      <c r="O545" s="91"/>
      <c r="P545" s="91"/>
      <c r="Q545" s="88"/>
      <c r="R545" s="91"/>
      <c r="S545" s="91"/>
      <c r="T545" s="88"/>
      <c r="U545" s="88"/>
      <c r="V545" s="88"/>
      <c r="Y545" s="91"/>
      <c r="Z545" s="88"/>
    </row>
    <row r="546" spans="6:26" ht="12.5" x14ac:dyDescent="0.25">
      <c r="F546" s="88"/>
      <c r="G546" s="91"/>
      <c r="H546" s="91"/>
      <c r="I546" s="88"/>
      <c r="J546" s="91"/>
      <c r="K546" s="88"/>
      <c r="L546" s="88"/>
      <c r="M546" s="91"/>
      <c r="N546" s="88"/>
      <c r="O546" s="91"/>
      <c r="P546" s="91"/>
      <c r="Q546" s="88"/>
      <c r="R546" s="91"/>
      <c r="S546" s="91"/>
      <c r="T546" s="88"/>
      <c r="U546" s="88"/>
      <c r="V546" s="88"/>
      <c r="Y546" s="91"/>
      <c r="Z546" s="88"/>
    </row>
    <row r="547" spans="6:26" ht="12.5" x14ac:dyDescent="0.25">
      <c r="F547" s="88"/>
      <c r="G547" s="91"/>
      <c r="H547" s="91"/>
      <c r="I547" s="88"/>
      <c r="J547" s="91"/>
      <c r="K547" s="88"/>
      <c r="L547" s="88"/>
      <c r="M547" s="91"/>
      <c r="N547" s="88"/>
      <c r="O547" s="91"/>
      <c r="P547" s="91"/>
      <c r="Q547" s="88"/>
      <c r="R547" s="91"/>
      <c r="S547" s="91"/>
      <c r="T547" s="88"/>
      <c r="U547" s="88"/>
      <c r="V547" s="88"/>
      <c r="Y547" s="91"/>
      <c r="Z547" s="88"/>
    </row>
    <row r="548" spans="6:26" ht="12.5" x14ac:dyDescent="0.25">
      <c r="F548" s="88"/>
      <c r="G548" s="91"/>
      <c r="H548" s="91"/>
      <c r="I548" s="88"/>
      <c r="J548" s="91"/>
      <c r="K548" s="88"/>
      <c r="L548" s="88"/>
      <c r="M548" s="91"/>
      <c r="N548" s="88"/>
      <c r="O548" s="91"/>
      <c r="P548" s="91"/>
      <c r="Q548" s="88"/>
      <c r="R548" s="91"/>
      <c r="S548" s="91"/>
      <c r="T548" s="88"/>
      <c r="U548" s="88"/>
      <c r="V548" s="88"/>
      <c r="Y548" s="91"/>
      <c r="Z548" s="88"/>
    </row>
    <row r="549" spans="6:26" ht="12.5" x14ac:dyDescent="0.25">
      <c r="F549" s="88"/>
      <c r="G549" s="91"/>
      <c r="H549" s="91"/>
      <c r="I549" s="88"/>
      <c r="J549" s="91"/>
      <c r="K549" s="88"/>
      <c r="L549" s="88"/>
      <c r="M549" s="91"/>
      <c r="N549" s="88"/>
      <c r="O549" s="91"/>
      <c r="P549" s="91"/>
      <c r="Q549" s="88"/>
      <c r="R549" s="91"/>
      <c r="S549" s="91"/>
      <c r="T549" s="88"/>
      <c r="U549" s="88"/>
      <c r="V549" s="88"/>
      <c r="Y549" s="91"/>
      <c r="Z549" s="88"/>
    </row>
    <row r="550" spans="6:26" ht="12.5" x14ac:dyDescent="0.25">
      <c r="F550" s="88"/>
      <c r="G550" s="91"/>
      <c r="H550" s="91"/>
      <c r="I550" s="88"/>
      <c r="J550" s="91"/>
      <c r="K550" s="88"/>
      <c r="L550" s="88"/>
      <c r="M550" s="91"/>
      <c r="N550" s="88"/>
      <c r="O550" s="91"/>
      <c r="P550" s="91"/>
      <c r="Q550" s="88"/>
      <c r="R550" s="91"/>
      <c r="S550" s="91"/>
      <c r="T550" s="88"/>
      <c r="U550" s="88"/>
      <c r="V550" s="88"/>
      <c r="Y550" s="91"/>
      <c r="Z550" s="88"/>
    </row>
    <row r="551" spans="6:26" ht="12.5" x14ac:dyDescent="0.25">
      <c r="F551" s="88"/>
      <c r="G551" s="91"/>
      <c r="H551" s="91"/>
      <c r="I551" s="88"/>
      <c r="J551" s="91"/>
      <c r="K551" s="88"/>
      <c r="L551" s="88"/>
      <c r="M551" s="91"/>
      <c r="N551" s="88"/>
      <c r="O551" s="91"/>
      <c r="P551" s="91"/>
      <c r="Q551" s="88"/>
      <c r="R551" s="91"/>
      <c r="S551" s="91"/>
      <c r="T551" s="88"/>
      <c r="U551" s="88"/>
      <c r="V551" s="88"/>
      <c r="Y551" s="91"/>
      <c r="Z551" s="88"/>
    </row>
    <row r="552" spans="6:26" ht="12.5" x14ac:dyDescent="0.25">
      <c r="F552" s="88"/>
      <c r="G552" s="91"/>
      <c r="H552" s="91"/>
      <c r="I552" s="88"/>
      <c r="J552" s="91"/>
      <c r="K552" s="88"/>
      <c r="L552" s="88"/>
      <c r="M552" s="91"/>
      <c r="N552" s="88"/>
      <c r="O552" s="91"/>
      <c r="P552" s="91"/>
      <c r="Q552" s="88"/>
      <c r="R552" s="91"/>
      <c r="S552" s="91"/>
      <c r="T552" s="88"/>
      <c r="U552" s="88"/>
      <c r="V552" s="88"/>
      <c r="Y552" s="91"/>
      <c r="Z552" s="88"/>
    </row>
    <row r="553" spans="6:26" ht="12.5" x14ac:dyDescent="0.25">
      <c r="F553" s="88"/>
      <c r="G553" s="91"/>
      <c r="H553" s="91"/>
      <c r="I553" s="88"/>
      <c r="J553" s="91"/>
      <c r="K553" s="88"/>
      <c r="L553" s="88"/>
      <c r="M553" s="91"/>
      <c r="N553" s="88"/>
      <c r="O553" s="91"/>
      <c r="P553" s="91"/>
      <c r="Q553" s="88"/>
      <c r="R553" s="91"/>
      <c r="S553" s="91"/>
      <c r="T553" s="88"/>
      <c r="U553" s="88"/>
      <c r="V553" s="88"/>
      <c r="Y553" s="91"/>
      <c r="Z553" s="88"/>
    </row>
    <row r="554" spans="6:26" ht="12.5" x14ac:dyDescent="0.25">
      <c r="F554" s="88"/>
      <c r="G554" s="91"/>
      <c r="H554" s="91"/>
      <c r="I554" s="88"/>
      <c r="J554" s="91"/>
      <c r="K554" s="88"/>
      <c r="L554" s="88"/>
      <c r="M554" s="91"/>
      <c r="N554" s="88"/>
      <c r="O554" s="91"/>
      <c r="P554" s="91"/>
      <c r="Q554" s="88"/>
      <c r="R554" s="91"/>
      <c r="S554" s="91"/>
      <c r="T554" s="88"/>
      <c r="U554" s="88"/>
      <c r="V554" s="88"/>
      <c r="Y554" s="91"/>
      <c r="Z554" s="88"/>
    </row>
    <row r="555" spans="6:26" ht="12.5" x14ac:dyDescent="0.25">
      <c r="F555" s="88"/>
      <c r="G555" s="91"/>
      <c r="H555" s="91"/>
      <c r="I555" s="88"/>
      <c r="J555" s="91"/>
      <c r="K555" s="88"/>
      <c r="L555" s="88"/>
      <c r="M555" s="91"/>
      <c r="N555" s="88"/>
      <c r="O555" s="91"/>
      <c r="P555" s="91"/>
      <c r="Q555" s="88"/>
      <c r="R555" s="91"/>
      <c r="S555" s="91"/>
      <c r="T555" s="88"/>
      <c r="U555" s="88"/>
      <c r="V555" s="88"/>
      <c r="Y555" s="91"/>
      <c r="Z555" s="88"/>
    </row>
    <row r="556" spans="6:26" ht="12.5" x14ac:dyDescent="0.25">
      <c r="F556" s="88"/>
      <c r="G556" s="91"/>
      <c r="H556" s="91"/>
      <c r="I556" s="88"/>
      <c r="J556" s="91"/>
      <c r="K556" s="88"/>
      <c r="L556" s="88"/>
      <c r="M556" s="91"/>
      <c r="N556" s="88"/>
      <c r="O556" s="91"/>
      <c r="P556" s="91"/>
      <c r="Q556" s="88"/>
      <c r="R556" s="91"/>
      <c r="S556" s="91"/>
      <c r="T556" s="88"/>
      <c r="U556" s="88"/>
      <c r="V556" s="88"/>
      <c r="Y556" s="91"/>
      <c r="Z556" s="88"/>
    </row>
    <row r="557" spans="6:26" ht="12.5" x14ac:dyDescent="0.25">
      <c r="F557" s="88"/>
      <c r="G557" s="91"/>
      <c r="H557" s="91"/>
      <c r="I557" s="88"/>
      <c r="J557" s="91"/>
      <c r="K557" s="88"/>
      <c r="L557" s="88"/>
      <c r="M557" s="91"/>
      <c r="N557" s="88"/>
      <c r="O557" s="91"/>
      <c r="P557" s="91"/>
      <c r="Q557" s="88"/>
      <c r="R557" s="91"/>
      <c r="S557" s="91"/>
      <c r="T557" s="88"/>
      <c r="U557" s="88"/>
      <c r="V557" s="88"/>
      <c r="Y557" s="91"/>
      <c r="Z557" s="88"/>
    </row>
    <row r="558" spans="6:26" ht="12.5" x14ac:dyDescent="0.25">
      <c r="F558" s="88"/>
      <c r="G558" s="91"/>
      <c r="H558" s="91"/>
      <c r="I558" s="88"/>
      <c r="J558" s="91"/>
      <c r="K558" s="88"/>
      <c r="L558" s="88"/>
      <c r="M558" s="91"/>
      <c r="N558" s="88"/>
      <c r="O558" s="91"/>
      <c r="P558" s="91"/>
      <c r="Q558" s="88"/>
      <c r="R558" s="91"/>
      <c r="S558" s="91"/>
      <c r="T558" s="88"/>
      <c r="U558" s="88"/>
      <c r="V558" s="88"/>
      <c r="Y558" s="91"/>
      <c r="Z558" s="88"/>
    </row>
    <row r="559" spans="6:26" ht="12.5" x14ac:dyDescent="0.25">
      <c r="F559" s="88"/>
      <c r="G559" s="91"/>
      <c r="H559" s="91"/>
      <c r="I559" s="88"/>
      <c r="J559" s="91"/>
      <c r="K559" s="88"/>
      <c r="L559" s="88"/>
      <c r="M559" s="91"/>
      <c r="N559" s="88"/>
      <c r="O559" s="91"/>
      <c r="P559" s="91"/>
      <c r="Q559" s="88"/>
      <c r="R559" s="91"/>
      <c r="S559" s="91"/>
      <c r="T559" s="88"/>
      <c r="U559" s="88"/>
      <c r="V559" s="88"/>
      <c r="Y559" s="91"/>
      <c r="Z559" s="88"/>
    </row>
    <row r="560" spans="6:26" ht="12.5" x14ac:dyDescent="0.25">
      <c r="F560" s="88"/>
      <c r="G560" s="91"/>
      <c r="H560" s="91"/>
      <c r="I560" s="88"/>
      <c r="J560" s="91"/>
      <c r="K560" s="88"/>
      <c r="L560" s="88"/>
      <c r="M560" s="91"/>
      <c r="N560" s="88"/>
      <c r="O560" s="91"/>
      <c r="P560" s="91"/>
      <c r="Q560" s="88"/>
      <c r="R560" s="91"/>
      <c r="S560" s="91"/>
      <c r="T560" s="88"/>
      <c r="U560" s="88"/>
      <c r="V560" s="88"/>
      <c r="Y560" s="91"/>
      <c r="Z560" s="88"/>
    </row>
    <row r="561" spans="6:26" ht="12.5" x14ac:dyDescent="0.25">
      <c r="F561" s="88"/>
      <c r="G561" s="91"/>
      <c r="H561" s="91"/>
      <c r="I561" s="88"/>
      <c r="J561" s="91"/>
      <c r="K561" s="88"/>
      <c r="L561" s="88"/>
      <c r="M561" s="91"/>
      <c r="N561" s="88"/>
      <c r="O561" s="91"/>
      <c r="P561" s="91"/>
      <c r="Q561" s="88"/>
      <c r="R561" s="91"/>
      <c r="S561" s="91"/>
      <c r="T561" s="88"/>
      <c r="U561" s="88"/>
      <c r="V561" s="88"/>
      <c r="Y561" s="91"/>
      <c r="Z561" s="88"/>
    </row>
    <row r="562" spans="6:26" ht="12.5" x14ac:dyDescent="0.25">
      <c r="F562" s="88"/>
      <c r="G562" s="91"/>
      <c r="H562" s="91"/>
      <c r="I562" s="88"/>
      <c r="J562" s="91"/>
      <c r="K562" s="88"/>
      <c r="L562" s="88"/>
      <c r="M562" s="91"/>
      <c r="N562" s="88"/>
      <c r="O562" s="91"/>
      <c r="P562" s="91"/>
      <c r="Q562" s="88"/>
      <c r="R562" s="91"/>
      <c r="S562" s="91"/>
      <c r="T562" s="88"/>
      <c r="U562" s="88"/>
      <c r="V562" s="88"/>
      <c r="Y562" s="91"/>
      <c r="Z562" s="88"/>
    </row>
    <row r="563" spans="6:26" ht="12.5" x14ac:dyDescent="0.25">
      <c r="F563" s="88"/>
      <c r="G563" s="91"/>
      <c r="H563" s="91"/>
      <c r="I563" s="88"/>
      <c r="J563" s="91"/>
      <c r="K563" s="88"/>
      <c r="L563" s="88"/>
      <c r="M563" s="91"/>
      <c r="N563" s="88"/>
      <c r="O563" s="91"/>
      <c r="P563" s="91"/>
      <c r="Q563" s="88"/>
      <c r="R563" s="91"/>
      <c r="S563" s="91"/>
      <c r="T563" s="88"/>
      <c r="U563" s="88"/>
      <c r="V563" s="88"/>
      <c r="Y563" s="91"/>
      <c r="Z563" s="88"/>
    </row>
    <row r="564" spans="6:26" ht="12.5" x14ac:dyDescent="0.25">
      <c r="F564" s="88"/>
      <c r="G564" s="91"/>
      <c r="H564" s="91"/>
      <c r="I564" s="88"/>
      <c r="J564" s="91"/>
      <c r="K564" s="88"/>
      <c r="L564" s="88"/>
      <c r="M564" s="91"/>
      <c r="N564" s="88"/>
      <c r="O564" s="91"/>
      <c r="P564" s="91"/>
      <c r="Q564" s="88"/>
      <c r="R564" s="91"/>
      <c r="S564" s="91"/>
      <c r="T564" s="88"/>
      <c r="U564" s="88"/>
      <c r="V564" s="88"/>
      <c r="Y564" s="91"/>
      <c r="Z564" s="88"/>
    </row>
    <row r="565" spans="6:26" ht="12.5" x14ac:dyDescent="0.25">
      <c r="F565" s="88"/>
      <c r="G565" s="91"/>
      <c r="H565" s="91"/>
      <c r="I565" s="88"/>
      <c r="J565" s="91"/>
      <c r="K565" s="88"/>
      <c r="L565" s="88"/>
      <c r="M565" s="91"/>
      <c r="N565" s="88"/>
      <c r="O565" s="91"/>
      <c r="P565" s="91"/>
      <c r="Q565" s="88"/>
      <c r="R565" s="91"/>
      <c r="S565" s="91"/>
      <c r="T565" s="88"/>
      <c r="U565" s="88"/>
      <c r="V565" s="88"/>
      <c r="Y565" s="91"/>
      <c r="Z565" s="88"/>
    </row>
    <row r="566" spans="6:26" ht="12.5" x14ac:dyDescent="0.25">
      <c r="F566" s="88"/>
      <c r="G566" s="91"/>
      <c r="H566" s="91"/>
      <c r="I566" s="88"/>
      <c r="J566" s="91"/>
      <c r="K566" s="88"/>
      <c r="L566" s="88"/>
      <c r="M566" s="91"/>
      <c r="N566" s="88"/>
      <c r="O566" s="91"/>
      <c r="P566" s="91"/>
      <c r="Q566" s="88"/>
      <c r="R566" s="91"/>
      <c r="S566" s="91"/>
      <c r="T566" s="88"/>
      <c r="U566" s="88"/>
      <c r="V566" s="88"/>
      <c r="Y566" s="91"/>
      <c r="Z566" s="88"/>
    </row>
    <row r="567" spans="6:26" ht="12.5" x14ac:dyDescent="0.25">
      <c r="F567" s="88"/>
      <c r="G567" s="91"/>
      <c r="H567" s="91"/>
      <c r="I567" s="88"/>
      <c r="J567" s="91"/>
      <c r="K567" s="88"/>
      <c r="L567" s="88"/>
      <c r="M567" s="91"/>
      <c r="N567" s="88"/>
      <c r="O567" s="91"/>
      <c r="P567" s="91"/>
      <c r="Q567" s="88"/>
      <c r="R567" s="91"/>
      <c r="S567" s="91"/>
      <c r="T567" s="88"/>
      <c r="U567" s="88"/>
      <c r="V567" s="88"/>
      <c r="Y567" s="91"/>
      <c r="Z567" s="88"/>
    </row>
    <row r="568" spans="6:26" ht="12.5" x14ac:dyDescent="0.25">
      <c r="F568" s="88"/>
      <c r="G568" s="91"/>
      <c r="H568" s="91"/>
      <c r="I568" s="88"/>
      <c r="J568" s="91"/>
      <c r="K568" s="88"/>
      <c r="L568" s="88"/>
      <c r="M568" s="91"/>
      <c r="N568" s="88"/>
      <c r="O568" s="91"/>
      <c r="P568" s="91"/>
      <c r="Q568" s="88"/>
      <c r="R568" s="91"/>
      <c r="S568" s="91"/>
      <c r="T568" s="88"/>
      <c r="U568" s="88"/>
      <c r="V568" s="88"/>
      <c r="Y568" s="91"/>
      <c r="Z568" s="88"/>
    </row>
    <row r="569" spans="6:26" ht="12.5" x14ac:dyDescent="0.25">
      <c r="F569" s="88"/>
      <c r="G569" s="91"/>
      <c r="H569" s="91"/>
      <c r="I569" s="88"/>
      <c r="J569" s="91"/>
      <c r="K569" s="88"/>
      <c r="L569" s="88"/>
      <c r="M569" s="91"/>
      <c r="N569" s="88"/>
      <c r="O569" s="91"/>
      <c r="P569" s="91"/>
      <c r="Q569" s="88"/>
      <c r="R569" s="91"/>
      <c r="S569" s="91"/>
      <c r="T569" s="88"/>
      <c r="U569" s="88"/>
      <c r="V569" s="88"/>
      <c r="Y569" s="91"/>
      <c r="Z569" s="88"/>
    </row>
    <row r="570" spans="6:26" ht="12.5" x14ac:dyDescent="0.25">
      <c r="F570" s="88"/>
      <c r="G570" s="91"/>
      <c r="H570" s="91"/>
      <c r="I570" s="88"/>
      <c r="J570" s="91"/>
      <c r="K570" s="88"/>
      <c r="L570" s="88"/>
      <c r="M570" s="91"/>
      <c r="N570" s="88"/>
      <c r="O570" s="91"/>
      <c r="P570" s="91"/>
      <c r="Q570" s="88"/>
      <c r="R570" s="91"/>
      <c r="S570" s="91"/>
      <c r="T570" s="88"/>
      <c r="U570" s="88"/>
      <c r="V570" s="88"/>
      <c r="Y570" s="91"/>
      <c r="Z570" s="88"/>
    </row>
    <row r="571" spans="6:26" ht="12.5" x14ac:dyDescent="0.25">
      <c r="F571" s="88"/>
      <c r="G571" s="91"/>
      <c r="H571" s="91"/>
      <c r="I571" s="88"/>
      <c r="J571" s="91"/>
      <c r="K571" s="88"/>
      <c r="L571" s="88"/>
      <c r="M571" s="91"/>
      <c r="N571" s="88"/>
      <c r="O571" s="91"/>
      <c r="P571" s="91"/>
      <c r="Q571" s="88"/>
      <c r="R571" s="91"/>
      <c r="S571" s="91"/>
      <c r="T571" s="88"/>
      <c r="U571" s="88"/>
      <c r="V571" s="88"/>
      <c r="Y571" s="91"/>
      <c r="Z571" s="88"/>
    </row>
    <row r="572" spans="6:26" ht="12.5" x14ac:dyDescent="0.25">
      <c r="F572" s="88"/>
      <c r="G572" s="91"/>
      <c r="H572" s="91"/>
      <c r="I572" s="88"/>
      <c r="J572" s="91"/>
      <c r="K572" s="88"/>
      <c r="L572" s="88"/>
      <c r="M572" s="91"/>
      <c r="N572" s="88"/>
      <c r="O572" s="91"/>
      <c r="P572" s="91"/>
      <c r="Q572" s="88"/>
      <c r="R572" s="91"/>
      <c r="S572" s="91"/>
      <c r="T572" s="88"/>
      <c r="U572" s="88"/>
      <c r="V572" s="88"/>
      <c r="Y572" s="91"/>
      <c r="Z572" s="88"/>
    </row>
    <row r="573" spans="6:26" ht="12.5" x14ac:dyDescent="0.25">
      <c r="F573" s="88"/>
      <c r="G573" s="91"/>
      <c r="H573" s="91"/>
      <c r="I573" s="88"/>
      <c r="J573" s="91"/>
      <c r="K573" s="88"/>
      <c r="L573" s="88"/>
      <c r="M573" s="91"/>
      <c r="N573" s="88"/>
      <c r="O573" s="91"/>
      <c r="P573" s="91"/>
      <c r="Q573" s="88"/>
      <c r="R573" s="91"/>
      <c r="S573" s="91"/>
      <c r="T573" s="88"/>
      <c r="U573" s="88"/>
      <c r="V573" s="88"/>
      <c r="Y573" s="91"/>
      <c r="Z573" s="88"/>
    </row>
    <row r="574" spans="6:26" ht="12.5" x14ac:dyDescent="0.25">
      <c r="F574" s="88"/>
      <c r="G574" s="91"/>
      <c r="H574" s="91"/>
      <c r="I574" s="88"/>
      <c r="J574" s="91"/>
      <c r="K574" s="88"/>
      <c r="L574" s="88"/>
      <c r="M574" s="91"/>
      <c r="N574" s="88"/>
      <c r="O574" s="91"/>
      <c r="P574" s="91"/>
      <c r="Q574" s="88"/>
      <c r="R574" s="91"/>
      <c r="S574" s="91"/>
      <c r="T574" s="88"/>
      <c r="U574" s="88"/>
      <c r="V574" s="88"/>
      <c r="Y574" s="91"/>
      <c r="Z574" s="88"/>
    </row>
    <row r="575" spans="6:26" ht="12.5" x14ac:dyDescent="0.25">
      <c r="F575" s="88"/>
      <c r="G575" s="91"/>
      <c r="H575" s="91"/>
      <c r="I575" s="88"/>
      <c r="J575" s="91"/>
      <c r="K575" s="88"/>
      <c r="L575" s="88"/>
      <c r="M575" s="91"/>
      <c r="N575" s="88"/>
      <c r="O575" s="91"/>
      <c r="P575" s="91"/>
      <c r="Q575" s="88"/>
      <c r="R575" s="91"/>
      <c r="S575" s="91"/>
      <c r="T575" s="88"/>
      <c r="U575" s="88"/>
      <c r="V575" s="88"/>
      <c r="Y575" s="91"/>
      <c r="Z575" s="88"/>
    </row>
    <row r="576" spans="6:26" ht="12.5" x14ac:dyDescent="0.25">
      <c r="F576" s="88"/>
      <c r="G576" s="91"/>
      <c r="H576" s="91"/>
      <c r="I576" s="88"/>
      <c r="J576" s="91"/>
      <c r="K576" s="88"/>
      <c r="L576" s="88"/>
      <c r="M576" s="91"/>
      <c r="N576" s="88"/>
      <c r="O576" s="91"/>
      <c r="P576" s="91"/>
      <c r="Q576" s="88"/>
      <c r="R576" s="91"/>
      <c r="S576" s="91"/>
      <c r="T576" s="88"/>
      <c r="U576" s="88"/>
      <c r="V576" s="88"/>
      <c r="Y576" s="91"/>
      <c r="Z576" s="88"/>
    </row>
    <row r="577" spans="6:26" ht="12.5" x14ac:dyDescent="0.25">
      <c r="F577" s="88"/>
      <c r="G577" s="91"/>
      <c r="H577" s="91"/>
      <c r="I577" s="88"/>
      <c r="J577" s="91"/>
      <c r="K577" s="88"/>
      <c r="L577" s="88"/>
      <c r="M577" s="91"/>
      <c r="N577" s="88"/>
      <c r="O577" s="91"/>
      <c r="P577" s="91"/>
      <c r="Q577" s="88"/>
      <c r="R577" s="91"/>
      <c r="S577" s="91"/>
      <c r="T577" s="88"/>
      <c r="U577" s="88"/>
      <c r="V577" s="88"/>
      <c r="Y577" s="91"/>
      <c r="Z577" s="88"/>
    </row>
    <row r="578" spans="6:26" ht="12.5" x14ac:dyDescent="0.25">
      <c r="F578" s="88"/>
      <c r="G578" s="91"/>
      <c r="H578" s="91"/>
      <c r="I578" s="88"/>
      <c r="J578" s="91"/>
      <c r="K578" s="88"/>
      <c r="L578" s="88"/>
      <c r="M578" s="91"/>
      <c r="N578" s="88"/>
      <c r="O578" s="91"/>
      <c r="P578" s="91"/>
      <c r="Q578" s="88"/>
      <c r="R578" s="91"/>
      <c r="S578" s="91"/>
      <c r="T578" s="88"/>
      <c r="U578" s="88"/>
      <c r="V578" s="88"/>
      <c r="Y578" s="91"/>
      <c r="Z578" s="88"/>
    </row>
    <row r="579" spans="6:26" ht="12.5" x14ac:dyDescent="0.25">
      <c r="F579" s="88"/>
      <c r="G579" s="91"/>
      <c r="H579" s="91"/>
      <c r="I579" s="88"/>
      <c r="J579" s="91"/>
      <c r="K579" s="88"/>
      <c r="L579" s="88"/>
      <c r="M579" s="91"/>
      <c r="N579" s="88"/>
      <c r="O579" s="91"/>
      <c r="P579" s="91"/>
      <c r="Q579" s="88"/>
      <c r="R579" s="91"/>
      <c r="S579" s="91"/>
      <c r="T579" s="88"/>
      <c r="U579" s="88"/>
      <c r="V579" s="88"/>
      <c r="Y579" s="91"/>
      <c r="Z579" s="88"/>
    </row>
    <row r="580" spans="6:26" ht="12.5" x14ac:dyDescent="0.25">
      <c r="F580" s="88"/>
      <c r="G580" s="91"/>
      <c r="H580" s="91"/>
      <c r="I580" s="88"/>
      <c r="J580" s="91"/>
      <c r="K580" s="88"/>
      <c r="L580" s="88"/>
      <c r="M580" s="91"/>
      <c r="N580" s="88"/>
      <c r="O580" s="91"/>
      <c r="P580" s="91"/>
      <c r="Q580" s="88"/>
      <c r="R580" s="91"/>
      <c r="S580" s="91"/>
      <c r="T580" s="88"/>
      <c r="U580" s="88"/>
      <c r="V580" s="88"/>
      <c r="Y580" s="91"/>
      <c r="Z580" s="88"/>
    </row>
    <row r="581" spans="6:26" ht="12.5" x14ac:dyDescent="0.25">
      <c r="F581" s="88"/>
      <c r="G581" s="91"/>
      <c r="H581" s="91"/>
      <c r="I581" s="88"/>
      <c r="J581" s="91"/>
      <c r="K581" s="88"/>
      <c r="L581" s="88"/>
      <c r="M581" s="91"/>
      <c r="N581" s="88"/>
      <c r="O581" s="91"/>
      <c r="P581" s="91"/>
      <c r="Q581" s="88"/>
      <c r="R581" s="91"/>
      <c r="S581" s="91"/>
      <c r="T581" s="88"/>
      <c r="U581" s="88"/>
      <c r="V581" s="88"/>
      <c r="Y581" s="91"/>
      <c r="Z581" s="88"/>
    </row>
    <row r="582" spans="6:26" ht="12.5" x14ac:dyDescent="0.25">
      <c r="F582" s="88"/>
      <c r="G582" s="91"/>
      <c r="H582" s="91"/>
      <c r="I582" s="88"/>
      <c r="J582" s="91"/>
      <c r="K582" s="88"/>
      <c r="L582" s="88"/>
      <c r="M582" s="91"/>
      <c r="N582" s="88"/>
      <c r="O582" s="91"/>
      <c r="P582" s="91"/>
      <c r="Q582" s="88"/>
      <c r="R582" s="91"/>
      <c r="S582" s="91"/>
      <c r="T582" s="88"/>
      <c r="U582" s="88"/>
      <c r="V582" s="88"/>
      <c r="Y582" s="91"/>
      <c r="Z582" s="88"/>
    </row>
    <row r="583" spans="6:26" ht="12.5" x14ac:dyDescent="0.25">
      <c r="F583" s="88"/>
      <c r="G583" s="91"/>
      <c r="H583" s="91"/>
      <c r="I583" s="88"/>
      <c r="J583" s="91"/>
      <c r="K583" s="88"/>
      <c r="L583" s="88"/>
      <c r="M583" s="91"/>
      <c r="N583" s="88"/>
      <c r="O583" s="91"/>
      <c r="P583" s="91"/>
      <c r="Q583" s="88"/>
      <c r="R583" s="91"/>
      <c r="S583" s="91"/>
      <c r="T583" s="88"/>
      <c r="U583" s="88"/>
      <c r="V583" s="88"/>
      <c r="Y583" s="91"/>
      <c r="Z583" s="88"/>
    </row>
    <row r="584" spans="6:26" ht="12.5" x14ac:dyDescent="0.25">
      <c r="F584" s="88"/>
      <c r="G584" s="91"/>
      <c r="H584" s="91"/>
      <c r="I584" s="88"/>
      <c r="J584" s="91"/>
      <c r="K584" s="88"/>
      <c r="L584" s="88"/>
      <c r="M584" s="91"/>
      <c r="N584" s="88"/>
      <c r="O584" s="91"/>
      <c r="P584" s="91"/>
      <c r="Q584" s="88"/>
      <c r="R584" s="91"/>
      <c r="S584" s="91"/>
      <c r="T584" s="88"/>
      <c r="U584" s="88"/>
      <c r="V584" s="88"/>
      <c r="Y584" s="91"/>
      <c r="Z584" s="88"/>
    </row>
    <row r="585" spans="6:26" ht="12.5" x14ac:dyDescent="0.25">
      <c r="F585" s="88"/>
      <c r="G585" s="91"/>
      <c r="H585" s="91"/>
      <c r="I585" s="88"/>
      <c r="J585" s="91"/>
      <c r="K585" s="88"/>
      <c r="L585" s="88"/>
      <c r="M585" s="91"/>
      <c r="N585" s="88"/>
      <c r="O585" s="91"/>
      <c r="P585" s="91"/>
      <c r="Q585" s="88"/>
      <c r="R585" s="91"/>
      <c r="S585" s="91"/>
      <c r="T585" s="88"/>
      <c r="U585" s="88"/>
      <c r="V585" s="88"/>
      <c r="Y585" s="91"/>
      <c r="Z585" s="88"/>
    </row>
    <row r="586" spans="6:26" ht="12.5" x14ac:dyDescent="0.25">
      <c r="F586" s="88"/>
      <c r="G586" s="91"/>
      <c r="H586" s="91"/>
      <c r="I586" s="88"/>
      <c r="J586" s="91"/>
      <c r="K586" s="88"/>
      <c r="L586" s="88"/>
      <c r="M586" s="91"/>
      <c r="N586" s="88"/>
      <c r="O586" s="91"/>
      <c r="P586" s="91"/>
      <c r="Q586" s="88"/>
      <c r="R586" s="91"/>
      <c r="S586" s="91"/>
      <c r="T586" s="88"/>
      <c r="U586" s="88"/>
      <c r="V586" s="88"/>
      <c r="Y586" s="91"/>
      <c r="Z586" s="88"/>
    </row>
    <row r="587" spans="6:26" ht="12.5" x14ac:dyDescent="0.25">
      <c r="F587" s="88"/>
      <c r="G587" s="91"/>
      <c r="H587" s="91"/>
      <c r="I587" s="88"/>
      <c r="J587" s="91"/>
      <c r="K587" s="88"/>
      <c r="L587" s="88"/>
      <c r="M587" s="91"/>
      <c r="N587" s="88"/>
      <c r="O587" s="91"/>
      <c r="P587" s="91"/>
      <c r="Q587" s="88"/>
      <c r="R587" s="91"/>
      <c r="S587" s="91"/>
      <c r="T587" s="88"/>
      <c r="U587" s="88"/>
      <c r="V587" s="88"/>
      <c r="Y587" s="91"/>
      <c r="Z587" s="88"/>
    </row>
    <row r="588" spans="6:26" ht="12.5" x14ac:dyDescent="0.25">
      <c r="F588" s="88"/>
      <c r="G588" s="91"/>
      <c r="H588" s="91"/>
      <c r="I588" s="88"/>
      <c r="J588" s="91"/>
      <c r="K588" s="88"/>
      <c r="L588" s="88"/>
      <c r="M588" s="91"/>
      <c r="N588" s="88"/>
      <c r="O588" s="91"/>
      <c r="P588" s="91"/>
      <c r="Q588" s="88"/>
      <c r="R588" s="91"/>
      <c r="S588" s="91"/>
      <c r="T588" s="88"/>
      <c r="U588" s="88"/>
      <c r="V588" s="88"/>
      <c r="Y588" s="91"/>
      <c r="Z588" s="88"/>
    </row>
    <row r="589" spans="6:26" ht="12.5" x14ac:dyDescent="0.25">
      <c r="F589" s="88"/>
      <c r="G589" s="91"/>
      <c r="H589" s="91"/>
      <c r="I589" s="88"/>
      <c r="J589" s="91"/>
      <c r="K589" s="88"/>
      <c r="L589" s="88"/>
      <c r="M589" s="91"/>
      <c r="N589" s="88"/>
      <c r="O589" s="91"/>
      <c r="P589" s="91"/>
      <c r="Q589" s="88"/>
      <c r="R589" s="91"/>
      <c r="S589" s="91"/>
      <c r="T589" s="88"/>
      <c r="U589" s="88"/>
      <c r="V589" s="88"/>
      <c r="Y589" s="91"/>
      <c r="Z589" s="88"/>
    </row>
    <row r="590" spans="6:26" ht="12.5" x14ac:dyDescent="0.25">
      <c r="F590" s="88"/>
      <c r="G590" s="91"/>
      <c r="H590" s="91"/>
      <c r="I590" s="88"/>
      <c r="J590" s="91"/>
      <c r="K590" s="88"/>
      <c r="L590" s="88"/>
      <c r="M590" s="91"/>
      <c r="N590" s="88"/>
      <c r="O590" s="91"/>
      <c r="P590" s="91"/>
      <c r="Q590" s="88"/>
      <c r="R590" s="91"/>
      <c r="S590" s="91"/>
      <c r="T590" s="88"/>
      <c r="U590" s="88"/>
      <c r="V590" s="88"/>
      <c r="Y590" s="91"/>
      <c r="Z590" s="88"/>
    </row>
    <row r="591" spans="6:26" ht="12.5" x14ac:dyDescent="0.25">
      <c r="F591" s="88"/>
      <c r="G591" s="91"/>
      <c r="H591" s="91"/>
      <c r="I591" s="88"/>
      <c r="J591" s="91"/>
      <c r="K591" s="88"/>
      <c r="L591" s="88"/>
      <c r="M591" s="91"/>
      <c r="N591" s="88"/>
      <c r="O591" s="91"/>
      <c r="P591" s="91"/>
      <c r="Q591" s="88"/>
      <c r="R591" s="91"/>
      <c r="S591" s="91"/>
      <c r="T591" s="88"/>
      <c r="U591" s="88"/>
      <c r="V591" s="88"/>
      <c r="Y591" s="91"/>
      <c r="Z591" s="88"/>
    </row>
    <row r="592" spans="6:26" ht="12.5" x14ac:dyDescent="0.25">
      <c r="F592" s="88"/>
      <c r="G592" s="91"/>
      <c r="H592" s="91"/>
      <c r="I592" s="88"/>
      <c r="J592" s="91"/>
      <c r="K592" s="88"/>
      <c r="L592" s="88"/>
      <c r="M592" s="91"/>
      <c r="N592" s="88"/>
      <c r="O592" s="91"/>
      <c r="P592" s="91"/>
      <c r="Q592" s="88"/>
      <c r="R592" s="91"/>
      <c r="S592" s="91"/>
      <c r="T592" s="88"/>
      <c r="U592" s="88"/>
      <c r="V592" s="88"/>
      <c r="Y592" s="91"/>
      <c r="Z592" s="88"/>
    </row>
    <row r="593" spans="6:26" ht="12.5" x14ac:dyDescent="0.25">
      <c r="F593" s="88"/>
      <c r="G593" s="91"/>
      <c r="H593" s="91"/>
      <c r="I593" s="88"/>
      <c r="J593" s="91"/>
      <c r="K593" s="88"/>
      <c r="L593" s="88"/>
      <c r="M593" s="91"/>
      <c r="N593" s="88"/>
      <c r="O593" s="91"/>
      <c r="P593" s="91"/>
      <c r="Q593" s="88"/>
      <c r="R593" s="91"/>
      <c r="S593" s="91"/>
      <c r="T593" s="88"/>
      <c r="U593" s="88"/>
      <c r="V593" s="88"/>
      <c r="Y593" s="91"/>
      <c r="Z593" s="88"/>
    </row>
    <row r="594" spans="6:26" ht="12.5" x14ac:dyDescent="0.25">
      <c r="F594" s="88"/>
      <c r="G594" s="91"/>
      <c r="H594" s="91"/>
      <c r="I594" s="88"/>
      <c r="J594" s="91"/>
      <c r="K594" s="88"/>
      <c r="L594" s="88"/>
      <c r="M594" s="91"/>
      <c r="N594" s="88"/>
      <c r="O594" s="91"/>
      <c r="P594" s="91"/>
      <c r="Q594" s="88"/>
      <c r="R594" s="91"/>
      <c r="S594" s="91"/>
      <c r="T594" s="88"/>
      <c r="U594" s="88"/>
      <c r="V594" s="88"/>
      <c r="Y594" s="91"/>
      <c r="Z594" s="88"/>
    </row>
    <row r="595" spans="6:26" ht="12.5" x14ac:dyDescent="0.25">
      <c r="F595" s="88"/>
      <c r="G595" s="91"/>
      <c r="H595" s="91"/>
      <c r="I595" s="88"/>
      <c r="J595" s="91"/>
      <c r="K595" s="88"/>
      <c r="L595" s="88"/>
      <c r="M595" s="91"/>
      <c r="N595" s="88"/>
      <c r="O595" s="91"/>
      <c r="P595" s="91"/>
      <c r="Q595" s="88"/>
      <c r="R595" s="91"/>
      <c r="S595" s="91"/>
      <c r="T595" s="88"/>
      <c r="U595" s="88"/>
      <c r="V595" s="88"/>
      <c r="Y595" s="91"/>
      <c r="Z595" s="88"/>
    </row>
    <row r="596" spans="6:26" ht="12.5" x14ac:dyDescent="0.25">
      <c r="F596" s="88"/>
      <c r="G596" s="91"/>
      <c r="H596" s="91"/>
      <c r="I596" s="88"/>
      <c r="J596" s="91"/>
      <c r="K596" s="88"/>
      <c r="L596" s="88"/>
      <c r="M596" s="91"/>
      <c r="N596" s="88"/>
      <c r="O596" s="91"/>
      <c r="P596" s="91"/>
      <c r="Q596" s="88"/>
      <c r="R596" s="91"/>
      <c r="S596" s="91"/>
      <c r="T596" s="88"/>
      <c r="U596" s="88"/>
      <c r="V596" s="88"/>
      <c r="Y596" s="91"/>
      <c r="Z596" s="88"/>
    </row>
    <row r="597" spans="6:26" ht="12.5" x14ac:dyDescent="0.25">
      <c r="F597" s="88"/>
      <c r="G597" s="91"/>
      <c r="H597" s="91"/>
      <c r="I597" s="88"/>
      <c r="J597" s="91"/>
      <c r="K597" s="88"/>
      <c r="L597" s="88"/>
      <c r="M597" s="91"/>
      <c r="N597" s="88"/>
      <c r="O597" s="91"/>
      <c r="P597" s="91"/>
      <c r="Q597" s="88"/>
      <c r="R597" s="91"/>
      <c r="S597" s="91"/>
      <c r="T597" s="88"/>
      <c r="U597" s="88"/>
      <c r="V597" s="88"/>
      <c r="Y597" s="91"/>
      <c r="Z597" s="88"/>
    </row>
    <row r="598" spans="6:26" ht="12.5" x14ac:dyDescent="0.25">
      <c r="F598" s="88"/>
      <c r="G598" s="91"/>
      <c r="H598" s="91"/>
      <c r="I598" s="88"/>
      <c r="J598" s="91"/>
      <c r="K598" s="88"/>
      <c r="L598" s="88"/>
      <c r="M598" s="91"/>
      <c r="N598" s="88"/>
      <c r="O598" s="91"/>
      <c r="P598" s="91"/>
      <c r="Q598" s="88"/>
      <c r="R598" s="91"/>
      <c r="S598" s="91"/>
      <c r="T598" s="88"/>
      <c r="U598" s="88"/>
      <c r="V598" s="88"/>
      <c r="Y598" s="91"/>
      <c r="Z598" s="88"/>
    </row>
    <row r="599" spans="6:26" ht="12.5" x14ac:dyDescent="0.25">
      <c r="F599" s="88"/>
      <c r="G599" s="91"/>
      <c r="H599" s="91"/>
      <c r="I599" s="88"/>
      <c r="J599" s="91"/>
      <c r="K599" s="88"/>
      <c r="L599" s="88"/>
      <c r="M599" s="91"/>
      <c r="N599" s="88"/>
      <c r="O599" s="91"/>
      <c r="P599" s="91"/>
      <c r="Q599" s="88"/>
      <c r="R599" s="91"/>
      <c r="S599" s="91"/>
      <c r="T599" s="88"/>
      <c r="U599" s="88"/>
      <c r="V599" s="88"/>
      <c r="Y599" s="91"/>
      <c r="Z599" s="88"/>
    </row>
    <row r="600" spans="6:26" ht="12.5" x14ac:dyDescent="0.25">
      <c r="F600" s="88"/>
      <c r="G600" s="91"/>
      <c r="H600" s="91"/>
      <c r="I600" s="88"/>
      <c r="J600" s="91"/>
      <c r="K600" s="88"/>
      <c r="L600" s="88"/>
      <c r="M600" s="91"/>
      <c r="N600" s="88"/>
      <c r="O600" s="91"/>
      <c r="P600" s="91"/>
      <c r="Q600" s="88"/>
      <c r="R600" s="91"/>
      <c r="S600" s="91"/>
      <c r="T600" s="88"/>
      <c r="U600" s="88"/>
      <c r="V600" s="88"/>
      <c r="Y600" s="91"/>
      <c r="Z600" s="88"/>
    </row>
    <row r="601" spans="6:26" ht="12.5" x14ac:dyDescent="0.25">
      <c r="F601" s="88"/>
      <c r="G601" s="91"/>
      <c r="H601" s="91"/>
      <c r="I601" s="88"/>
      <c r="J601" s="91"/>
      <c r="K601" s="88"/>
      <c r="L601" s="88"/>
      <c r="M601" s="91"/>
      <c r="N601" s="88"/>
      <c r="O601" s="91"/>
      <c r="P601" s="91"/>
      <c r="Q601" s="88"/>
      <c r="R601" s="91"/>
      <c r="S601" s="91"/>
      <c r="T601" s="88"/>
      <c r="U601" s="88"/>
      <c r="V601" s="88"/>
      <c r="Y601" s="91"/>
      <c r="Z601" s="88"/>
    </row>
    <row r="602" spans="6:26" ht="12.5" x14ac:dyDescent="0.25">
      <c r="F602" s="88"/>
      <c r="G602" s="91"/>
      <c r="H602" s="91"/>
      <c r="I602" s="88"/>
      <c r="J602" s="91"/>
      <c r="K602" s="88"/>
      <c r="L602" s="88"/>
      <c r="M602" s="91"/>
      <c r="N602" s="88"/>
      <c r="O602" s="91"/>
      <c r="P602" s="91"/>
      <c r="Q602" s="88"/>
      <c r="R602" s="91"/>
      <c r="S602" s="91"/>
      <c r="T602" s="88"/>
      <c r="U602" s="88"/>
      <c r="V602" s="88"/>
      <c r="Y602" s="91"/>
      <c r="Z602" s="88"/>
    </row>
    <row r="603" spans="6:26" ht="12.5" x14ac:dyDescent="0.25">
      <c r="F603" s="88"/>
      <c r="G603" s="91"/>
      <c r="H603" s="91"/>
      <c r="I603" s="88"/>
      <c r="J603" s="91"/>
      <c r="K603" s="88"/>
      <c r="L603" s="88"/>
      <c r="M603" s="91"/>
      <c r="N603" s="88"/>
      <c r="O603" s="91"/>
      <c r="P603" s="91"/>
      <c r="Q603" s="88"/>
      <c r="R603" s="91"/>
      <c r="S603" s="91"/>
      <c r="T603" s="88"/>
      <c r="U603" s="88"/>
      <c r="V603" s="88"/>
      <c r="Y603" s="91"/>
      <c r="Z603" s="88"/>
    </row>
    <row r="604" spans="6:26" ht="12.5" x14ac:dyDescent="0.25">
      <c r="F604" s="88"/>
      <c r="G604" s="91"/>
      <c r="H604" s="91"/>
      <c r="I604" s="88"/>
      <c r="J604" s="91"/>
      <c r="K604" s="88"/>
      <c r="L604" s="88"/>
      <c r="M604" s="91"/>
      <c r="N604" s="88"/>
      <c r="O604" s="91"/>
      <c r="P604" s="91"/>
      <c r="Q604" s="88"/>
      <c r="R604" s="91"/>
      <c r="S604" s="91"/>
      <c r="T604" s="88"/>
      <c r="U604" s="88"/>
      <c r="V604" s="88"/>
      <c r="Y604" s="91"/>
      <c r="Z604" s="88"/>
    </row>
    <row r="605" spans="6:26" ht="12.5" x14ac:dyDescent="0.25">
      <c r="F605" s="88"/>
      <c r="G605" s="91"/>
      <c r="H605" s="91"/>
      <c r="I605" s="88"/>
      <c r="J605" s="91"/>
      <c r="K605" s="88"/>
      <c r="L605" s="88"/>
      <c r="M605" s="91"/>
      <c r="N605" s="88"/>
      <c r="O605" s="91"/>
      <c r="P605" s="91"/>
      <c r="Q605" s="88"/>
      <c r="R605" s="91"/>
      <c r="S605" s="91"/>
      <c r="T605" s="88"/>
      <c r="U605" s="88"/>
      <c r="V605" s="88"/>
      <c r="Y605" s="91"/>
      <c r="Z605" s="88"/>
    </row>
    <row r="606" spans="6:26" ht="12.5" x14ac:dyDescent="0.25">
      <c r="F606" s="88"/>
      <c r="G606" s="91"/>
      <c r="H606" s="91"/>
      <c r="I606" s="88"/>
      <c r="J606" s="91"/>
      <c r="K606" s="88"/>
      <c r="L606" s="88"/>
      <c r="M606" s="91"/>
      <c r="N606" s="88"/>
      <c r="O606" s="91"/>
      <c r="P606" s="91"/>
      <c r="Q606" s="88"/>
      <c r="R606" s="91"/>
      <c r="S606" s="91"/>
      <c r="T606" s="88"/>
      <c r="U606" s="88"/>
      <c r="V606" s="88"/>
      <c r="Y606" s="91"/>
      <c r="Z606" s="88"/>
    </row>
    <row r="607" spans="6:26" ht="12.5" x14ac:dyDescent="0.25">
      <c r="F607" s="88"/>
      <c r="G607" s="91"/>
      <c r="H607" s="91"/>
      <c r="I607" s="88"/>
      <c r="J607" s="91"/>
      <c r="K607" s="88"/>
      <c r="L607" s="88"/>
      <c r="M607" s="91"/>
      <c r="N607" s="88"/>
      <c r="O607" s="91"/>
      <c r="P607" s="91"/>
      <c r="Q607" s="88"/>
      <c r="R607" s="91"/>
      <c r="S607" s="91"/>
      <c r="T607" s="88"/>
      <c r="U607" s="88"/>
      <c r="V607" s="88"/>
      <c r="Y607" s="91"/>
      <c r="Z607" s="88"/>
    </row>
    <row r="608" spans="6:26" ht="12.5" x14ac:dyDescent="0.25">
      <c r="F608" s="88"/>
      <c r="G608" s="91"/>
      <c r="H608" s="91"/>
      <c r="I608" s="88"/>
      <c r="J608" s="91"/>
      <c r="K608" s="88"/>
      <c r="L608" s="88"/>
      <c r="M608" s="91"/>
      <c r="N608" s="88"/>
      <c r="O608" s="91"/>
      <c r="P608" s="91"/>
      <c r="Q608" s="88"/>
      <c r="R608" s="91"/>
      <c r="S608" s="91"/>
      <c r="T608" s="88"/>
      <c r="U608" s="88"/>
      <c r="V608" s="88"/>
      <c r="Y608" s="91"/>
      <c r="Z608" s="88"/>
    </row>
    <row r="609" spans="6:26" ht="12.5" x14ac:dyDescent="0.25">
      <c r="F609" s="88"/>
      <c r="G609" s="91"/>
      <c r="H609" s="91"/>
      <c r="I609" s="88"/>
      <c r="J609" s="91"/>
      <c r="K609" s="88"/>
      <c r="L609" s="88"/>
      <c r="M609" s="91"/>
      <c r="N609" s="88"/>
      <c r="O609" s="91"/>
      <c r="P609" s="91"/>
      <c r="Q609" s="88"/>
      <c r="R609" s="91"/>
      <c r="S609" s="91"/>
      <c r="T609" s="88"/>
      <c r="U609" s="88"/>
      <c r="V609" s="88"/>
      <c r="Y609" s="91"/>
      <c r="Z609" s="88"/>
    </row>
    <row r="610" spans="6:26" ht="12.5" x14ac:dyDescent="0.25">
      <c r="F610" s="88"/>
      <c r="G610" s="91"/>
      <c r="H610" s="91"/>
      <c r="I610" s="88"/>
      <c r="J610" s="91"/>
      <c r="K610" s="88"/>
      <c r="L610" s="88"/>
      <c r="M610" s="91"/>
      <c r="N610" s="88"/>
      <c r="O610" s="91"/>
      <c r="P610" s="91"/>
      <c r="Q610" s="88"/>
      <c r="R610" s="91"/>
      <c r="S610" s="91"/>
      <c r="T610" s="88"/>
      <c r="U610" s="88"/>
      <c r="V610" s="88"/>
      <c r="Y610" s="91"/>
      <c r="Z610" s="88"/>
    </row>
    <row r="611" spans="6:26" ht="12.5" x14ac:dyDescent="0.25">
      <c r="F611" s="88"/>
      <c r="G611" s="91"/>
      <c r="H611" s="91"/>
      <c r="I611" s="88"/>
      <c r="J611" s="91"/>
      <c r="K611" s="88"/>
      <c r="L611" s="88"/>
      <c r="M611" s="91"/>
      <c r="N611" s="88"/>
      <c r="O611" s="91"/>
      <c r="P611" s="91"/>
      <c r="Q611" s="88"/>
      <c r="R611" s="91"/>
      <c r="S611" s="91"/>
      <c r="T611" s="88"/>
      <c r="U611" s="88"/>
      <c r="V611" s="88"/>
      <c r="Y611" s="91"/>
      <c r="Z611" s="88"/>
    </row>
    <row r="612" spans="6:26" ht="12.5" x14ac:dyDescent="0.25">
      <c r="F612" s="88"/>
      <c r="G612" s="91"/>
      <c r="H612" s="91"/>
      <c r="I612" s="88"/>
      <c r="J612" s="91"/>
      <c r="K612" s="88"/>
      <c r="L612" s="88"/>
      <c r="M612" s="91"/>
      <c r="N612" s="88"/>
      <c r="O612" s="91"/>
      <c r="P612" s="91"/>
      <c r="Q612" s="88"/>
      <c r="R612" s="91"/>
      <c r="S612" s="91"/>
      <c r="T612" s="88"/>
      <c r="U612" s="88"/>
      <c r="V612" s="88"/>
      <c r="Y612" s="91"/>
      <c r="Z612" s="88"/>
    </row>
    <row r="613" spans="6:26" ht="12.5" x14ac:dyDescent="0.25">
      <c r="F613" s="88"/>
      <c r="G613" s="91"/>
      <c r="H613" s="91"/>
      <c r="I613" s="88"/>
      <c r="J613" s="91"/>
      <c r="K613" s="88"/>
      <c r="L613" s="88"/>
      <c r="M613" s="91"/>
      <c r="N613" s="88"/>
      <c r="O613" s="91"/>
      <c r="P613" s="91"/>
      <c r="Q613" s="88"/>
      <c r="R613" s="91"/>
      <c r="S613" s="91"/>
      <c r="T613" s="88"/>
      <c r="U613" s="88"/>
      <c r="V613" s="88"/>
      <c r="Y613" s="91"/>
      <c r="Z613" s="88"/>
    </row>
    <row r="614" spans="6:26" ht="12.5" x14ac:dyDescent="0.25">
      <c r="F614" s="88"/>
      <c r="G614" s="91"/>
      <c r="H614" s="91"/>
      <c r="I614" s="88"/>
      <c r="J614" s="91"/>
      <c r="K614" s="88"/>
      <c r="L614" s="88"/>
      <c r="M614" s="91"/>
      <c r="N614" s="88"/>
      <c r="O614" s="91"/>
      <c r="P614" s="91"/>
      <c r="Q614" s="88"/>
      <c r="R614" s="91"/>
      <c r="S614" s="91"/>
      <c r="T614" s="88"/>
      <c r="U614" s="88"/>
      <c r="V614" s="88"/>
      <c r="Y614" s="91"/>
      <c r="Z614" s="88"/>
    </row>
    <row r="615" spans="6:26" ht="12.5" x14ac:dyDescent="0.25">
      <c r="F615" s="88"/>
      <c r="G615" s="91"/>
      <c r="H615" s="91"/>
      <c r="I615" s="88"/>
      <c r="J615" s="91"/>
      <c r="K615" s="88"/>
      <c r="L615" s="88"/>
      <c r="M615" s="91"/>
      <c r="N615" s="88"/>
      <c r="O615" s="91"/>
      <c r="P615" s="91"/>
      <c r="Q615" s="88"/>
      <c r="R615" s="91"/>
      <c r="S615" s="91"/>
      <c r="T615" s="88"/>
      <c r="U615" s="88"/>
      <c r="V615" s="88"/>
      <c r="Y615" s="91"/>
      <c r="Z615" s="88"/>
    </row>
    <row r="616" spans="6:26" ht="12.5" x14ac:dyDescent="0.25">
      <c r="F616" s="88"/>
      <c r="G616" s="91"/>
      <c r="H616" s="91"/>
      <c r="I616" s="88"/>
      <c r="J616" s="91"/>
      <c r="K616" s="88"/>
      <c r="L616" s="88"/>
      <c r="M616" s="91"/>
      <c r="N616" s="88"/>
      <c r="O616" s="91"/>
      <c r="P616" s="91"/>
      <c r="Q616" s="88"/>
      <c r="R616" s="91"/>
      <c r="S616" s="91"/>
      <c r="T616" s="88"/>
      <c r="U616" s="88"/>
      <c r="V616" s="88"/>
      <c r="Y616" s="91"/>
      <c r="Z616" s="88"/>
    </row>
    <row r="617" spans="6:26" ht="12.5" x14ac:dyDescent="0.25">
      <c r="F617" s="88"/>
      <c r="G617" s="91"/>
      <c r="H617" s="91"/>
      <c r="I617" s="88"/>
      <c r="J617" s="91"/>
      <c r="K617" s="88"/>
      <c r="L617" s="88"/>
      <c r="M617" s="91"/>
      <c r="N617" s="88"/>
      <c r="O617" s="91"/>
      <c r="P617" s="91"/>
      <c r="Q617" s="88"/>
      <c r="R617" s="91"/>
      <c r="S617" s="91"/>
      <c r="T617" s="88"/>
      <c r="U617" s="88"/>
      <c r="V617" s="88"/>
      <c r="Y617" s="91"/>
      <c r="Z617" s="88"/>
    </row>
    <row r="618" spans="6:26" ht="12.5" x14ac:dyDescent="0.25">
      <c r="F618" s="88"/>
      <c r="G618" s="91"/>
      <c r="H618" s="91"/>
      <c r="I618" s="88"/>
      <c r="J618" s="91"/>
      <c r="K618" s="88"/>
      <c r="L618" s="88"/>
      <c r="M618" s="91"/>
      <c r="N618" s="88"/>
      <c r="O618" s="91"/>
      <c r="P618" s="91"/>
      <c r="Q618" s="88"/>
      <c r="R618" s="91"/>
      <c r="S618" s="91"/>
      <c r="T618" s="88"/>
      <c r="U618" s="88"/>
      <c r="V618" s="88"/>
      <c r="Y618" s="91"/>
      <c r="Z618" s="88"/>
    </row>
    <row r="619" spans="6:26" ht="12.5" x14ac:dyDescent="0.25">
      <c r="F619" s="88"/>
      <c r="G619" s="91"/>
      <c r="H619" s="91"/>
      <c r="I619" s="88"/>
      <c r="J619" s="91"/>
      <c r="K619" s="88"/>
      <c r="L619" s="88"/>
      <c r="M619" s="91"/>
      <c r="N619" s="88"/>
      <c r="O619" s="91"/>
      <c r="P619" s="91"/>
      <c r="Q619" s="88"/>
      <c r="R619" s="91"/>
      <c r="S619" s="91"/>
      <c r="T619" s="88"/>
      <c r="U619" s="88"/>
      <c r="V619" s="88"/>
      <c r="Y619" s="91"/>
      <c r="Z619" s="88"/>
    </row>
    <row r="620" spans="6:26" ht="12.5" x14ac:dyDescent="0.25">
      <c r="F620" s="88"/>
      <c r="G620" s="91"/>
      <c r="H620" s="91"/>
      <c r="I620" s="88"/>
      <c r="J620" s="91"/>
      <c r="K620" s="88"/>
      <c r="L620" s="88"/>
      <c r="M620" s="91"/>
      <c r="N620" s="88"/>
      <c r="O620" s="91"/>
      <c r="P620" s="91"/>
      <c r="Q620" s="88"/>
      <c r="R620" s="91"/>
      <c r="S620" s="91"/>
      <c r="T620" s="88"/>
      <c r="U620" s="88"/>
      <c r="V620" s="88"/>
      <c r="Y620" s="91"/>
      <c r="Z620" s="88"/>
    </row>
    <row r="621" spans="6:26" ht="12.5" x14ac:dyDescent="0.25">
      <c r="F621" s="88"/>
      <c r="G621" s="91"/>
      <c r="H621" s="91"/>
      <c r="I621" s="88"/>
      <c r="J621" s="91"/>
      <c r="K621" s="88"/>
      <c r="L621" s="88"/>
      <c r="M621" s="91"/>
      <c r="N621" s="88"/>
      <c r="O621" s="91"/>
      <c r="P621" s="91"/>
      <c r="Q621" s="88"/>
      <c r="R621" s="91"/>
      <c r="S621" s="91"/>
      <c r="T621" s="88"/>
      <c r="U621" s="88"/>
      <c r="V621" s="88"/>
      <c r="Y621" s="91"/>
      <c r="Z621" s="88"/>
    </row>
    <row r="622" spans="6:26" ht="12.5" x14ac:dyDescent="0.25">
      <c r="F622" s="88"/>
      <c r="G622" s="91"/>
      <c r="H622" s="91"/>
      <c r="I622" s="88"/>
      <c r="J622" s="91"/>
      <c r="K622" s="88"/>
      <c r="L622" s="88"/>
      <c r="M622" s="91"/>
      <c r="N622" s="88"/>
      <c r="O622" s="91"/>
      <c r="P622" s="91"/>
      <c r="Q622" s="88"/>
      <c r="R622" s="91"/>
      <c r="S622" s="91"/>
      <c r="T622" s="88"/>
      <c r="U622" s="88"/>
      <c r="V622" s="88"/>
      <c r="Y622" s="91"/>
      <c r="Z622" s="88"/>
    </row>
    <row r="623" spans="6:26" ht="12.5" x14ac:dyDescent="0.25">
      <c r="F623" s="88"/>
      <c r="G623" s="91"/>
      <c r="H623" s="91"/>
      <c r="I623" s="88"/>
      <c r="J623" s="91"/>
      <c r="K623" s="88"/>
      <c r="L623" s="88"/>
      <c r="M623" s="91"/>
      <c r="N623" s="88"/>
      <c r="O623" s="91"/>
      <c r="P623" s="91"/>
      <c r="Q623" s="88"/>
      <c r="R623" s="91"/>
      <c r="S623" s="91"/>
      <c r="T623" s="88"/>
      <c r="U623" s="88"/>
      <c r="V623" s="88"/>
      <c r="Y623" s="91"/>
      <c r="Z623" s="88"/>
    </row>
    <row r="624" spans="6:26" ht="12.5" x14ac:dyDescent="0.25">
      <c r="F624" s="88"/>
      <c r="G624" s="91"/>
      <c r="H624" s="91"/>
      <c r="I624" s="88"/>
      <c r="J624" s="91"/>
      <c r="K624" s="88"/>
      <c r="L624" s="88"/>
      <c r="M624" s="91"/>
      <c r="N624" s="88"/>
      <c r="O624" s="91"/>
      <c r="P624" s="91"/>
      <c r="Q624" s="88"/>
      <c r="R624" s="91"/>
      <c r="S624" s="91"/>
      <c r="T624" s="88"/>
      <c r="U624" s="88"/>
      <c r="V624" s="88"/>
      <c r="Y624" s="91"/>
      <c r="Z624" s="88"/>
    </row>
    <row r="625" spans="6:26" ht="12.5" x14ac:dyDescent="0.25">
      <c r="F625" s="88"/>
      <c r="G625" s="91"/>
      <c r="H625" s="91"/>
      <c r="I625" s="88"/>
      <c r="J625" s="91"/>
      <c r="K625" s="88"/>
      <c r="L625" s="88"/>
      <c r="M625" s="91"/>
      <c r="N625" s="88"/>
      <c r="O625" s="91"/>
      <c r="P625" s="91"/>
      <c r="Q625" s="88"/>
      <c r="R625" s="91"/>
      <c r="S625" s="91"/>
      <c r="T625" s="88"/>
      <c r="U625" s="88"/>
      <c r="V625" s="88"/>
      <c r="Y625" s="91"/>
      <c r="Z625" s="88"/>
    </row>
    <row r="626" spans="6:26" ht="12.5" x14ac:dyDescent="0.25">
      <c r="F626" s="88"/>
      <c r="G626" s="91"/>
      <c r="H626" s="91"/>
      <c r="I626" s="88"/>
      <c r="J626" s="91"/>
      <c r="K626" s="88"/>
      <c r="L626" s="88"/>
      <c r="M626" s="91"/>
      <c r="N626" s="88"/>
      <c r="O626" s="91"/>
      <c r="P626" s="91"/>
      <c r="Q626" s="88"/>
      <c r="R626" s="91"/>
      <c r="S626" s="91"/>
      <c r="T626" s="88"/>
      <c r="U626" s="88"/>
      <c r="V626" s="88"/>
      <c r="Y626" s="91"/>
      <c r="Z626" s="88"/>
    </row>
    <row r="627" spans="6:26" ht="12.5" x14ac:dyDescent="0.25">
      <c r="F627" s="88"/>
      <c r="G627" s="91"/>
      <c r="H627" s="91"/>
      <c r="I627" s="88"/>
      <c r="J627" s="91"/>
      <c r="K627" s="88"/>
      <c r="L627" s="88"/>
      <c r="M627" s="91"/>
      <c r="N627" s="88"/>
      <c r="O627" s="91"/>
      <c r="P627" s="91"/>
      <c r="Q627" s="88"/>
      <c r="R627" s="91"/>
      <c r="S627" s="91"/>
      <c r="T627" s="88"/>
      <c r="U627" s="88"/>
      <c r="V627" s="88"/>
      <c r="Y627" s="91"/>
      <c r="Z627" s="88"/>
    </row>
    <row r="628" spans="6:26" ht="12.5" x14ac:dyDescent="0.25">
      <c r="F628" s="88"/>
      <c r="G628" s="91"/>
      <c r="H628" s="91"/>
      <c r="I628" s="88"/>
      <c r="J628" s="91"/>
      <c r="K628" s="88"/>
      <c r="L628" s="88"/>
      <c r="M628" s="91"/>
      <c r="N628" s="88"/>
      <c r="O628" s="91"/>
      <c r="P628" s="91"/>
      <c r="Q628" s="88"/>
      <c r="R628" s="91"/>
      <c r="S628" s="91"/>
      <c r="T628" s="88"/>
      <c r="U628" s="88"/>
      <c r="V628" s="88"/>
      <c r="Y628" s="91"/>
      <c r="Z628" s="88"/>
    </row>
    <row r="629" spans="6:26" ht="12.5" x14ac:dyDescent="0.25">
      <c r="F629" s="88"/>
      <c r="G629" s="91"/>
      <c r="H629" s="91"/>
      <c r="I629" s="88"/>
      <c r="J629" s="91"/>
      <c r="K629" s="88"/>
      <c r="L629" s="88"/>
      <c r="M629" s="91"/>
      <c r="N629" s="88"/>
      <c r="O629" s="91"/>
      <c r="P629" s="91"/>
      <c r="Q629" s="88"/>
      <c r="R629" s="91"/>
      <c r="S629" s="91"/>
      <c r="T629" s="88"/>
      <c r="U629" s="88"/>
      <c r="V629" s="88"/>
      <c r="Y629" s="91"/>
      <c r="Z629" s="88"/>
    </row>
    <row r="630" spans="6:26" ht="12.5" x14ac:dyDescent="0.25">
      <c r="F630" s="88"/>
      <c r="G630" s="91"/>
      <c r="H630" s="91"/>
      <c r="I630" s="88"/>
      <c r="J630" s="91"/>
      <c r="K630" s="88"/>
      <c r="L630" s="88"/>
      <c r="M630" s="91"/>
      <c r="N630" s="88"/>
      <c r="O630" s="91"/>
      <c r="P630" s="91"/>
      <c r="Q630" s="88"/>
      <c r="R630" s="91"/>
      <c r="S630" s="91"/>
      <c r="T630" s="88"/>
      <c r="U630" s="88"/>
      <c r="V630" s="88"/>
      <c r="Y630" s="91"/>
      <c r="Z630" s="88"/>
    </row>
    <row r="631" spans="6:26" ht="12.5" x14ac:dyDescent="0.25">
      <c r="F631" s="88"/>
      <c r="G631" s="91"/>
      <c r="H631" s="91"/>
      <c r="I631" s="88"/>
      <c r="J631" s="91"/>
      <c r="K631" s="88"/>
      <c r="L631" s="88"/>
      <c r="M631" s="91"/>
      <c r="N631" s="88"/>
      <c r="O631" s="91"/>
      <c r="P631" s="91"/>
      <c r="Q631" s="88"/>
      <c r="R631" s="91"/>
      <c r="S631" s="91"/>
      <c r="T631" s="88"/>
      <c r="U631" s="88"/>
      <c r="V631" s="88"/>
      <c r="Y631" s="91"/>
      <c r="Z631" s="88"/>
    </row>
    <row r="632" spans="6:26" ht="12.5" x14ac:dyDescent="0.25">
      <c r="F632" s="88"/>
      <c r="G632" s="91"/>
      <c r="H632" s="91"/>
      <c r="I632" s="88"/>
      <c r="J632" s="91"/>
      <c r="K632" s="88"/>
      <c r="L632" s="88"/>
      <c r="M632" s="91"/>
      <c r="N632" s="88"/>
      <c r="O632" s="91"/>
      <c r="P632" s="91"/>
      <c r="Q632" s="88"/>
      <c r="R632" s="91"/>
      <c r="S632" s="91"/>
      <c r="T632" s="88"/>
      <c r="U632" s="88"/>
      <c r="V632" s="88"/>
      <c r="Y632" s="91"/>
      <c r="Z632" s="88"/>
    </row>
    <row r="633" spans="6:26" ht="12.5" x14ac:dyDescent="0.25">
      <c r="F633" s="88"/>
      <c r="G633" s="91"/>
      <c r="H633" s="91"/>
      <c r="I633" s="88"/>
      <c r="J633" s="91"/>
      <c r="K633" s="88"/>
      <c r="L633" s="88"/>
      <c r="M633" s="91"/>
      <c r="N633" s="88"/>
      <c r="O633" s="91"/>
      <c r="P633" s="91"/>
      <c r="Q633" s="88"/>
      <c r="R633" s="91"/>
      <c r="S633" s="91"/>
      <c r="T633" s="88"/>
      <c r="U633" s="88"/>
      <c r="V633" s="88"/>
      <c r="Y633" s="91"/>
      <c r="Z633" s="88"/>
    </row>
    <row r="634" spans="6:26" ht="12.5" x14ac:dyDescent="0.25">
      <c r="F634" s="88"/>
      <c r="G634" s="91"/>
      <c r="H634" s="91"/>
      <c r="I634" s="88"/>
      <c r="J634" s="91"/>
      <c r="K634" s="88"/>
      <c r="L634" s="88"/>
      <c r="M634" s="91"/>
      <c r="N634" s="88"/>
      <c r="O634" s="91"/>
      <c r="P634" s="91"/>
      <c r="Q634" s="88"/>
      <c r="R634" s="91"/>
      <c r="S634" s="91"/>
      <c r="T634" s="88"/>
      <c r="U634" s="88"/>
      <c r="V634" s="88"/>
      <c r="Y634" s="91"/>
      <c r="Z634" s="88"/>
    </row>
    <row r="635" spans="6:26" ht="12.5" x14ac:dyDescent="0.25">
      <c r="F635" s="88"/>
      <c r="G635" s="91"/>
      <c r="H635" s="91"/>
      <c r="I635" s="88"/>
      <c r="J635" s="91"/>
      <c r="K635" s="88"/>
      <c r="L635" s="88"/>
      <c r="M635" s="91"/>
      <c r="N635" s="88"/>
      <c r="O635" s="91"/>
      <c r="P635" s="91"/>
      <c r="Q635" s="88"/>
      <c r="R635" s="91"/>
      <c r="S635" s="91"/>
      <c r="T635" s="88"/>
      <c r="U635" s="88"/>
      <c r="V635" s="88"/>
      <c r="Y635" s="91"/>
      <c r="Z635" s="88"/>
    </row>
    <row r="636" spans="6:26" ht="12.5" x14ac:dyDescent="0.25">
      <c r="F636" s="88"/>
      <c r="G636" s="91"/>
      <c r="H636" s="91"/>
      <c r="I636" s="88"/>
      <c r="J636" s="91"/>
      <c r="K636" s="88"/>
      <c r="L636" s="88"/>
      <c r="M636" s="91"/>
      <c r="N636" s="88"/>
      <c r="O636" s="91"/>
      <c r="P636" s="91"/>
      <c r="Q636" s="88"/>
      <c r="R636" s="91"/>
      <c r="S636" s="91"/>
      <c r="T636" s="88"/>
      <c r="U636" s="88"/>
      <c r="V636" s="88"/>
      <c r="Y636" s="91"/>
      <c r="Z636" s="88"/>
    </row>
    <row r="637" spans="6:26" ht="12.5" x14ac:dyDescent="0.25">
      <c r="F637" s="88"/>
      <c r="G637" s="91"/>
      <c r="H637" s="91"/>
      <c r="I637" s="88"/>
      <c r="J637" s="91"/>
      <c r="K637" s="88"/>
      <c r="L637" s="88"/>
      <c r="M637" s="91"/>
      <c r="N637" s="88"/>
      <c r="O637" s="91"/>
      <c r="P637" s="91"/>
      <c r="Q637" s="88"/>
      <c r="R637" s="91"/>
      <c r="S637" s="91"/>
      <c r="T637" s="88"/>
      <c r="U637" s="88"/>
      <c r="V637" s="88"/>
      <c r="Y637" s="91"/>
      <c r="Z637" s="88"/>
    </row>
    <row r="638" spans="6:26" ht="12.5" x14ac:dyDescent="0.25">
      <c r="F638" s="88"/>
      <c r="G638" s="91"/>
      <c r="H638" s="91"/>
      <c r="I638" s="88"/>
      <c r="J638" s="91"/>
      <c r="K638" s="88"/>
      <c r="L638" s="88"/>
      <c r="M638" s="91"/>
      <c r="N638" s="88"/>
      <c r="O638" s="91"/>
      <c r="P638" s="91"/>
      <c r="Q638" s="88"/>
      <c r="R638" s="91"/>
      <c r="S638" s="91"/>
      <c r="T638" s="88"/>
      <c r="U638" s="88"/>
      <c r="V638" s="88"/>
      <c r="Y638" s="91"/>
      <c r="Z638" s="88"/>
    </row>
    <row r="639" spans="6:26" ht="12.5" x14ac:dyDescent="0.25">
      <c r="F639" s="88"/>
      <c r="G639" s="91"/>
      <c r="H639" s="91"/>
      <c r="I639" s="88"/>
      <c r="J639" s="91"/>
      <c r="K639" s="88"/>
      <c r="L639" s="88"/>
      <c r="M639" s="91"/>
      <c r="N639" s="88"/>
      <c r="O639" s="91"/>
      <c r="P639" s="91"/>
      <c r="Q639" s="88"/>
      <c r="R639" s="91"/>
      <c r="S639" s="91"/>
      <c r="T639" s="88"/>
      <c r="U639" s="88"/>
      <c r="V639" s="88"/>
      <c r="Y639" s="91"/>
      <c r="Z639" s="88"/>
    </row>
    <row r="640" spans="6:26" ht="12.5" x14ac:dyDescent="0.25">
      <c r="F640" s="88"/>
      <c r="G640" s="91"/>
      <c r="H640" s="91"/>
      <c r="I640" s="88"/>
      <c r="J640" s="91"/>
      <c r="K640" s="88"/>
      <c r="L640" s="88"/>
      <c r="M640" s="91"/>
      <c r="N640" s="88"/>
      <c r="O640" s="91"/>
      <c r="P640" s="91"/>
      <c r="Q640" s="88"/>
      <c r="R640" s="91"/>
      <c r="S640" s="91"/>
      <c r="T640" s="88"/>
      <c r="U640" s="88"/>
      <c r="V640" s="88"/>
      <c r="Y640" s="91"/>
      <c r="Z640" s="88"/>
    </row>
    <row r="641" spans="6:26" ht="12.5" x14ac:dyDescent="0.25">
      <c r="F641" s="88"/>
      <c r="G641" s="91"/>
      <c r="H641" s="91"/>
      <c r="I641" s="88"/>
      <c r="J641" s="91"/>
      <c r="K641" s="88"/>
      <c r="L641" s="88"/>
      <c r="M641" s="91"/>
      <c r="N641" s="88"/>
      <c r="O641" s="91"/>
      <c r="P641" s="91"/>
      <c r="Q641" s="88"/>
      <c r="R641" s="91"/>
      <c r="S641" s="91"/>
      <c r="T641" s="88"/>
      <c r="U641" s="88"/>
      <c r="V641" s="88"/>
      <c r="Y641" s="91"/>
      <c r="Z641" s="88"/>
    </row>
    <row r="642" spans="6:26" ht="12.5" x14ac:dyDescent="0.25">
      <c r="F642" s="88"/>
      <c r="G642" s="91"/>
      <c r="H642" s="91"/>
      <c r="I642" s="88"/>
      <c r="J642" s="91"/>
      <c r="K642" s="88"/>
      <c r="L642" s="88"/>
      <c r="M642" s="91"/>
      <c r="N642" s="88"/>
      <c r="O642" s="91"/>
      <c r="P642" s="91"/>
      <c r="Q642" s="88"/>
      <c r="R642" s="91"/>
      <c r="S642" s="91"/>
      <c r="T642" s="88"/>
      <c r="U642" s="88"/>
      <c r="V642" s="88"/>
      <c r="Y642" s="91"/>
      <c r="Z642" s="88"/>
    </row>
    <row r="643" spans="6:26" ht="12.5" x14ac:dyDescent="0.25">
      <c r="F643" s="88"/>
      <c r="G643" s="91"/>
      <c r="H643" s="91"/>
      <c r="I643" s="88"/>
      <c r="J643" s="91"/>
      <c r="K643" s="88"/>
      <c r="L643" s="88"/>
      <c r="M643" s="91"/>
      <c r="N643" s="88"/>
      <c r="O643" s="91"/>
      <c r="P643" s="91"/>
      <c r="Q643" s="88"/>
      <c r="R643" s="91"/>
      <c r="S643" s="91"/>
      <c r="T643" s="88"/>
      <c r="U643" s="88"/>
      <c r="V643" s="88"/>
      <c r="Y643" s="91"/>
      <c r="Z643" s="88"/>
    </row>
    <row r="644" spans="6:26" ht="12.5" x14ac:dyDescent="0.25">
      <c r="F644" s="88"/>
      <c r="G644" s="91"/>
      <c r="H644" s="91"/>
      <c r="I644" s="88"/>
      <c r="J644" s="91"/>
      <c r="K644" s="88"/>
      <c r="L644" s="88"/>
      <c r="M644" s="91"/>
      <c r="N644" s="88"/>
      <c r="O644" s="91"/>
      <c r="P644" s="91"/>
      <c r="Q644" s="88"/>
      <c r="R644" s="91"/>
      <c r="S644" s="91"/>
      <c r="T644" s="88"/>
      <c r="U644" s="88"/>
      <c r="V644" s="88"/>
      <c r="Y644" s="91"/>
      <c r="Z644" s="88"/>
    </row>
    <row r="645" spans="6:26" ht="12.5" x14ac:dyDescent="0.25">
      <c r="F645" s="88"/>
      <c r="G645" s="91"/>
      <c r="H645" s="91"/>
      <c r="I645" s="88"/>
      <c r="J645" s="91"/>
      <c r="K645" s="88"/>
      <c r="L645" s="88"/>
      <c r="M645" s="91"/>
      <c r="N645" s="88"/>
      <c r="O645" s="91"/>
      <c r="P645" s="91"/>
      <c r="Q645" s="88"/>
      <c r="R645" s="91"/>
      <c r="S645" s="91"/>
      <c r="T645" s="88"/>
      <c r="U645" s="88"/>
      <c r="V645" s="88"/>
      <c r="Y645" s="91"/>
      <c r="Z645" s="88"/>
    </row>
    <row r="646" spans="6:26" ht="12.5" x14ac:dyDescent="0.25">
      <c r="F646" s="88"/>
      <c r="G646" s="91"/>
      <c r="H646" s="91"/>
      <c r="I646" s="88"/>
      <c r="J646" s="91"/>
      <c r="K646" s="88"/>
      <c r="L646" s="88"/>
      <c r="M646" s="91"/>
      <c r="N646" s="88"/>
      <c r="O646" s="91"/>
      <c r="P646" s="91"/>
      <c r="Q646" s="88"/>
      <c r="R646" s="91"/>
      <c r="S646" s="91"/>
      <c r="T646" s="88"/>
      <c r="U646" s="88"/>
      <c r="V646" s="88"/>
      <c r="Y646" s="91"/>
      <c r="Z646" s="88"/>
    </row>
    <row r="647" spans="6:26" ht="12.5" x14ac:dyDescent="0.25">
      <c r="F647" s="88"/>
      <c r="G647" s="91"/>
      <c r="H647" s="91"/>
      <c r="I647" s="88"/>
      <c r="J647" s="91"/>
      <c r="K647" s="88"/>
      <c r="L647" s="88"/>
      <c r="M647" s="91"/>
      <c r="N647" s="88"/>
      <c r="O647" s="91"/>
      <c r="P647" s="91"/>
      <c r="Q647" s="88"/>
      <c r="R647" s="91"/>
      <c r="S647" s="91"/>
      <c r="T647" s="88"/>
      <c r="U647" s="88"/>
      <c r="V647" s="88"/>
      <c r="Y647" s="91"/>
      <c r="Z647" s="88"/>
    </row>
    <row r="648" spans="6:26" ht="12.5" x14ac:dyDescent="0.25">
      <c r="F648" s="88"/>
      <c r="G648" s="91"/>
      <c r="H648" s="91"/>
      <c r="I648" s="88"/>
      <c r="J648" s="91"/>
      <c r="K648" s="88"/>
      <c r="L648" s="88"/>
      <c r="M648" s="91"/>
      <c r="N648" s="88"/>
      <c r="O648" s="91"/>
      <c r="P648" s="91"/>
      <c r="Q648" s="88"/>
      <c r="R648" s="91"/>
      <c r="S648" s="91"/>
      <c r="T648" s="88"/>
      <c r="U648" s="88"/>
      <c r="V648" s="88"/>
      <c r="Y648" s="91"/>
      <c r="Z648" s="88"/>
    </row>
    <row r="649" spans="6:26" ht="12.5" x14ac:dyDescent="0.25">
      <c r="F649" s="88"/>
      <c r="G649" s="91"/>
      <c r="H649" s="91"/>
      <c r="I649" s="88"/>
      <c r="J649" s="91"/>
      <c r="K649" s="88"/>
      <c r="L649" s="88"/>
      <c r="M649" s="91"/>
      <c r="N649" s="88"/>
      <c r="O649" s="91"/>
      <c r="P649" s="91"/>
      <c r="Q649" s="88"/>
      <c r="R649" s="91"/>
      <c r="S649" s="91"/>
      <c r="T649" s="88"/>
      <c r="U649" s="88"/>
      <c r="V649" s="88"/>
      <c r="Y649" s="91"/>
      <c r="Z649" s="88"/>
    </row>
    <row r="650" spans="6:26" ht="12.5" x14ac:dyDescent="0.25">
      <c r="F650" s="88"/>
      <c r="G650" s="91"/>
      <c r="H650" s="91"/>
      <c r="I650" s="88"/>
      <c r="J650" s="91"/>
      <c r="K650" s="88"/>
      <c r="L650" s="88"/>
      <c r="M650" s="91"/>
      <c r="N650" s="88"/>
      <c r="O650" s="91"/>
      <c r="P650" s="91"/>
      <c r="Q650" s="88"/>
      <c r="R650" s="91"/>
      <c r="S650" s="91"/>
      <c r="T650" s="88"/>
      <c r="U650" s="88"/>
      <c r="V650" s="88"/>
      <c r="Y650" s="91"/>
      <c r="Z650" s="88"/>
    </row>
    <row r="651" spans="6:26" ht="12.5" x14ac:dyDescent="0.25">
      <c r="F651" s="88"/>
      <c r="G651" s="91"/>
      <c r="H651" s="91"/>
      <c r="I651" s="88"/>
      <c r="J651" s="91"/>
      <c r="K651" s="88"/>
      <c r="L651" s="88"/>
      <c r="M651" s="91"/>
      <c r="N651" s="88"/>
      <c r="O651" s="91"/>
      <c r="P651" s="91"/>
      <c r="Q651" s="88"/>
      <c r="R651" s="91"/>
      <c r="S651" s="91"/>
      <c r="T651" s="88"/>
      <c r="U651" s="88"/>
      <c r="V651" s="88"/>
      <c r="Y651" s="91"/>
      <c r="Z651" s="88"/>
    </row>
    <row r="652" spans="6:26" ht="12.5" x14ac:dyDescent="0.25">
      <c r="F652" s="88"/>
      <c r="G652" s="91"/>
      <c r="H652" s="91"/>
      <c r="I652" s="88"/>
      <c r="J652" s="91"/>
      <c r="K652" s="88"/>
      <c r="L652" s="88"/>
      <c r="M652" s="91"/>
      <c r="N652" s="88"/>
      <c r="O652" s="91"/>
      <c r="P652" s="91"/>
      <c r="Q652" s="88"/>
      <c r="R652" s="91"/>
      <c r="S652" s="91"/>
      <c r="T652" s="88"/>
      <c r="U652" s="88"/>
      <c r="V652" s="88"/>
      <c r="Y652" s="91"/>
      <c r="Z652" s="88"/>
    </row>
    <row r="653" spans="6:26" ht="12.5" x14ac:dyDescent="0.25">
      <c r="F653" s="88"/>
      <c r="G653" s="91"/>
      <c r="H653" s="91"/>
      <c r="I653" s="88"/>
      <c r="J653" s="91"/>
      <c r="K653" s="88"/>
      <c r="L653" s="88"/>
      <c r="M653" s="91"/>
      <c r="N653" s="88"/>
      <c r="O653" s="91"/>
      <c r="P653" s="91"/>
      <c r="Q653" s="88"/>
      <c r="R653" s="91"/>
      <c r="S653" s="91"/>
      <c r="T653" s="88"/>
      <c r="U653" s="88"/>
      <c r="V653" s="88"/>
      <c r="Y653" s="91"/>
      <c r="Z653" s="88"/>
    </row>
    <row r="654" spans="6:26" ht="12.5" x14ac:dyDescent="0.25">
      <c r="F654" s="88"/>
      <c r="G654" s="91"/>
      <c r="H654" s="91"/>
      <c r="I654" s="88"/>
      <c r="J654" s="91"/>
      <c r="K654" s="88"/>
      <c r="L654" s="88"/>
      <c r="M654" s="91"/>
      <c r="N654" s="88"/>
      <c r="O654" s="91"/>
      <c r="P654" s="91"/>
      <c r="Q654" s="88"/>
      <c r="R654" s="91"/>
      <c r="S654" s="91"/>
      <c r="T654" s="88"/>
      <c r="U654" s="88"/>
      <c r="V654" s="88"/>
      <c r="Y654" s="91"/>
      <c r="Z654" s="88"/>
    </row>
    <row r="655" spans="6:26" ht="12.5" x14ac:dyDescent="0.25">
      <c r="F655" s="88"/>
      <c r="G655" s="91"/>
      <c r="H655" s="91"/>
      <c r="I655" s="88"/>
      <c r="J655" s="91"/>
      <c r="K655" s="88"/>
      <c r="L655" s="88"/>
      <c r="M655" s="91"/>
      <c r="N655" s="88"/>
      <c r="O655" s="91"/>
      <c r="P655" s="91"/>
      <c r="Q655" s="88"/>
      <c r="R655" s="91"/>
      <c r="S655" s="91"/>
      <c r="T655" s="88"/>
      <c r="U655" s="88"/>
      <c r="V655" s="88"/>
      <c r="Y655" s="91"/>
      <c r="Z655" s="88"/>
    </row>
    <row r="656" spans="6:26" ht="12.5" x14ac:dyDescent="0.25">
      <c r="F656" s="88"/>
      <c r="G656" s="91"/>
      <c r="H656" s="91"/>
      <c r="I656" s="88"/>
      <c r="J656" s="91"/>
      <c r="K656" s="88"/>
      <c r="L656" s="88"/>
      <c r="M656" s="91"/>
      <c r="N656" s="88"/>
      <c r="O656" s="91"/>
      <c r="P656" s="91"/>
      <c r="Q656" s="88"/>
      <c r="R656" s="91"/>
      <c r="S656" s="91"/>
      <c r="T656" s="88"/>
      <c r="U656" s="88"/>
      <c r="V656" s="88"/>
      <c r="Y656" s="91"/>
      <c r="Z656" s="88"/>
    </row>
    <row r="657" spans="6:26" ht="12.5" x14ac:dyDescent="0.25">
      <c r="F657" s="88"/>
      <c r="G657" s="91"/>
      <c r="H657" s="91"/>
      <c r="I657" s="88"/>
      <c r="J657" s="91"/>
      <c r="K657" s="88"/>
      <c r="L657" s="88"/>
      <c r="M657" s="91"/>
      <c r="N657" s="88"/>
      <c r="O657" s="91"/>
      <c r="P657" s="91"/>
      <c r="Q657" s="88"/>
      <c r="R657" s="91"/>
      <c r="S657" s="91"/>
      <c r="T657" s="88"/>
      <c r="U657" s="88"/>
      <c r="V657" s="88"/>
      <c r="Y657" s="91"/>
      <c r="Z657" s="88"/>
    </row>
    <row r="658" spans="6:26" ht="12.5" x14ac:dyDescent="0.25">
      <c r="F658" s="88"/>
      <c r="G658" s="91"/>
      <c r="H658" s="91"/>
      <c r="I658" s="88"/>
      <c r="J658" s="91"/>
      <c r="K658" s="88"/>
      <c r="L658" s="88"/>
      <c r="M658" s="91"/>
      <c r="N658" s="88"/>
      <c r="O658" s="91"/>
      <c r="P658" s="91"/>
      <c r="Q658" s="88"/>
      <c r="R658" s="91"/>
      <c r="S658" s="91"/>
      <c r="T658" s="88"/>
      <c r="U658" s="88"/>
      <c r="V658" s="88"/>
      <c r="Y658" s="91"/>
      <c r="Z658" s="88"/>
    </row>
    <row r="659" spans="6:26" ht="12.5" x14ac:dyDescent="0.25">
      <c r="F659" s="88"/>
      <c r="G659" s="91"/>
      <c r="H659" s="91"/>
      <c r="I659" s="88"/>
      <c r="J659" s="91"/>
      <c r="K659" s="88"/>
      <c r="L659" s="88"/>
      <c r="M659" s="91"/>
      <c r="N659" s="88"/>
      <c r="O659" s="91"/>
      <c r="P659" s="91"/>
      <c r="Q659" s="88"/>
      <c r="R659" s="91"/>
      <c r="S659" s="91"/>
      <c r="T659" s="88"/>
      <c r="U659" s="88"/>
      <c r="V659" s="88"/>
      <c r="Y659" s="91"/>
      <c r="Z659" s="88"/>
    </row>
    <row r="660" spans="6:26" ht="12.5" x14ac:dyDescent="0.25">
      <c r="F660" s="88"/>
      <c r="G660" s="91"/>
      <c r="H660" s="91"/>
      <c r="I660" s="88"/>
      <c r="J660" s="91"/>
      <c r="K660" s="88"/>
      <c r="L660" s="88"/>
      <c r="M660" s="91"/>
      <c r="N660" s="88"/>
      <c r="O660" s="91"/>
      <c r="P660" s="91"/>
      <c r="Q660" s="88"/>
      <c r="R660" s="91"/>
      <c r="S660" s="91"/>
      <c r="T660" s="88"/>
      <c r="U660" s="88"/>
      <c r="V660" s="88"/>
      <c r="Y660" s="91"/>
      <c r="Z660" s="88"/>
    </row>
    <row r="661" spans="6:26" ht="12.5" x14ac:dyDescent="0.25">
      <c r="F661" s="88"/>
      <c r="G661" s="91"/>
      <c r="H661" s="91"/>
      <c r="I661" s="88"/>
      <c r="J661" s="91"/>
      <c r="K661" s="88"/>
      <c r="L661" s="88"/>
      <c r="M661" s="91"/>
      <c r="N661" s="88"/>
      <c r="O661" s="91"/>
      <c r="P661" s="91"/>
      <c r="Q661" s="88"/>
      <c r="R661" s="91"/>
      <c r="S661" s="91"/>
      <c r="T661" s="88"/>
      <c r="U661" s="88"/>
      <c r="V661" s="88"/>
      <c r="Y661" s="91"/>
      <c r="Z661" s="88"/>
    </row>
    <row r="662" spans="6:26" ht="12.5" x14ac:dyDescent="0.25">
      <c r="F662" s="88"/>
      <c r="G662" s="91"/>
      <c r="H662" s="91"/>
      <c r="I662" s="88"/>
      <c r="J662" s="91"/>
      <c r="K662" s="88"/>
      <c r="L662" s="88"/>
      <c r="M662" s="91"/>
      <c r="N662" s="88"/>
      <c r="O662" s="91"/>
      <c r="P662" s="91"/>
      <c r="Q662" s="88"/>
      <c r="R662" s="91"/>
      <c r="S662" s="91"/>
      <c r="T662" s="88"/>
      <c r="U662" s="88"/>
      <c r="V662" s="88"/>
      <c r="Y662" s="91"/>
      <c r="Z662" s="88"/>
    </row>
    <row r="663" spans="6:26" ht="12.5" x14ac:dyDescent="0.25">
      <c r="F663" s="88"/>
      <c r="G663" s="91"/>
      <c r="H663" s="91"/>
      <c r="I663" s="88"/>
      <c r="J663" s="91"/>
      <c r="K663" s="88"/>
      <c r="L663" s="88"/>
      <c r="M663" s="91"/>
      <c r="N663" s="88"/>
      <c r="O663" s="91"/>
      <c r="P663" s="91"/>
      <c r="Q663" s="88"/>
      <c r="R663" s="91"/>
      <c r="S663" s="91"/>
      <c r="T663" s="88"/>
      <c r="U663" s="88"/>
      <c r="V663" s="88"/>
      <c r="Y663" s="91"/>
      <c r="Z663" s="88"/>
    </row>
    <row r="664" spans="6:26" ht="12.5" x14ac:dyDescent="0.25">
      <c r="F664" s="88"/>
      <c r="G664" s="91"/>
      <c r="H664" s="91"/>
      <c r="I664" s="88"/>
      <c r="J664" s="91"/>
      <c r="K664" s="88"/>
      <c r="L664" s="88"/>
      <c r="M664" s="91"/>
      <c r="N664" s="88"/>
      <c r="O664" s="91"/>
      <c r="P664" s="91"/>
      <c r="Q664" s="88"/>
      <c r="R664" s="91"/>
      <c r="S664" s="91"/>
      <c r="T664" s="88"/>
      <c r="U664" s="88"/>
      <c r="V664" s="88"/>
      <c r="Y664" s="91"/>
      <c r="Z664" s="88"/>
    </row>
    <row r="665" spans="6:26" ht="12.5" x14ac:dyDescent="0.25">
      <c r="F665" s="88"/>
      <c r="G665" s="91"/>
      <c r="H665" s="91"/>
      <c r="I665" s="88"/>
      <c r="J665" s="91"/>
      <c r="K665" s="88"/>
      <c r="L665" s="88"/>
      <c r="M665" s="91"/>
      <c r="N665" s="88"/>
      <c r="O665" s="91"/>
      <c r="P665" s="91"/>
      <c r="Q665" s="88"/>
      <c r="R665" s="91"/>
      <c r="S665" s="91"/>
      <c r="T665" s="88"/>
      <c r="U665" s="88"/>
      <c r="V665" s="88"/>
      <c r="Y665" s="91"/>
      <c r="Z665" s="88"/>
    </row>
    <row r="666" spans="6:26" ht="12.5" x14ac:dyDescent="0.25">
      <c r="F666" s="88"/>
      <c r="G666" s="91"/>
      <c r="H666" s="91"/>
      <c r="I666" s="88"/>
      <c r="J666" s="91"/>
      <c r="K666" s="88"/>
      <c r="L666" s="88"/>
      <c r="M666" s="91"/>
      <c r="N666" s="88"/>
      <c r="O666" s="91"/>
      <c r="P666" s="91"/>
      <c r="Q666" s="88"/>
      <c r="R666" s="91"/>
      <c r="S666" s="91"/>
      <c r="T666" s="88"/>
      <c r="U666" s="88"/>
      <c r="V666" s="88"/>
      <c r="Y666" s="91"/>
      <c r="Z666" s="88"/>
    </row>
    <row r="667" spans="6:26" ht="12.5" x14ac:dyDescent="0.25">
      <c r="F667" s="88"/>
      <c r="G667" s="91"/>
      <c r="H667" s="91"/>
      <c r="I667" s="88"/>
      <c r="J667" s="91"/>
      <c r="K667" s="88"/>
      <c r="L667" s="88"/>
      <c r="M667" s="91"/>
      <c r="N667" s="88"/>
      <c r="O667" s="91"/>
      <c r="P667" s="91"/>
      <c r="Q667" s="88"/>
      <c r="R667" s="91"/>
      <c r="S667" s="91"/>
      <c r="T667" s="88"/>
      <c r="U667" s="88"/>
      <c r="V667" s="88"/>
      <c r="Y667" s="91"/>
      <c r="Z667" s="88"/>
    </row>
    <row r="668" spans="6:26" ht="12.5" x14ac:dyDescent="0.25">
      <c r="F668" s="88"/>
      <c r="G668" s="91"/>
      <c r="H668" s="91"/>
      <c r="I668" s="88"/>
      <c r="J668" s="91"/>
      <c r="K668" s="88"/>
      <c r="L668" s="88"/>
      <c r="M668" s="91"/>
      <c r="N668" s="88"/>
      <c r="O668" s="91"/>
      <c r="P668" s="91"/>
      <c r="Q668" s="88"/>
      <c r="R668" s="91"/>
      <c r="S668" s="91"/>
      <c r="T668" s="88"/>
      <c r="U668" s="88"/>
      <c r="V668" s="88"/>
      <c r="Y668" s="91"/>
      <c r="Z668" s="88"/>
    </row>
    <row r="669" spans="6:26" ht="12.5" x14ac:dyDescent="0.25">
      <c r="F669" s="88"/>
      <c r="G669" s="91"/>
      <c r="H669" s="91"/>
      <c r="I669" s="88"/>
      <c r="J669" s="91"/>
      <c r="K669" s="88"/>
      <c r="L669" s="88"/>
      <c r="M669" s="91"/>
      <c r="N669" s="88"/>
      <c r="O669" s="91"/>
      <c r="P669" s="91"/>
      <c r="Q669" s="88"/>
      <c r="R669" s="91"/>
      <c r="S669" s="91"/>
      <c r="T669" s="88"/>
      <c r="U669" s="88"/>
      <c r="V669" s="88"/>
      <c r="Y669" s="91"/>
      <c r="Z669" s="88"/>
    </row>
    <row r="670" spans="6:26" ht="12.5" x14ac:dyDescent="0.25">
      <c r="F670" s="88"/>
      <c r="G670" s="91"/>
      <c r="H670" s="91"/>
      <c r="I670" s="88"/>
      <c r="J670" s="91"/>
      <c r="K670" s="88"/>
      <c r="L670" s="88"/>
      <c r="M670" s="91"/>
      <c r="N670" s="88"/>
      <c r="O670" s="91"/>
      <c r="P670" s="91"/>
      <c r="Q670" s="88"/>
      <c r="R670" s="91"/>
      <c r="S670" s="91"/>
      <c r="T670" s="88"/>
      <c r="U670" s="88"/>
      <c r="V670" s="88"/>
      <c r="Y670" s="91"/>
      <c r="Z670" s="88"/>
    </row>
    <row r="671" spans="6:26" ht="12.5" x14ac:dyDescent="0.25">
      <c r="F671" s="88"/>
      <c r="G671" s="91"/>
      <c r="H671" s="91"/>
      <c r="I671" s="88"/>
      <c r="J671" s="91"/>
      <c r="K671" s="88"/>
      <c r="L671" s="88"/>
      <c r="M671" s="91"/>
      <c r="N671" s="88"/>
      <c r="O671" s="91"/>
      <c r="P671" s="91"/>
      <c r="Q671" s="88"/>
      <c r="R671" s="91"/>
      <c r="S671" s="91"/>
      <c r="T671" s="88"/>
      <c r="U671" s="88"/>
      <c r="V671" s="88"/>
      <c r="Y671" s="91"/>
      <c r="Z671" s="88"/>
    </row>
    <row r="672" spans="6:26" ht="12.5" x14ac:dyDescent="0.25">
      <c r="F672" s="88"/>
      <c r="G672" s="91"/>
      <c r="H672" s="91"/>
      <c r="I672" s="88"/>
      <c r="J672" s="91"/>
      <c r="K672" s="88"/>
      <c r="L672" s="88"/>
      <c r="M672" s="91"/>
      <c r="N672" s="88"/>
      <c r="O672" s="91"/>
      <c r="P672" s="91"/>
      <c r="Q672" s="88"/>
      <c r="R672" s="91"/>
      <c r="S672" s="91"/>
      <c r="T672" s="88"/>
      <c r="U672" s="88"/>
      <c r="V672" s="88"/>
      <c r="Y672" s="91"/>
      <c r="Z672" s="88"/>
    </row>
    <row r="673" spans="6:26" ht="12.5" x14ac:dyDescent="0.25">
      <c r="F673" s="88"/>
      <c r="G673" s="91"/>
      <c r="H673" s="91"/>
      <c r="I673" s="88"/>
      <c r="J673" s="91"/>
      <c r="K673" s="88"/>
      <c r="L673" s="88"/>
      <c r="M673" s="91"/>
      <c r="N673" s="88"/>
      <c r="O673" s="91"/>
      <c r="P673" s="91"/>
      <c r="Q673" s="88"/>
      <c r="R673" s="91"/>
      <c r="S673" s="91"/>
      <c r="T673" s="88"/>
      <c r="U673" s="88"/>
      <c r="V673" s="88"/>
      <c r="Y673" s="91"/>
      <c r="Z673" s="88"/>
    </row>
    <row r="674" spans="6:26" ht="12.5" x14ac:dyDescent="0.25">
      <c r="F674" s="88"/>
      <c r="G674" s="91"/>
      <c r="H674" s="91"/>
      <c r="I674" s="88"/>
      <c r="J674" s="91"/>
      <c r="K674" s="88"/>
      <c r="L674" s="88"/>
      <c r="M674" s="91"/>
      <c r="N674" s="88"/>
      <c r="O674" s="91"/>
      <c r="P674" s="91"/>
      <c r="Q674" s="88"/>
      <c r="R674" s="91"/>
      <c r="S674" s="91"/>
      <c r="T674" s="88"/>
      <c r="U674" s="88"/>
      <c r="V674" s="88"/>
      <c r="Y674" s="91"/>
      <c r="Z674" s="88"/>
    </row>
    <row r="675" spans="6:26" ht="12.5" x14ac:dyDescent="0.25">
      <c r="F675" s="88"/>
      <c r="G675" s="91"/>
      <c r="H675" s="91"/>
      <c r="I675" s="88"/>
      <c r="J675" s="91"/>
      <c r="K675" s="88"/>
      <c r="L675" s="88"/>
      <c r="M675" s="91"/>
      <c r="N675" s="88"/>
      <c r="O675" s="91"/>
      <c r="P675" s="91"/>
      <c r="Q675" s="88"/>
      <c r="R675" s="91"/>
      <c r="S675" s="91"/>
      <c r="T675" s="88"/>
      <c r="U675" s="88"/>
      <c r="V675" s="88"/>
      <c r="Y675" s="91"/>
      <c r="Z675" s="88"/>
    </row>
    <row r="676" spans="6:26" ht="12.5" x14ac:dyDescent="0.25">
      <c r="F676" s="88"/>
      <c r="G676" s="91"/>
      <c r="H676" s="91"/>
      <c r="I676" s="88"/>
      <c r="J676" s="91"/>
      <c r="K676" s="88"/>
      <c r="L676" s="88"/>
      <c r="M676" s="91"/>
      <c r="N676" s="88"/>
      <c r="O676" s="91"/>
      <c r="P676" s="91"/>
      <c r="Q676" s="88"/>
      <c r="R676" s="91"/>
      <c r="S676" s="91"/>
      <c r="T676" s="88"/>
      <c r="U676" s="88"/>
      <c r="V676" s="88"/>
      <c r="Y676" s="91"/>
      <c r="Z676" s="88"/>
    </row>
    <row r="677" spans="6:26" ht="12.5" x14ac:dyDescent="0.25">
      <c r="F677" s="88"/>
      <c r="G677" s="91"/>
      <c r="H677" s="91"/>
      <c r="I677" s="88"/>
      <c r="J677" s="91"/>
      <c r="K677" s="88"/>
      <c r="L677" s="88"/>
      <c r="M677" s="91"/>
      <c r="N677" s="88"/>
      <c r="O677" s="91"/>
      <c r="P677" s="91"/>
      <c r="Q677" s="88"/>
      <c r="R677" s="91"/>
      <c r="S677" s="91"/>
      <c r="T677" s="88"/>
      <c r="U677" s="88"/>
      <c r="V677" s="88"/>
      <c r="Y677" s="91"/>
      <c r="Z677" s="88"/>
    </row>
    <row r="678" spans="6:26" ht="12.5" x14ac:dyDescent="0.25">
      <c r="F678" s="88"/>
      <c r="G678" s="91"/>
      <c r="H678" s="91"/>
      <c r="I678" s="88"/>
      <c r="J678" s="91"/>
      <c r="K678" s="88"/>
      <c r="L678" s="88"/>
      <c r="M678" s="91"/>
      <c r="N678" s="88"/>
      <c r="O678" s="91"/>
      <c r="P678" s="91"/>
      <c r="Q678" s="88"/>
      <c r="R678" s="91"/>
      <c r="S678" s="91"/>
      <c r="T678" s="88"/>
      <c r="U678" s="88"/>
      <c r="V678" s="88"/>
      <c r="Y678" s="91"/>
      <c r="Z678" s="88"/>
    </row>
    <row r="679" spans="6:26" ht="12.5" x14ac:dyDescent="0.25">
      <c r="F679" s="88"/>
      <c r="G679" s="91"/>
      <c r="H679" s="91"/>
      <c r="I679" s="88"/>
      <c r="J679" s="91"/>
      <c r="K679" s="88"/>
      <c r="L679" s="88"/>
      <c r="M679" s="91"/>
      <c r="N679" s="88"/>
      <c r="O679" s="91"/>
      <c r="P679" s="91"/>
      <c r="Q679" s="88"/>
      <c r="R679" s="91"/>
      <c r="S679" s="91"/>
      <c r="T679" s="88"/>
      <c r="U679" s="88"/>
      <c r="V679" s="88"/>
      <c r="Y679" s="91"/>
      <c r="Z679" s="88"/>
    </row>
    <row r="680" spans="6:26" ht="12.5" x14ac:dyDescent="0.25">
      <c r="F680" s="88"/>
      <c r="G680" s="91"/>
      <c r="H680" s="91"/>
      <c r="I680" s="88"/>
      <c r="J680" s="91"/>
      <c r="K680" s="88"/>
      <c r="L680" s="88"/>
      <c r="M680" s="91"/>
      <c r="N680" s="88"/>
      <c r="O680" s="91"/>
      <c r="P680" s="91"/>
      <c r="Q680" s="88"/>
      <c r="R680" s="91"/>
      <c r="S680" s="91"/>
      <c r="T680" s="88"/>
      <c r="U680" s="88"/>
      <c r="V680" s="88"/>
      <c r="Y680" s="91"/>
      <c r="Z680" s="88"/>
    </row>
    <row r="681" spans="6:26" ht="12.5" x14ac:dyDescent="0.25">
      <c r="F681" s="88"/>
      <c r="G681" s="91"/>
      <c r="H681" s="91"/>
      <c r="I681" s="88"/>
      <c r="J681" s="91"/>
      <c r="K681" s="88"/>
      <c r="L681" s="88"/>
      <c r="M681" s="91"/>
      <c r="N681" s="88"/>
      <c r="O681" s="91"/>
      <c r="P681" s="91"/>
      <c r="Q681" s="88"/>
      <c r="R681" s="91"/>
      <c r="S681" s="91"/>
      <c r="T681" s="88"/>
      <c r="U681" s="88"/>
      <c r="V681" s="88"/>
      <c r="Y681" s="91"/>
      <c r="Z681" s="88"/>
    </row>
    <row r="682" spans="6:26" ht="12.5" x14ac:dyDescent="0.25">
      <c r="F682" s="88"/>
      <c r="G682" s="91"/>
      <c r="H682" s="91"/>
      <c r="I682" s="88"/>
      <c r="J682" s="91"/>
      <c r="K682" s="88"/>
      <c r="L682" s="88"/>
      <c r="M682" s="91"/>
      <c r="N682" s="88"/>
      <c r="O682" s="91"/>
      <c r="P682" s="91"/>
      <c r="Q682" s="88"/>
      <c r="R682" s="91"/>
      <c r="S682" s="91"/>
      <c r="T682" s="88"/>
      <c r="U682" s="88"/>
      <c r="V682" s="88"/>
      <c r="Y682" s="91"/>
      <c r="Z682" s="88"/>
    </row>
    <row r="683" spans="6:26" ht="12.5" x14ac:dyDescent="0.25">
      <c r="F683" s="88"/>
      <c r="G683" s="91"/>
      <c r="H683" s="91"/>
      <c r="I683" s="88"/>
      <c r="J683" s="91"/>
      <c r="K683" s="88"/>
      <c r="L683" s="88"/>
      <c r="M683" s="91"/>
      <c r="N683" s="88"/>
      <c r="O683" s="91"/>
      <c r="P683" s="91"/>
      <c r="Q683" s="88"/>
      <c r="R683" s="91"/>
      <c r="S683" s="91"/>
      <c r="T683" s="88"/>
      <c r="U683" s="88"/>
      <c r="V683" s="88"/>
      <c r="Y683" s="91"/>
      <c r="Z683" s="88"/>
    </row>
    <row r="684" spans="6:26" ht="12.5" x14ac:dyDescent="0.25">
      <c r="F684" s="88"/>
      <c r="G684" s="91"/>
      <c r="H684" s="91"/>
      <c r="I684" s="88"/>
      <c r="J684" s="91"/>
      <c r="K684" s="88"/>
      <c r="L684" s="88"/>
      <c r="M684" s="91"/>
      <c r="N684" s="88"/>
      <c r="O684" s="91"/>
      <c r="P684" s="91"/>
      <c r="Q684" s="88"/>
      <c r="R684" s="91"/>
      <c r="S684" s="91"/>
      <c r="T684" s="88"/>
      <c r="U684" s="88"/>
      <c r="V684" s="88"/>
      <c r="Y684" s="91"/>
      <c r="Z684" s="88"/>
    </row>
    <row r="685" spans="6:26" ht="12.5" x14ac:dyDescent="0.25">
      <c r="F685" s="88"/>
      <c r="G685" s="91"/>
      <c r="H685" s="91"/>
      <c r="I685" s="88"/>
      <c r="J685" s="91"/>
      <c r="K685" s="88"/>
      <c r="L685" s="88"/>
      <c r="M685" s="91"/>
      <c r="N685" s="88"/>
      <c r="O685" s="91"/>
      <c r="P685" s="91"/>
      <c r="Q685" s="88"/>
      <c r="R685" s="91"/>
      <c r="S685" s="91"/>
      <c r="T685" s="88"/>
      <c r="U685" s="88"/>
      <c r="V685" s="88"/>
      <c r="Y685" s="91"/>
      <c r="Z685" s="88"/>
    </row>
    <row r="686" spans="6:26" ht="12.5" x14ac:dyDescent="0.25">
      <c r="F686" s="88"/>
      <c r="G686" s="91"/>
      <c r="H686" s="91"/>
      <c r="I686" s="88"/>
      <c r="J686" s="91"/>
      <c r="K686" s="88"/>
      <c r="L686" s="88"/>
      <c r="M686" s="91"/>
      <c r="N686" s="88"/>
      <c r="O686" s="91"/>
      <c r="P686" s="91"/>
      <c r="Q686" s="88"/>
      <c r="R686" s="91"/>
      <c r="S686" s="91"/>
      <c r="T686" s="88"/>
      <c r="U686" s="88"/>
      <c r="V686" s="88"/>
      <c r="Y686" s="91"/>
      <c r="Z686" s="88"/>
    </row>
    <row r="687" spans="6:26" ht="12.5" x14ac:dyDescent="0.25">
      <c r="F687" s="88"/>
      <c r="G687" s="91"/>
      <c r="H687" s="91"/>
      <c r="I687" s="88"/>
      <c r="J687" s="91"/>
      <c r="K687" s="88"/>
      <c r="L687" s="88"/>
      <c r="M687" s="91"/>
      <c r="N687" s="88"/>
      <c r="O687" s="91"/>
      <c r="P687" s="91"/>
      <c r="Q687" s="88"/>
      <c r="R687" s="91"/>
      <c r="S687" s="91"/>
      <c r="T687" s="88"/>
      <c r="U687" s="88"/>
      <c r="V687" s="88"/>
      <c r="Y687" s="91"/>
      <c r="Z687" s="88"/>
    </row>
    <row r="688" spans="6:26" ht="12.5" x14ac:dyDescent="0.25">
      <c r="F688" s="88"/>
      <c r="G688" s="91"/>
      <c r="H688" s="91"/>
      <c r="I688" s="88"/>
      <c r="J688" s="91"/>
      <c r="K688" s="88"/>
      <c r="L688" s="88"/>
      <c r="M688" s="91"/>
      <c r="N688" s="88"/>
      <c r="O688" s="91"/>
      <c r="P688" s="91"/>
      <c r="Q688" s="88"/>
      <c r="R688" s="91"/>
      <c r="S688" s="91"/>
      <c r="T688" s="88"/>
      <c r="U688" s="88"/>
      <c r="V688" s="88"/>
      <c r="Y688" s="91"/>
      <c r="Z688" s="88"/>
    </row>
    <row r="689" spans="6:26" ht="12.5" x14ac:dyDescent="0.25">
      <c r="F689" s="88"/>
      <c r="G689" s="91"/>
      <c r="H689" s="91"/>
      <c r="I689" s="88"/>
      <c r="J689" s="91"/>
      <c r="K689" s="88"/>
      <c r="L689" s="88"/>
      <c r="M689" s="91"/>
      <c r="N689" s="88"/>
      <c r="O689" s="91"/>
      <c r="P689" s="91"/>
      <c r="Q689" s="88"/>
      <c r="R689" s="91"/>
      <c r="S689" s="91"/>
      <c r="T689" s="88"/>
      <c r="U689" s="88"/>
      <c r="V689" s="88"/>
      <c r="Y689" s="91"/>
      <c r="Z689" s="88"/>
    </row>
    <row r="690" spans="6:26" ht="12.5" x14ac:dyDescent="0.25">
      <c r="F690" s="88"/>
      <c r="G690" s="91"/>
      <c r="H690" s="91"/>
      <c r="I690" s="88"/>
      <c r="J690" s="91"/>
      <c r="K690" s="88"/>
      <c r="L690" s="88"/>
      <c r="M690" s="91"/>
      <c r="N690" s="88"/>
      <c r="O690" s="91"/>
      <c r="P690" s="91"/>
      <c r="Q690" s="88"/>
      <c r="R690" s="91"/>
      <c r="S690" s="91"/>
      <c r="T690" s="88"/>
      <c r="U690" s="88"/>
      <c r="V690" s="88"/>
      <c r="Y690" s="91"/>
      <c r="Z690" s="88"/>
    </row>
    <row r="691" spans="6:26" ht="12.5" x14ac:dyDescent="0.25">
      <c r="F691" s="88"/>
      <c r="G691" s="91"/>
      <c r="H691" s="91"/>
      <c r="I691" s="88"/>
      <c r="J691" s="91"/>
      <c r="K691" s="88"/>
      <c r="L691" s="88"/>
      <c r="M691" s="91"/>
      <c r="N691" s="88"/>
      <c r="O691" s="91"/>
      <c r="P691" s="91"/>
      <c r="Q691" s="88"/>
      <c r="R691" s="91"/>
      <c r="S691" s="91"/>
      <c r="T691" s="88"/>
      <c r="U691" s="88"/>
      <c r="V691" s="88"/>
      <c r="Y691" s="91"/>
      <c r="Z691" s="88"/>
    </row>
    <row r="692" spans="6:26" ht="12.5" x14ac:dyDescent="0.25">
      <c r="F692" s="88"/>
      <c r="G692" s="91"/>
      <c r="H692" s="91"/>
      <c r="I692" s="88"/>
      <c r="J692" s="91"/>
      <c r="K692" s="88"/>
      <c r="L692" s="88"/>
      <c r="M692" s="91"/>
      <c r="N692" s="88"/>
      <c r="O692" s="91"/>
      <c r="P692" s="91"/>
      <c r="Q692" s="88"/>
      <c r="R692" s="91"/>
      <c r="S692" s="91"/>
      <c r="T692" s="88"/>
      <c r="U692" s="88"/>
      <c r="V692" s="88"/>
      <c r="Y692" s="91"/>
      <c r="Z692" s="88"/>
    </row>
    <row r="693" spans="6:26" ht="12.5" x14ac:dyDescent="0.25">
      <c r="F693" s="88"/>
      <c r="G693" s="91"/>
      <c r="H693" s="91"/>
      <c r="I693" s="88"/>
      <c r="J693" s="91"/>
      <c r="K693" s="88"/>
      <c r="L693" s="88"/>
      <c r="M693" s="91"/>
      <c r="N693" s="88"/>
      <c r="O693" s="91"/>
      <c r="P693" s="91"/>
      <c r="Q693" s="88"/>
      <c r="R693" s="91"/>
      <c r="S693" s="91"/>
      <c r="T693" s="88"/>
      <c r="U693" s="88"/>
      <c r="V693" s="88"/>
      <c r="Y693" s="91"/>
      <c r="Z693" s="88"/>
    </row>
    <row r="694" spans="6:26" ht="12.5" x14ac:dyDescent="0.25">
      <c r="F694" s="88"/>
      <c r="G694" s="91"/>
      <c r="H694" s="91"/>
      <c r="I694" s="88"/>
      <c r="J694" s="91"/>
      <c r="K694" s="88"/>
      <c r="L694" s="88"/>
      <c r="M694" s="91"/>
      <c r="N694" s="88"/>
      <c r="O694" s="91"/>
      <c r="P694" s="91"/>
      <c r="Q694" s="88"/>
      <c r="R694" s="91"/>
      <c r="S694" s="91"/>
      <c r="T694" s="88"/>
      <c r="U694" s="88"/>
      <c r="V694" s="88"/>
      <c r="Y694" s="91"/>
      <c r="Z694" s="88"/>
    </row>
    <row r="695" spans="6:26" ht="12.5" x14ac:dyDescent="0.25">
      <c r="F695" s="88"/>
      <c r="G695" s="91"/>
      <c r="H695" s="91"/>
      <c r="I695" s="88"/>
      <c r="J695" s="91"/>
      <c r="K695" s="88"/>
      <c r="L695" s="88"/>
      <c r="M695" s="91"/>
      <c r="N695" s="88"/>
      <c r="O695" s="91"/>
      <c r="P695" s="91"/>
      <c r="Q695" s="88"/>
      <c r="R695" s="91"/>
      <c r="S695" s="91"/>
      <c r="T695" s="88"/>
      <c r="U695" s="88"/>
      <c r="V695" s="88"/>
      <c r="Y695" s="91"/>
      <c r="Z695" s="88"/>
    </row>
    <row r="696" spans="6:26" ht="12.5" x14ac:dyDescent="0.25">
      <c r="F696" s="88"/>
      <c r="G696" s="91"/>
      <c r="H696" s="91"/>
      <c r="I696" s="88"/>
      <c r="J696" s="91"/>
      <c r="K696" s="88"/>
      <c r="L696" s="88"/>
      <c r="M696" s="91"/>
      <c r="N696" s="88"/>
      <c r="O696" s="91"/>
      <c r="P696" s="91"/>
      <c r="Q696" s="88"/>
      <c r="R696" s="91"/>
      <c r="S696" s="91"/>
      <c r="T696" s="88"/>
      <c r="U696" s="88"/>
      <c r="V696" s="88"/>
      <c r="Y696" s="91"/>
      <c r="Z696" s="88"/>
    </row>
    <row r="697" spans="6:26" ht="12.5" x14ac:dyDescent="0.25">
      <c r="F697" s="88"/>
      <c r="G697" s="91"/>
      <c r="H697" s="91"/>
      <c r="I697" s="88"/>
      <c r="J697" s="91"/>
      <c r="K697" s="88"/>
      <c r="L697" s="88"/>
      <c r="M697" s="91"/>
      <c r="N697" s="88"/>
      <c r="O697" s="91"/>
      <c r="P697" s="91"/>
      <c r="Q697" s="88"/>
      <c r="R697" s="91"/>
      <c r="S697" s="91"/>
      <c r="T697" s="88"/>
      <c r="U697" s="88"/>
      <c r="V697" s="88"/>
      <c r="Y697" s="91"/>
      <c r="Z697" s="88"/>
    </row>
    <row r="698" spans="6:26" ht="12.5" x14ac:dyDescent="0.25">
      <c r="F698" s="88"/>
      <c r="G698" s="91"/>
      <c r="H698" s="91"/>
      <c r="I698" s="88"/>
      <c r="J698" s="91"/>
      <c r="K698" s="88"/>
      <c r="L698" s="88"/>
      <c r="M698" s="91"/>
      <c r="N698" s="88"/>
      <c r="O698" s="91"/>
      <c r="P698" s="91"/>
      <c r="Q698" s="88"/>
      <c r="R698" s="91"/>
      <c r="S698" s="91"/>
      <c r="T698" s="88"/>
      <c r="U698" s="88"/>
      <c r="V698" s="88"/>
      <c r="Y698" s="91"/>
      <c r="Z698" s="88"/>
    </row>
    <row r="699" spans="6:26" ht="12.5" x14ac:dyDescent="0.25">
      <c r="F699" s="88"/>
      <c r="G699" s="91"/>
      <c r="H699" s="91"/>
      <c r="I699" s="88"/>
      <c r="J699" s="91"/>
      <c r="K699" s="88"/>
      <c r="L699" s="88"/>
      <c r="M699" s="91"/>
      <c r="N699" s="88"/>
      <c r="O699" s="91"/>
      <c r="P699" s="91"/>
      <c r="Q699" s="88"/>
      <c r="R699" s="91"/>
      <c r="S699" s="91"/>
      <c r="T699" s="88"/>
      <c r="U699" s="88"/>
      <c r="V699" s="88"/>
      <c r="Y699" s="91"/>
      <c r="Z699" s="88"/>
    </row>
    <row r="700" spans="6:26" ht="12.5" x14ac:dyDescent="0.25">
      <c r="F700" s="88"/>
      <c r="G700" s="91"/>
      <c r="H700" s="91"/>
      <c r="I700" s="88"/>
      <c r="J700" s="91"/>
      <c r="K700" s="88"/>
      <c r="L700" s="88"/>
      <c r="M700" s="91"/>
      <c r="N700" s="88"/>
      <c r="O700" s="91"/>
      <c r="P700" s="91"/>
      <c r="Q700" s="88"/>
      <c r="R700" s="91"/>
      <c r="S700" s="91"/>
      <c r="T700" s="88"/>
      <c r="U700" s="88"/>
      <c r="V700" s="88"/>
      <c r="Y700" s="91"/>
      <c r="Z700" s="88"/>
    </row>
    <row r="701" spans="6:26" ht="12.5" x14ac:dyDescent="0.25">
      <c r="F701" s="88"/>
      <c r="G701" s="91"/>
      <c r="H701" s="91"/>
      <c r="I701" s="88"/>
      <c r="J701" s="91"/>
      <c r="K701" s="88"/>
      <c r="L701" s="88"/>
      <c r="M701" s="91"/>
      <c r="N701" s="88"/>
      <c r="O701" s="91"/>
      <c r="P701" s="91"/>
      <c r="Q701" s="88"/>
      <c r="R701" s="91"/>
      <c r="S701" s="91"/>
      <c r="T701" s="88"/>
      <c r="U701" s="88"/>
      <c r="V701" s="88"/>
      <c r="Y701" s="91"/>
      <c r="Z701" s="88"/>
    </row>
    <row r="702" spans="6:26" ht="12.5" x14ac:dyDescent="0.25">
      <c r="F702" s="88"/>
      <c r="G702" s="91"/>
      <c r="H702" s="91"/>
      <c r="I702" s="88"/>
      <c r="J702" s="91"/>
      <c r="K702" s="88"/>
      <c r="L702" s="88"/>
      <c r="M702" s="91"/>
      <c r="N702" s="88"/>
      <c r="O702" s="91"/>
      <c r="P702" s="91"/>
      <c r="Q702" s="88"/>
      <c r="R702" s="91"/>
      <c r="S702" s="91"/>
      <c r="T702" s="88"/>
      <c r="U702" s="88"/>
      <c r="V702" s="88"/>
      <c r="Y702" s="91"/>
      <c r="Z702" s="88"/>
    </row>
    <row r="703" spans="6:26" ht="12.5" x14ac:dyDescent="0.25">
      <c r="F703" s="88"/>
      <c r="G703" s="91"/>
      <c r="H703" s="91"/>
      <c r="I703" s="88"/>
      <c r="J703" s="91"/>
      <c r="K703" s="88"/>
      <c r="L703" s="88"/>
      <c r="M703" s="91"/>
      <c r="N703" s="88"/>
      <c r="O703" s="91"/>
      <c r="P703" s="91"/>
      <c r="Q703" s="88"/>
      <c r="R703" s="91"/>
      <c r="S703" s="91"/>
      <c r="T703" s="88"/>
      <c r="U703" s="88"/>
      <c r="V703" s="88"/>
      <c r="Y703" s="91"/>
      <c r="Z703" s="88"/>
    </row>
    <row r="704" spans="6:26" ht="12.5" x14ac:dyDescent="0.25">
      <c r="F704" s="88"/>
      <c r="G704" s="91"/>
      <c r="H704" s="91"/>
      <c r="I704" s="88"/>
      <c r="J704" s="91"/>
      <c r="K704" s="88"/>
      <c r="L704" s="88"/>
      <c r="M704" s="91"/>
      <c r="N704" s="88"/>
      <c r="O704" s="91"/>
      <c r="P704" s="91"/>
      <c r="Q704" s="88"/>
      <c r="R704" s="91"/>
      <c r="S704" s="91"/>
      <c r="T704" s="88"/>
      <c r="U704" s="88"/>
      <c r="V704" s="88"/>
      <c r="Y704" s="91"/>
      <c r="Z704" s="88"/>
    </row>
    <row r="705" spans="6:26" ht="12.5" x14ac:dyDescent="0.25">
      <c r="F705" s="88"/>
      <c r="G705" s="91"/>
      <c r="H705" s="91"/>
      <c r="I705" s="88"/>
      <c r="J705" s="91"/>
      <c r="K705" s="88"/>
      <c r="L705" s="88"/>
      <c r="M705" s="91"/>
      <c r="N705" s="88"/>
      <c r="O705" s="91"/>
      <c r="P705" s="91"/>
      <c r="Q705" s="88"/>
      <c r="R705" s="91"/>
      <c r="S705" s="91"/>
      <c r="T705" s="88"/>
      <c r="U705" s="88"/>
      <c r="V705" s="88"/>
      <c r="Y705" s="91"/>
      <c r="Z705" s="88"/>
    </row>
    <row r="706" spans="6:26" ht="12.5" x14ac:dyDescent="0.25">
      <c r="F706" s="88"/>
      <c r="G706" s="91"/>
      <c r="H706" s="91"/>
      <c r="I706" s="88"/>
      <c r="J706" s="91"/>
      <c r="K706" s="88"/>
      <c r="L706" s="88"/>
      <c r="M706" s="91"/>
      <c r="N706" s="88"/>
      <c r="O706" s="91"/>
      <c r="P706" s="91"/>
      <c r="Q706" s="88"/>
      <c r="R706" s="91"/>
      <c r="S706" s="91"/>
      <c r="T706" s="88"/>
      <c r="U706" s="88"/>
      <c r="V706" s="88"/>
      <c r="Y706" s="91"/>
      <c r="Z706" s="88"/>
    </row>
    <row r="707" spans="6:26" ht="12.5" x14ac:dyDescent="0.25">
      <c r="F707" s="88"/>
      <c r="G707" s="91"/>
      <c r="H707" s="91"/>
      <c r="I707" s="88"/>
      <c r="J707" s="91"/>
      <c r="K707" s="88"/>
      <c r="L707" s="88"/>
      <c r="M707" s="91"/>
      <c r="N707" s="88"/>
      <c r="O707" s="91"/>
      <c r="P707" s="91"/>
      <c r="Q707" s="88"/>
      <c r="R707" s="91"/>
      <c r="S707" s="91"/>
      <c r="T707" s="88"/>
      <c r="U707" s="88"/>
      <c r="V707" s="88"/>
      <c r="Y707" s="91"/>
      <c r="Z707" s="88"/>
    </row>
    <row r="708" spans="6:26" ht="12.5" x14ac:dyDescent="0.25">
      <c r="F708" s="88"/>
      <c r="G708" s="91"/>
      <c r="H708" s="91"/>
      <c r="I708" s="88"/>
      <c r="J708" s="91"/>
      <c r="K708" s="88"/>
      <c r="L708" s="88"/>
      <c r="M708" s="91"/>
      <c r="N708" s="88"/>
      <c r="O708" s="91"/>
      <c r="P708" s="91"/>
      <c r="Q708" s="88"/>
      <c r="R708" s="91"/>
      <c r="S708" s="91"/>
      <c r="T708" s="88"/>
      <c r="U708" s="88"/>
      <c r="V708" s="88"/>
      <c r="Y708" s="91"/>
      <c r="Z708" s="88"/>
    </row>
    <row r="709" spans="6:26" ht="12.5" x14ac:dyDescent="0.25">
      <c r="F709" s="88"/>
      <c r="G709" s="91"/>
      <c r="H709" s="91"/>
      <c r="I709" s="88"/>
      <c r="J709" s="91"/>
      <c r="K709" s="88"/>
      <c r="L709" s="88"/>
      <c r="M709" s="91"/>
      <c r="N709" s="88"/>
      <c r="O709" s="91"/>
      <c r="P709" s="91"/>
      <c r="Q709" s="88"/>
      <c r="R709" s="91"/>
      <c r="S709" s="91"/>
      <c r="T709" s="88"/>
      <c r="U709" s="88"/>
      <c r="V709" s="88"/>
      <c r="Y709" s="91"/>
      <c r="Z709" s="88"/>
    </row>
    <row r="710" spans="6:26" ht="12.5" x14ac:dyDescent="0.25">
      <c r="F710" s="88"/>
      <c r="G710" s="91"/>
      <c r="H710" s="91"/>
      <c r="I710" s="88"/>
      <c r="J710" s="91"/>
      <c r="K710" s="88"/>
      <c r="L710" s="88"/>
      <c r="M710" s="91"/>
      <c r="N710" s="88"/>
      <c r="O710" s="91"/>
      <c r="P710" s="91"/>
      <c r="Q710" s="88"/>
      <c r="R710" s="91"/>
      <c r="S710" s="91"/>
      <c r="T710" s="88"/>
      <c r="U710" s="88"/>
      <c r="V710" s="88"/>
      <c r="Y710" s="91"/>
      <c r="Z710" s="88"/>
    </row>
    <row r="711" spans="6:26" ht="12.5" x14ac:dyDescent="0.25">
      <c r="F711" s="88"/>
      <c r="G711" s="91"/>
      <c r="H711" s="91"/>
      <c r="I711" s="88"/>
      <c r="J711" s="91"/>
      <c r="K711" s="88"/>
      <c r="L711" s="88"/>
      <c r="M711" s="91"/>
      <c r="N711" s="88"/>
      <c r="O711" s="91"/>
      <c r="P711" s="91"/>
      <c r="Q711" s="88"/>
      <c r="R711" s="91"/>
      <c r="S711" s="91"/>
      <c r="T711" s="88"/>
      <c r="U711" s="88"/>
      <c r="V711" s="88"/>
      <c r="Y711" s="91"/>
      <c r="Z711" s="88"/>
    </row>
    <row r="712" spans="6:26" ht="12.5" x14ac:dyDescent="0.25">
      <c r="F712" s="88"/>
      <c r="G712" s="91"/>
      <c r="H712" s="91"/>
      <c r="I712" s="88"/>
      <c r="J712" s="91"/>
      <c r="K712" s="88"/>
      <c r="L712" s="88"/>
      <c r="M712" s="91"/>
      <c r="N712" s="88"/>
      <c r="O712" s="91"/>
      <c r="P712" s="91"/>
      <c r="Q712" s="88"/>
      <c r="R712" s="91"/>
      <c r="S712" s="91"/>
      <c r="T712" s="88"/>
      <c r="U712" s="88"/>
      <c r="V712" s="88"/>
      <c r="Y712" s="91"/>
      <c r="Z712" s="88"/>
    </row>
    <row r="713" spans="6:26" ht="12.5" x14ac:dyDescent="0.25">
      <c r="F713" s="88"/>
      <c r="G713" s="91"/>
      <c r="H713" s="91"/>
      <c r="I713" s="88"/>
      <c r="J713" s="91"/>
      <c r="K713" s="88"/>
      <c r="L713" s="88"/>
      <c r="M713" s="91"/>
      <c r="N713" s="88"/>
      <c r="O713" s="91"/>
      <c r="P713" s="91"/>
      <c r="Q713" s="88"/>
      <c r="R713" s="91"/>
      <c r="S713" s="91"/>
      <c r="T713" s="88"/>
      <c r="U713" s="88"/>
      <c r="V713" s="88"/>
      <c r="Y713" s="91"/>
      <c r="Z713" s="88"/>
    </row>
    <row r="714" spans="6:26" ht="12.5" x14ac:dyDescent="0.25">
      <c r="F714" s="88"/>
      <c r="G714" s="91"/>
      <c r="H714" s="91"/>
      <c r="I714" s="88"/>
      <c r="J714" s="91"/>
      <c r="K714" s="88"/>
      <c r="L714" s="88"/>
      <c r="M714" s="91"/>
      <c r="N714" s="88"/>
      <c r="O714" s="91"/>
      <c r="P714" s="91"/>
      <c r="Q714" s="88"/>
      <c r="R714" s="91"/>
      <c r="S714" s="91"/>
      <c r="T714" s="88"/>
      <c r="U714" s="88"/>
      <c r="V714" s="88"/>
      <c r="Y714" s="91"/>
      <c r="Z714" s="88"/>
    </row>
    <row r="715" spans="6:26" ht="12.5" x14ac:dyDescent="0.25">
      <c r="F715" s="88"/>
      <c r="G715" s="91"/>
      <c r="H715" s="91"/>
      <c r="I715" s="88"/>
      <c r="J715" s="91"/>
      <c r="K715" s="88"/>
      <c r="L715" s="88"/>
      <c r="M715" s="91"/>
      <c r="N715" s="88"/>
      <c r="O715" s="91"/>
      <c r="P715" s="91"/>
      <c r="Q715" s="88"/>
      <c r="R715" s="91"/>
      <c r="S715" s="91"/>
      <c r="T715" s="88"/>
      <c r="U715" s="88"/>
      <c r="V715" s="88"/>
      <c r="Y715" s="91"/>
      <c r="Z715" s="88"/>
    </row>
    <row r="716" spans="6:26" ht="12.5" x14ac:dyDescent="0.25">
      <c r="F716" s="88"/>
      <c r="G716" s="91"/>
      <c r="H716" s="91"/>
      <c r="I716" s="88"/>
      <c r="J716" s="91"/>
      <c r="K716" s="88"/>
      <c r="L716" s="88"/>
      <c r="M716" s="91"/>
      <c r="N716" s="88"/>
      <c r="O716" s="91"/>
      <c r="P716" s="91"/>
      <c r="Q716" s="88"/>
      <c r="R716" s="91"/>
      <c r="S716" s="91"/>
      <c r="T716" s="88"/>
      <c r="U716" s="88"/>
      <c r="V716" s="88"/>
      <c r="Y716" s="91"/>
      <c r="Z716" s="88"/>
    </row>
    <row r="717" spans="6:26" ht="12.5" x14ac:dyDescent="0.25">
      <c r="F717" s="88"/>
      <c r="G717" s="91"/>
      <c r="H717" s="91"/>
      <c r="I717" s="88"/>
      <c r="J717" s="91"/>
      <c r="K717" s="88"/>
      <c r="L717" s="88"/>
      <c r="M717" s="91"/>
      <c r="N717" s="88"/>
      <c r="O717" s="91"/>
      <c r="P717" s="91"/>
      <c r="Q717" s="88"/>
      <c r="R717" s="91"/>
      <c r="S717" s="91"/>
      <c r="T717" s="88"/>
      <c r="U717" s="88"/>
      <c r="V717" s="88"/>
      <c r="Y717" s="91"/>
      <c r="Z717" s="88"/>
    </row>
    <row r="718" spans="6:26" ht="12.5" x14ac:dyDescent="0.25">
      <c r="F718" s="88"/>
      <c r="G718" s="91"/>
      <c r="H718" s="91"/>
      <c r="I718" s="88"/>
      <c r="J718" s="91"/>
      <c r="K718" s="88"/>
      <c r="L718" s="88"/>
      <c r="M718" s="91"/>
      <c r="N718" s="88"/>
      <c r="O718" s="91"/>
      <c r="P718" s="91"/>
      <c r="Q718" s="88"/>
      <c r="R718" s="91"/>
      <c r="S718" s="91"/>
      <c r="T718" s="88"/>
      <c r="U718" s="88"/>
      <c r="V718" s="88"/>
      <c r="Y718" s="91"/>
      <c r="Z718" s="88"/>
    </row>
    <row r="719" spans="6:26" ht="12.5" x14ac:dyDescent="0.25">
      <c r="F719" s="88"/>
      <c r="G719" s="91"/>
      <c r="H719" s="91"/>
      <c r="I719" s="88"/>
      <c r="J719" s="91"/>
      <c r="K719" s="88"/>
      <c r="L719" s="88"/>
      <c r="M719" s="91"/>
      <c r="N719" s="88"/>
      <c r="O719" s="91"/>
      <c r="P719" s="91"/>
      <c r="Q719" s="88"/>
      <c r="R719" s="91"/>
      <c r="S719" s="91"/>
      <c r="T719" s="88"/>
      <c r="U719" s="88"/>
      <c r="V719" s="88"/>
      <c r="Y719" s="91"/>
      <c r="Z719" s="88"/>
    </row>
    <row r="720" spans="6:26" ht="12.5" x14ac:dyDescent="0.25">
      <c r="F720" s="88"/>
      <c r="G720" s="91"/>
      <c r="H720" s="91"/>
      <c r="I720" s="88"/>
      <c r="J720" s="91"/>
      <c r="K720" s="88"/>
      <c r="L720" s="88"/>
      <c r="M720" s="91"/>
      <c r="N720" s="88"/>
      <c r="O720" s="91"/>
      <c r="P720" s="91"/>
      <c r="Q720" s="88"/>
      <c r="R720" s="91"/>
      <c r="S720" s="91"/>
      <c r="T720" s="88"/>
      <c r="U720" s="88"/>
      <c r="V720" s="88"/>
      <c r="Y720" s="91"/>
      <c r="Z720" s="88"/>
    </row>
    <row r="721" spans="6:26" ht="12.5" x14ac:dyDescent="0.25">
      <c r="F721" s="88"/>
      <c r="G721" s="91"/>
      <c r="H721" s="91"/>
      <c r="I721" s="88"/>
      <c r="J721" s="91"/>
      <c r="K721" s="88"/>
      <c r="L721" s="88"/>
      <c r="M721" s="91"/>
      <c r="N721" s="88"/>
      <c r="O721" s="91"/>
      <c r="P721" s="91"/>
      <c r="Q721" s="88"/>
      <c r="R721" s="91"/>
      <c r="S721" s="91"/>
      <c r="T721" s="88"/>
      <c r="U721" s="88"/>
      <c r="V721" s="88"/>
      <c r="Y721" s="91"/>
      <c r="Z721" s="88"/>
    </row>
    <row r="722" spans="6:26" ht="12.5" x14ac:dyDescent="0.25">
      <c r="F722" s="88"/>
      <c r="G722" s="91"/>
      <c r="H722" s="91"/>
      <c r="I722" s="88"/>
      <c r="J722" s="91"/>
      <c r="K722" s="88"/>
      <c r="L722" s="88"/>
      <c r="M722" s="91"/>
      <c r="N722" s="88"/>
      <c r="O722" s="91"/>
      <c r="P722" s="91"/>
      <c r="Q722" s="88"/>
      <c r="R722" s="91"/>
      <c r="S722" s="91"/>
      <c r="T722" s="88"/>
      <c r="U722" s="88"/>
      <c r="V722" s="88"/>
      <c r="Y722" s="91"/>
      <c r="Z722" s="88"/>
    </row>
    <row r="723" spans="6:26" ht="12.5" x14ac:dyDescent="0.25">
      <c r="F723" s="88"/>
      <c r="G723" s="91"/>
      <c r="H723" s="91"/>
      <c r="I723" s="88"/>
      <c r="J723" s="91"/>
      <c r="K723" s="88"/>
      <c r="L723" s="88"/>
      <c r="M723" s="91"/>
      <c r="N723" s="88"/>
      <c r="O723" s="91"/>
      <c r="P723" s="91"/>
      <c r="Q723" s="88"/>
      <c r="R723" s="91"/>
      <c r="S723" s="91"/>
      <c r="T723" s="88"/>
      <c r="U723" s="88"/>
      <c r="V723" s="88"/>
      <c r="Y723" s="91"/>
      <c r="Z723" s="88"/>
    </row>
    <row r="724" spans="6:26" ht="12.5" x14ac:dyDescent="0.25">
      <c r="F724" s="88"/>
      <c r="G724" s="91"/>
      <c r="H724" s="91"/>
      <c r="I724" s="88"/>
      <c r="J724" s="91"/>
      <c r="K724" s="88"/>
      <c r="L724" s="88"/>
      <c r="M724" s="91"/>
      <c r="N724" s="88"/>
      <c r="O724" s="91"/>
      <c r="P724" s="91"/>
      <c r="Q724" s="88"/>
      <c r="R724" s="91"/>
      <c r="S724" s="91"/>
      <c r="T724" s="88"/>
      <c r="U724" s="88"/>
      <c r="V724" s="88"/>
      <c r="Y724" s="91"/>
      <c r="Z724" s="88"/>
    </row>
    <row r="725" spans="6:26" ht="12.5" x14ac:dyDescent="0.25">
      <c r="F725" s="88"/>
      <c r="G725" s="91"/>
      <c r="H725" s="91"/>
      <c r="I725" s="88"/>
      <c r="J725" s="91"/>
      <c r="K725" s="88"/>
      <c r="L725" s="88"/>
      <c r="M725" s="91"/>
      <c r="N725" s="88"/>
      <c r="O725" s="91"/>
      <c r="P725" s="91"/>
      <c r="Q725" s="88"/>
      <c r="R725" s="91"/>
      <c r="S725" s="91"/>
      <c r="T725" s="88"/>
      <c r="U725" s="88"/>
      <c r="V725" s="88"/>
      <c r="Y725" s="91"/>
      <c r="Z725" s="88"/>
    </row>
    <row r="726" spans="6:26" ht="12.5" x14ac:dyDescent="0.25">
      <c r="F726" s="88"/>
      <c r="G726" s="91"/>
      <c r="H726" s="91"/>
      <c r="I726" s="88"/>
      <c r="J726" s="91"/>
      <c r="K726" s="88"/>
      <c r="L726" s="88"/>
      <c r="M726" s="91"/>
      <c r="N726" s="88"/>
      <c r="O726" s="91"/>
      <c r="P726" s="91"/>
      <c r="Q726" s="88"/>
      <c r="R726" s="91"/>
      <c r="S726" s="91"/>
      <c r="T726" s="88"/>
      <c r="U726" s="88"/>
      <c r="V726" s="88"/>
      <c r="Y726" s="91"/>
      <c r="Z726" s="88"/>
    </row>
    <row r="727" spans="6:26" ht="12.5" x14ac:dyDescent="0.25">
      <c r="F727" s="88"/>
      <c r="G727" s="91"/>
      <c r="H727" s="91"/>
      <c r="I727" s="88"/>
      <c r="J727" s="91"/>
      <c r="K727" s="88"/>
      <c r="L727" s="88"/>
      <c r="M727" s="91"/>
      <c r="N727" s="88"/>
      <c r="O727" s="91"/>
      <c r="P727" s="91"/>
      <c r="Q727" s="88"/>
      <c r="R727" s="91"/>
      <c r="S727" s="91"/>
      <c r="T727" s="88"/>
      <c r="U727" s="88"/>
      <c r="V727" s="88"/>
      <c r="Y727" s="91"/>
      <c r="Z727" s="88"/>
    </row>
    <row r="728" spans="6:26" ht="12.5" x14ac:dyDescent="0.25">
      <c r="F728" s="88"/>
      <c r="G728" s="91"/>
      <c r="H728" s="91"/>
      <c r="I728" s="88"/>
      <c r="J728" s="91"/>
      <c r="K728" s="88"/>
      <c r="L728" s="88"/>
      <c r="M728" s="91"/>
      <c r="N728" s="88"/>
      <c r="O728" s="91"/>
      <c r="P728" s="91"/>
      <c r="Q728" s="88"/>
      <c r="R728" s="91"/>
      <c r="S728" s="91"/>
      <c r="T728" s="88"/>
      <c r="U728" s="88"/>
      <c r="V728" s="88"/>
      <c r="Y728" s="91"/>
      <c r="Z728" s="88"/>
    </row>
    <row r="729" spans="6:26" ht="12.5" x14ac:dyDescent="0.25">
      <c r="F729" s="88"/>
      <c r="G729" s="91"/>
      <c r="H729" s="91"/>
      <c r="I729" s="88"/>
      <c r="J729" s="91"/>
      <c r="K729" s="88"/>
      <c r="L729" s="88"/>
      <c r="M729" s="91"/>
      <c r="N729" s="88"/>
      <c r="O729" s="91"/>
      <c r="P729" s="91"/>
      <c r="Q729" s="88"/>
      <c r="R729" s="91"/>
      <c r="S729" s="91"/>
      <c r="T729" s="88"/>
      <c r="U729" s="88"/>
      <c r="V729" s="88"/>
      <c r="Y729" s="91"/>
      <c r="Z729" s="88"/>
    </row>
    <row r="730" spans="6:26" ht="12.5" x14ac:dyDescent="0.25">
      <c r="F730" s="88"/>
      <c r="G730" s="91"/>
      <c r="H730" s="91"/>
      <c r="I730" s="88"/>
      <c r="J730" s="91"/>
      <c r="K730" s="88"/>
      <c r="L730" s="88"/>
      <c r="M730" s="91"/>
      <c r="N730" s="88"/>
      <c r="O730" s="91"/>
      <c r="P730" s="91"/>
      <c r="Q730" s="88"/>
      <c r="R730" s="91"/>
      <c r="S730" s="91"/>
      <c r="T730" s="88"/>
      <c r="U730" s="88"/>
      <c r="V730" s="88"/>
      <c r="Y730" s="91"/>
      <c r="Z730" s="88"/>
    </row>
    <row r="731" spans="6:26" ht="12.5" x14ac:dyDescent="0.25">
      <c r="F731" s="88"/>
      <c r="G731" s="91"/>
      <c r="H731" s="91"/>
      <c r="I731" s="88"/>
      <c r="J731" s="91"/>
      <c r="K731" s="88"/>
      <c r="L731" s="88"/>
      <c r="M731" s="91"/>
      <c r="N731" s="88"/>
      <c r="O731" s="91"/>
      <c r="P731" s="91"/>
      <c r="Q731" s="88"/>
      <c r="R731" s="91"/>
      <c r="S731" s="91"/>
      <c r="T731" s="88"/>
      <c r="U731" s="88"/>
      <c r="V731" s="88"/>
      <c r="Y731" s="91"/>
      <c r="Z731" s="88"/>
    </row>
    <row r="732" spans="6:26" ht="12.5" x14ac:dyDescent="0.25">
      <c r="F732" s="88"/>
      <c r="G732" s="91"/>
      <c r="H732" s="91"/>
      <c r="I732" s="88"/>
      <c r="J732" s="91"/>
      <c r="K732" s="88"/>
      <c r="L732" s="88"/>
      <c r="M732" s="91"/>
      <c r="N732" s="88"/>
      <c r="O732" s="91"/>
      <c r="P732" s="91"/>
      <c r="Q732" s="88"/>
      <c r="R732" s="91"/>
      <c r="S732" s="91"/>
      <c r="T732" s="88"/>
      <c r="U732" s="88"/>
      <c r="V732" s="88"/>
      <c r="Y732" s="91"/>
      <c r="Z732" s="88"/>
    </row>
    <row r="733" spans="6:26" ht="12.5" x14ac:dyDescent="0.25">
      <c r="F733" s="88"/>
      <c r="G733" s="91"/>
      <c r="H733" s="91"/>
      <c r="I733" s="88"/>
      <c r="J733" s="91"/>
      <c r="K733" s="88"/>
      <c r="L733" s="88"/>
      <c r="M733" s="91"/>
      <c r="N733" s="88"/>
      <c r="O733" s="91"/>
      <c r="P733" s="91"/>
      <c r="Q733" s="88"/>
      <c r="R733" s="91"/>
      <c r="S733" s="91"/>
      <c r="T733" s="88"/>
      <c r="U733" s="88"/>
      <c r="V733" s="88"/>
      <c r="Y733" s="91"/>
      <c r="Z733" s="88"/>
    </row>
    <row r="734" spans="6:26" ht="12.5" x14ac:dyDescent="0.25">
      <c r="F734" s="88"/>
      <c r="G734" s="91"/>
      <c r="H734" s="91"/>
      <c r="I734" s="88"/>
      <c r="J734" s="91"/>
      <c r="K734" s="88"/>
      <c r="L734" s="88"/>
      <c r="M734" s="91"/>
      <c r="N734" s="88"/>
      <c r="O734" s="91"/>
      <c r="P734" s="91"/>
      <c r="Q734" s="88"/>
      <c r="R734" s="91"/>
      <c r="S734" s="91"/>
      <c r="T734" s="88"/>
      <c r="U734" s="88"/>
      <c r="V734" s="88"/>
      <c r="Y734" s="91"/>
      <c r="Z734" s="88"/>
    </row>
    <row r="735" spans="6:26" ht="12.5" x14ac:dyDescent="0.25">
      <c r="F735" s="88"/>
      <c r="G735" s="91"/>
      <c r="H735" s="91"/>
      <c r="I735" s="88"/>
      <c r="J735" s="91"/>
      <c r="K735" s="88"/>
      <c r="L735" s="88"/>
      <c r="M735" s="91"/>
      <c r="N735" s="88"/>
      <c r="O735" s="91"/>
      <c r="P735" s="91"/>
      <c r="Q735" s="88"/>
      <c r="R735" s="91"/>
      <c r="S735" s="91"/>
      <c r="T735" s="88"/>
      <c r="U735" s="88"/>
      <c r="V735" s="88"/>
      <c r="Y735" s="91"/>
      <c r="Z735" s="88"/>
    </row>
    <row r="736" spans="6:26" ht="12.5" x14ac:dyDescent="0.25">
      <c r="F736" s="88"/>
      <c r="G736" s="91"/>
      <c r="H736" s="91"/>
      <c r="I736" s="88"/>
      <c r="J736" s="91"/>
      <c r="K736" s="88"/>
      <c r="L736" s="88"/>
      <c r="M736" s="91"/>
      <c r="N736" s="88"/>
      <c r="O736" s="91"/>
      <c r="P736" s="91"/>
      <c r="Q736" s="88"/>
      <c r="R736" s="91"/>
      <c r="S736" s="91"/>
      <c r="T736" s="88"/>
      <c r="U736" s="88"/>
      <c r="V736" s="88"/>
      <c r="Y736" s="91"/>
      <c r="Z736" s="88"/>
    </row>
    <row r="737" spans="6:26" ht="12.5" x14ac:dyDescent="0.25">
      <c r="F737" s="88"/>
      <c r="G737" s="91"/>
      <c r="H737" s="91"/>
      <c r="I737" s="88"/>
      <c r="J737" s="91"/>
      <c r="K737" s="88"/>
      <c r="L737" s="88"/>
      <c r="M737" s="91"/>
      <c r="N737" s="88"/>
      <c r="O737" s="91"/>
      <c r="P737" s="91"/>
      <c r="Q737" s="88"/>
      <c r="R737" s="91"/>
      <c r="S737" s="91"/>
      <c r="T737" s="88"/>
      <c r="U737" s="88"/>
      <c r="V737" s="88"/>
      <c r="Y737" s="91"/>
      <c r="Z737" s="88"/>
    </row>
    <row r="738" spans="6:26" ht="12.5" x14ac:dyDescent="0.25">
      <c r="F738" s="88"/>
      <c r="G738" s="91"/>
      <c r="H738" s="91"/>
      <c r="I738" s="88"/>
      <c r="J738" s="91"/>
      <c r="K738" s="88"/>
      <c r="L738" s="88"/>
      <c r="M738" s="91"/>
      <c r="N738" s="88"/>
      <c r="O738" s="91"/>
      <c r="P738" s="91"/>
      <c r="Q738" s="88"/>
      <c r="R738" s="91"/>
      <c r="S738" s="91"/>
      <c r="T738" s="88"/>
      <c r="U738" s="88"/>
      <c r="V738" s="88"/>
      <c r="Y738" s="91"/>
      <c r="Z738" s="88"/>
    </row>
    <row r="739" spans="6:26" ht="12.5" x14ac:dyDescent="0.25">
      <c r="F739" s="88"/>
      <c r="G739" s="91"/>
      <c r="H739" s="91"/>
      <c r="I739" s="88"/>
      <c r="J739" s="91"/>
      <c r="K739" s="88"/>
      <c r="L739" s="88"/>
      <c r="M739" s="91"/>
      <c r="N739" s="88"/>
      <c r="O739" s="91"/>
      <c r="P739" s="91"/>
      <c r="Q739" s="88"/>
      <c r="R739" s="91"/>
      <c r="S739" s="91"/>
      <c r="T739" s="88"/>
      <c r="U739" s="88"/>
      <c r="V739" s="88"/>
      <c r="Y739" s="91"/>
      <c r="Z739" s="88"/>
    </row>
    <row r="740" spans="6:26" ht="12.5" x14ac:dyDescent="0.25">
      <c r="F740" s="88"/>
      <c r="G740" s="91"/>
      <c r="H740" s="91"/>
      <c r="I740" s="88"/>
      <c r="J740" s="91"/>
      <c r="K740" s="88"/>
      <c r="L740" s="88"/>
      <c r="M740" s="91"/>
      <c r="N740" s="88"/>
      <c r="O740" s="91"/>
      <c r="P740" s="91"/>
      <c r="Q740" s="88"/>
      <c r="R740" s="91"/>
      <c r="S740" s="91"/>
      <c r="T740" s="88"/>
      <c r="U740" s="88"/>
      <c r="V740" s="88"/>
      <c r="Y740" s="91"/>
      <c r="Z740" s="88"/>
    </row>
    <row r="741" spans="6:26" ht="12.5" x14ac:dyDescent="0.25">
      <c r="F741" s="88"/>
      <c r="G741" s="91"/>
      <c r="H741" s="91"/>
      <c r="I741" s="88"/>
      <c r="J741" s="91"/>
      <c r="K741" s="88"/>
      <c r="L741" s="88"/>
      <c r="M741" s="91"/>
      <c r="N741" s="88"/>
      <c r="O741" s="91"/>
      <c r="P741" s="91"/>
      <c r="Q741" s="88"/>
      <c r="R741" s="91"/>
      <c r="S741" s="91"/>
      <c r="T741" s="88"/>
      <c r="U741" s="88"/>
      <c r="V741" s="88"/>
      <c r="Y741" s="91"/>
      <c r="Z741" s="88"/>
    </row>
    <row r="742" spans="6:26" ht="12.5" x14ac:dyDescent="0.25">
      <c r="F742" s="88"/>
      <c r="G742" s="91"/>
      <c r="H742" s="91"/>
      <c r="I742" s="88"/>
      <c r="J742" s="91"/>
      <c r="K742" s="88"/>
      <c r="L742" s="88"/>
      <c r="M742" s="91"/>
      <c r="N742" s="88"/>
      <c r="O742" s="91"/>
      <c r="P742" s="91"/>
      <c r="Q742" s="88"/>
      <c r="R742" s="91"/>
      <c r="S742" s="91"/>
      <c r="T742" s="88"/>
      <c r="U742" s="88"/>
      <c r="V742" s="88"/>
      <c r="Y742" s="91"/>
      <c r="Z742" s="88"/>
    </row>
    <row r="743" spans="6:26" ht="12.5" x14ac:dyDescent="0.25">
      <c r="F743" s="88"/>
      <c r="G743" s="91"/>
      <c r="H743" s="91"/>
      <c r="I743" s="88"/>
      <c r="J743" s="91"/>
      <c r="K743" s="88"/>
      <c r="L743" s="88"/>
      <c r="M743" s="91"/>
      <c r="N743" s="88"/>
      <c r="O743" s="91"/>
      <c r="P743" s="91"/>
      <c r="Q743" s="88"/>
      <c r="R743" s="91"/>
      <c r="S743" s="91"/>
      <c r="T743" s="88"/>
      <c r="U743" s="88"/>
      <c r="V743" s="88"/>
      <c r="Y743" s="91"/>
      <c r="Z743" s="88"/>
    </row>
    <row r="744" spans="6:26" ht="12.5" x14ac:dyDescent="0.25">
      <c r="F744" s="88"/>
      <c r="G744" s="91"/>
      <c r="H744" s="91"/>
      <c r="I744" s="88"/>
      <c r="J744" s="91"/>
      <c r="K744" s="88"/>
      <c r="L744" s="88"/>
      <c r="M744" s="91"/>
      <c r="N744" s="88"/>
      <c r="O744" s="91"/>
      <c r="P744" s="91"/>
      <c r="Q744" s="88"/>
      <c r="R744" s="91"/>
      <c r="S744" s="91"/>
      <c r="T744" s="88"/>
      <c r="U744" s="88"/>
      <c r="V744" s="88"/>
      <c r="Y744" s="91"/>
      <c r="Z744" s="88"/>
    </row>
    <row r="745" spans="6:26" ht="12.5" x14ac:dyDescent="0.25">
      <c r="F745" s="88"/>
      <c r="G745" s="91"/>
      <c r="H745" s="91"/>
      <c r="I745" s="88"/>
      <c r="J745" s="91"/>
      <c r="K745" s="88"/>
      <c r="L745" s="88"/>
      <c r="M745" s="91"/>
      <c r="N745" s="88"/>
      <c r="O745" s="91"/>
      <c r="P745" s="91"/>
      <c r="Q745" s="88"/>
      <c r="R745" s="91"/>
      <c r="S745" s="91"/>
      <c r="T745" s="88"/>
      <c r="U745" s="88"/>
      <c r="V745" s="88"/>
      <c r="Y745" s="91"/>
      <c r="Z745" s="88"/>
    </row>
    <row r="746" spans="6:26" ht="12.5" x14ac:dyDescent="0.25">
      <c r="F746" s="88"/>
      <c r="G746" s="91"/>
      <c r="H746" s="91"/>
      <c r="I746" s="88"/>
      <c r="J746" s="91"/>
      <c r="K746" s="88"/>
      <c r="L746" s="88"/>
      <c r="M746" s="91"/>
      <c r="N746" s="88"/>
      <c r="O746" s="91"/>
      <c r="P746" s="91"/>
      <c r="Q746" s="88"/>
      <c r="R746" s="91"/>
      <c r="S746" s="91"/>
      <c r="T746" s="88"/>
      <c r="U746" s="88"/>
      <c r="V746" s="88"/>
      <c r="Y746" s="91"/>
      <c r="Z746" s="88"/>
    </row>
    <row r="747" spans="6:26" ht="12.5" x14ac:dyDescent="0.25">
      <c r="F747" s="88"/>
      <c r="G747" s="91"/>
      <c r="H747" s="91"/>
      <c r="I747" s="88"/>
      <c r="J747" s="91"/>
      <c r="K747" s="88"/>
      <c r="L747" s="88"/>
      <c r="M747" s="91"/>
      <c r="N747" s="88"/>
      <c r="O747" s="91"/>
      <c r="P747" s="91"/>
      <c r="Q747" s="88"/>
      <c r="R747" s="91"/>
      <c r="S747" s="91"/>
      <c r="T747" s="88"/>
      <c r="U747" s="88"/>
      <c r="V747" s="88"/>
      <c r="Y747" s="91"/>
      <c r="Z747" s="88"/>
    </row>
    <row r="748" spans="6:26" ht="12.5" x14ac:dyDescent="0.25">
      <c r="F748" s="88"/>
      <c r="G748" s="91"/>
      <c r="H748" s="91"/>
      <c r="I748" s="88"/>
      <c r="J748" s="91"/>
      <c r="K748" s="88"/>
      <c r="L748" s="88"/>
      <c r="M748" s="91"/>
      <c r="N748" s="88"/>
      <c r="O748" s="91"/>
      <c r="P748" s="91"/>
      <c r="Q748" s="88"/>
      <c r="R748" s="91"/>
      <c r="S748" s="91"/>
      <c r="T748" s="88"/>
      <c r="U748" s="88"/>
      <c r="V748" s="88"/>
      <c r="Y748" s="91"/>
      <c r="Z748" s="88"/>
    </row>
    <row r="749" spans="6:26" ht="12.5" x14ac:dyDescent="0.25">
      <c r="F749" s="88"/>
      <c r="G749" s="91"/>
      <c r="H749" s="91"/>
      <c r="I749" s="88"/>
      <c r="J749" s="91"/>
      <c r="K749" s="88"/>
      <c r="L749" s="88"/>
      <c r="M749" s="91"/>
      <c r="N749" s="88"/>
      <c r="O749" s="91"/>
      <c r="P749" s="91"/>
      <c r="Q749" s="88"/>
      <c r="R749" s="91"/>
      <c r="S749" s="91"/>
      <c r="T749" s="88"/>
      <c r="U749" s="88"/>
      <c r="V749" s="88"/>
      <c r="Y749" s="91"/>
      <c r="Z749" s="88"/>
    </row>
    <row r="750" spans="6:26" ht="12.5" x14ac:dyDescent="0.25">
      <c r="F750" s="88"/>
      <c r="G750" s="91"/>
      <c r="H750" s="91"/>
      <c r="I750" s="88"/>
      <c r="J750" s="91"/>
      <c r="K750" s="88"/>
      <c r="L750" s="88"/>
      <c r="M750" s="91"/>
      <c r="N750" s="88"/>
      <c r="O750" s="91"/>
      <c r="P750" s="91"/>
      <c r="Q750" s="88"/>
      <c r="R750" s="91"/>
      <c r="S750" s="91"/>
      <c r="T750" s="88"/>
      <c r="U750" s="88"/>
      <c r="V750" s="88"/>
      <c r="Y750" s="91"/>
      <c r="Z750" s="88"/>
    </row>
    <row r="751" spans="6:26" ht="12.5" x14ac:dyDescent="0.25">
      <c r="F751" s="88"/>
      <c r="G751" s="91"/>
      <c r="H751" s="91"/>
      <c r="I751" s="88"/>
      <c r="J751" s="91"/>
      <c r="K751" s="88"/>
      <c r="L751" s="88"/>
      <c r="M751" s="91"/>
      <c r="N751" s="88"/>
      <c r="O751" s="91"/>
      <c r="P751" s="91"/>
      <c r="Q751" s="88"/>
      <c r="R751" s="91"/>
      <c r="S751" s="91"/>
      <c r="T751" s="88"/>
      <c r="U751" s="88"/>
      <c r="V751" s="88"/>
      <c r="Y751" s="91"/>
      <c r="Z751" s="88"/>
    </row>
    <row r="752" spans="6:26" ht="12.5" x14ac:dyDescent="0.25">
      <c r="F752" s="88"/>
      <c r="G752" s="91"/>
      <c r="H752" s="91"/>
      <c r="I752" s="88"/>
      <c r="J752" s="91"/>
      <c r="K752" s="88"/>
      <c r="L752" s="88"/>
      <c r="M752" s="91"/>
      <c r="N752" s="88"/>
      <c r="O752" s="91"/>
      <c r="P752" s="91"/>
      <c r="Q752" s="88"/>
      <c r="R752" s="91"/>
      <c r="S752" s="91"/>
      <c r="T752" s="88"/>
      <c r="U752" s="88"/>
      <c r="V752" s="88"/>
      <c r="Y752" s="91"/>
      <c r="Z752" s="88"/>
    </row>
    <row r="753" spans="6:26" ht="12.5" x14ac:dyDescent="0.25">
      <c r="F753" s="88"/>
      <c r="G753" s="91"/>
      <c r="H753" s="91"/>
      <c r="I753" s="88"/>
      <c r="J753" s="91"/>
      <c r="K753" s="88"/>
      <c r="L753" s="88"/>
      <c r="M753" s="91"/>
      <c r="N753" s="88"/>
      <c r="O753" s="91"/>
      <c r="P753" s="91"/>
      <c r="Q753" s="88"/>
      <c r="R753" s="91"/>
      <c r="S753" s="91"/>
      <c r="T753" s="88"/>
      <c r="U753" s="88"/>
      <c r="V753" s="88"/>
      <c r="Y753" s="91"/>
      <c r="Z753" s="88"/>
    </row>
    <row r="754" spans="6:26" ht="12.5" x14ac:dyDescent="0.25">
      <c r="F754" s="88"/>
      <c r="G754" s="91"/>
      <c r="H754" s="91"/>
      <c r="I754" s="88"/>
      <c r="J754" s="91"/>
      <c r="K754" s="88"/>
      <c r="L754" s="88"/>
      <c r="M754" s="91"/>
      <c r="N754" s="88"/>
      <c r="O754" s="91"/>
      <c r="P754" s="91"/>
      <c r="Q754" s="88"/>
      <c r="R754" s="91"/>
      <c r="S754" s="91"/>
      <c r="T754" s="88"/>
      <c r="U754" s="88"/>
      <c r="V754" s="88"/>
      <c r="Y754" s="91"/>
      <c r="Z754" s="88"/>
    </row>
    <row r="755" spans="6:26" ht="12.5" x14ac:dyDescent="0.25">
      <c r="F755" s="88"/>
      <c r="G755" s="91"/>
      <c r="H755" s="91"/>
      <c r="I755" s="88"/>
      <c r="J755" s="91"/>
      <c r="K755" s="88"/>
      <c r="L755" s="88"/>
      <c r="M755" s="91"/>
      <c r="N755" s="88"/>
      <c r="O755" s="91"/>
      <c r="P755" s="91"/>
      <c r="Q755" s="88"/>
      <c r="R755" s="91"/>
      <c r="S755" s="91"/>
      <c r="T755" s="88"/>
      <c r="U755" s="88"/>
      <c r="V755" s="88"/>
      <c r="Y755" s="91"/>
      <c r="Z755" s="88"/>
    </row>
    <row r="756" spans="6:26" ht="12.5" x14ac:dyDescent="0.25">
      <c r="F756" s="88"/>
      <c r="G756" s="91"/>
      <c r="H756" s="91"/>
      <c r="I756" s="88"/>
      <c r="J756" s="91"/>
      <c r="K756" s="88"/>
      <c r="L756" s="88"/>
      <c r="M756" s="91"/>
      <c r="N756" s="88"/>
      <c r="O756" s="91"/>
      <c r="P756" s="91"/>
      <c r="Q756" s="88"/>
      <c r="R756" s="91"/>
      <c r="S756" s="91"/>
      <c r="T756" s="88"/>
      <c r="U756" s="88"/>
      <c r="V756" s="88"/>
      <c r="Y756" s="91"/>
      <c r="Z756" s="88"/>
    </row>
    <row r="757" spans="6:26" ht="12.5" x14ac:dyDescent="0.25">
      <c r="F757" s="88"/>
      <c r="G757" s="91"/>
      <c r="H757" s="91"/>
      <c r="I757" s="88"/>
      <c r="J757" s="91"/>
      <c r="K757" s="88"/>
      <c r="L757" s="88"/>
      <c r="M757" s="91"/>
      <c r="N757" s="88"/>
      <c r="O757" s="91"/>
      <c r="P757" s="91"/>
      <c r="Q757" s="88"/>
      <c r="R757" s="91"/>
      <c r="S757" s="91"/>
      <c r="T757" s="88"/>
      <c r="U757" s="88"/>
      <c r="V757" s="88"/>
      <c r="Y757" s="91"/>
      <c r="Z757" s="88"/>
    </row>
    <row r="758" spans="6:26" ht="12.5" x14ac:dyDescent="0.25">
      <c r="F758" s="88"/>
      <c r="G758" s="91"/>
      <c r="H758" s="91"/>
      <c r="I758" s="88"/>
      <c r="J758" s="91"/>
      <c r="K758" s="88"/>
      <c r="L758" s="88"/>
      <c r="M758" s="91"/>
      <c r="N758" s="88"/>
      <c r="O758" s="91"/>
      <c r="P758" s="91"/>
      <c r="Q758" s="88"/>
      <c r="R758" s="91"/>
      <c r="S758" s="91"/>
      <c r="T758" s="88"/>
      <c r="U758" s="88"/>
      <c r="V758" s="88"/>
      <c r="Y758" s="91"/>
      <c r="Z758" s="88"/>
    </row>
    <row r="759" spans="6:26" ht="12.5" x14ac:dyDescent="0.25">
      <c r="F759" s="88"/>
      <c r="G759" s="91"/>
      <c r="H759" s="91"/>
      <c r="I759" s="88"/>
      <c r="J759" s="91"/>
      <c r="K759" s="88"/>
      <c r="L759" s="88"/>
      <c r="M759" s="91"/>
      <c r="N759" s="88"/>
      <c r="O759" s="91"/>
      <c r="P759" s="91"/>
      <c r="Q759" s="88"/>
      <c r="R759" s="91"/>
      <c r="S759" s="91"/>
      <c r="T759" s="88"/>
      <c r="U759" s="88"/>
      <c r="V759" s="88"/>
      <c r="Y759" s="91"/>
      <c r="Z759" s="88"/>
    </row>
    <row r="760" spans="6:26" ht="12.5" x14ac:dyDescent="0.25">
      <c r="F760" s="88"/>
      <c r="G760" s="91"/>
      <c r="H760" s="91"/>
      <c r="I760" s="88"/>
      <c r="J760" s="91"/>
      <c r="K760" s="88"/>
      <c r="L760" s="88"/>
      <c r="M760" s="91"/>
      <c r="N760" s="88"/>
      <c r="O760" s="91"/>
      <c r="P760" s="91"/>
      <c r="Q760" s="88"/>
      <c r="R760" s="91"/>
      <c r="S760" s="91"/>
      <c r="T760" s="88"/>
      <c r="U760" s="88"/>
      <c r="V760" s="88"/>
      <c r="Y760" s="91"/>
      <c r="Z760" s="88"/>
    </row>
    <row r="761" spans="6:26" ht="12.5" x14ac:dyDescent="0.25">
      <c r="F761" s="88"/>
      <c r="G761" s="91"/>
      <c r="H761" s="91"/>
      <c r="I761" s="88"/>
      <c r="J761" s="91"/>
      <c r="K761" s="88"/>
      <c r="L761" s="88"/>
      <c r="M761" s="91"/>
      <c r="N761" s="88"/>
      <c r="O761" s="91"/>
      <c r="P761" s="91"/>
      <c r="Q761" s="88"/>
      <c r="R761" s="91"/>
      <c r="S761" s="91"/>
      <c r="T761" s="88"/>
      <c r="U761" s="88"/>
      <c r="V761" s="88"/>
      <c r="Y761" s="91"/>
      <c r="Z761" s="88"/>
    </row>
    <row r="762" spans="6:26" ht="12.5" x14ac:dyDescent="0.25">
      <c r="F762" s="88"/>
      <c r="G762" s="91"/>
      <c r="H762" s="91"/>
      <c r="I762" s="88"/>
      <c r="J762" s="91"/>
      <c r="K762" s="88"/>
      <c r="L762" s="88"/>
      <c r="M762" s="91"/>
      <c r="N762" s="88"/>
      <c r="O762" s="91"/>
      <c r="P762" s="91"/>
      <c r="Q762" s="88"/>
      <c r="R762" s="91"/>
      <c r="S762" s="91"/>
      <c r="T762" s="88"/>
      <c r="U762" s="88"/>
      <c r="V762" s="88"/>
      <c r="Y762" s="91"/>
      <c r="Z762" s="88"/>
    </row>
    <row r="763" spans="6:26" ht="12.5" x14ac:dyDescent="0.25">
      <c r="F763" s="88"/>
      <c r="G763" s="91"/>
      <c r="H763" s="91"/>
      <c r="I763" s="88"/>
      <c r="J763" s="91"/>
      <c r="K763" s="88"/>
      <c r="L763" s="88"/>
      <c r="M763" s="91"/>
      <c r="N763" s="88"/>
      <c r="O763" s="91"/>
      <c r="P763" s="91"/>
      <c r="Q763" s="88"/>
      <c r="R763" s="91"/>
      <c r="S763" s="91"/>
      <c r="T763" s="88"/>
      <c r="U763" s="88"/>
      <c r="V763" s="88"/>
      <c r="Y763" s="91"/>
      <c r="Z763" s="88"/>
    </row>
    <row r="764" spans="6:26" ht="12.5" x14ac:dyDescent="0.25">
      <c r="F764" s="88"/>
      <c r="G764" s="91"/>
      <c r="H764" s="91"/>
      <c r="I764" s="88"/>
      <c r="J764" s="91"/>
      <c r="K764" s="88"/>
      <c r="L764" s="88"/>
      <c r="M764" s="91"/>
      <c r="N764" s="88"/>
      <c r="O764" s="91"/>
      <c r="P764" s="91"/>
      <c r="Q764" s="88"/>
      <c r="R764" s="91"/>
      <c r="S764" s="91"/>
      <c r="T764" s="88"/>
      <c r="U764" s="88"/>
      <c r="V764" s="88"/>
      <c r="Y764" s="91"/>
      <c r="Z764" s="88"/>
    </row>
    <row r="765" spans="6:26" ht="12.5" x14ac:dyDescent="0.25">
      <c r="F765" s="88"/>
      <c r="G765" s="91"/>
      <c r="H765" s="91"/>
      <c r="I765" s="88"/>
      <c r="J765" s="91"/>
      <c r="K765" s="88"/>
      <c r="L765" s="88"/>
      <c r="M765" s="91"/>
      <c r="N765" s="88"/>
      <c r="O765" s="91"/>
      <c r="P765" s="91"/>
      <c r="Q765" s="88"/>
      <c r="R765" s="91"/>
      <c r="S765" s="91"/>
      <c r="T765" s="88"/>
      <c r="U765" s="88"/>
      <c r="V765" s="88"/>
      <c r="Y765" s="91"/>
      <c r="Z765" s="88"/>
    </row>
    <row r="766" spans="6:26" ht="12.5" x14ac:dyDescent="0.25">
      <c r="F766" s="88"/>
      <c r="G766" s="91"/>
      <c r="H766" s="91"/>
      <c r="I766" s="88"/>
      <c r="J766" s="91"/>
      <c r="K766" s="88"/>
      <c r="L766" s="88"/>
      <c r="M766" s="91"/>
      <c r="N766" s="88"/>
      <c r="O766" s="91"/>
      <c r="P766" s="91"/>
      <c r="Q766" s="88"/>
      <c r="R766" s="91"/>
      <c r="S766" s="91"/>
      <c r="T766" s="88"/>
      <c r="U766" s="88"/>
      <c r="V766" s="88"/>
      <c r="Y766" s="91"/>
      <c r="Z766" s="88"/>
    </row>
    <row r="767" spans="6:26" ht="12.5" x14ac:dyDescent="0.25">
      <c r="F767" s="88"/>
      <c r="G767" s="91"/>
      <c r="H767" s="91"/>
      <c r="I767" s="88"/>
      <c r="J767" s="91"/>
      <c r="K767" s="88"/>
      <c r="L767" s="88"/>
      <c r="M767" s="91"/>
      <c r="N767" s="88"/>
      <c r="O767" s="91"/>
      <c r="P767" s="91"/>
      <c r="Q767" s="88"/>
      <c r="R767" s="91"/>
      <c r="S767" s="91"/>
      <c r="T767" s="88"/>
      <c r="U767" s="88"/>
      <c r="V767" s="88"/>
      <c r="Y767" s="91"/>
      <c r="Z767" s="88"/>
    </row>
    <row r="768" spans="6:26" ht="12.5" x14ac:dyDescent="0.25">
      <c r="F768" s="88"/>
      <c r="G768" s="91"/>
      <c r="H768" s="91"/>
      <c r="I768" s="88"/>
      <c r="J768" s="91"/>
      <c r="K768" s="88"/>
      <c r="L768" s="88"/>
      <c r="M768" s="91"/>
      <c r="N768" s="88"/>
      <c r="O768" s="91"/>
      <c r="P768" s="91"/>
      <c r="Q768" s="88"/>
      <c r="R768" s="91"/>
      <c r="S768" s="91"/>
      <c r="T768" s="88"/>
      <c r="U768" s="88"/>
      <c r="V768" s="88"/>
      <c r="Y768" s="91"/>
      <c r="Z768" s="88"/>
    </row>
    <row r="769" spans="6:26" ht="12.5" x14ac:dyDescent="0.25">
      <c r="F769" s="88"/>
      <c r="G769" s="91"/>
      <c r="H769" s="91"/>
      <c r="I769" s="88"/>
      <c r="J769" s="91"/>
      <c r="K769" s="88"/>
      <c r="L769" s="88"/>
      <c r="M769" s="91"/>
      <c r="N769" s="88"/>
      <c r="O769" s="91"/>
      <c r="P769" s="91"/>
      <c r="Q769" s="88"/>
      <c r="R769" s="91"/>
      <c r="S769" s="91"/>
      <c r="T769" s="88"/>
      <c r="U769" s="88"/>
      <c r="V769" s="88"/>
      <c r="Y769" s="91"/>
      <c r="Z769" s="88"/>
    </row>
    <row r="770" spans="6:26" ht="12.5" x14ac:dyDescent="0.25">
      <c r="F770" s="88"/>
      <c r="G770" s="91"/>
      <c r="H770" s="91"/>
      <c r="I770" s="88"/>
      <c r="J770" s="91"/>
      <c r="K770" s="88"/>
      <c r="L770" s="88"/>
      <c r="M770" s="91"/>
      <c r="N770" s="88"/>
      <c r="O770" s="91"/>
      <c r="P770" s="91"/>
      <c r="Q770" s="88"/>
      <c r="R770" s="91"/>
      <c r="S770" s="91"/>
      <c r="T770" s="88"/>
      <c r="U770" s="88"/>
      <c r="V770" s="88"/>
      <c r="Y770" s="91"/>
      <c r="Z770" s="88"/>
    </row>
    <row r="771" spans="6:26" ht="12.5" x14ac:dyDescent="0.25">
      <c r="F771" s="88"/>
      <c r="G771" s="91"/>
      <c r="H771" s="91"/>
      <c r="I771" s="88"/>
      <c r="J771" s="91"/>
      <c r="K771" s="88"/>
      <c r="L771" s="88"/>
      <c r="M771" s="91"/>
      <c r="N771" s="88"/>
      <c r="O771" s="91"/>
      <c r="P771" s="91"/>
      <c r="Q771" s="88"/>
      <c r="R771" s="91"/>
      <c r="S771" s="91"/>
      <c r="T771" s="88"/>
      <c r="U771" s="88"/>
      <c r="V771" s="88"/>
      <c r="Y771" s="91"/>
      <c r="Z771" s="88"/>
    </row>
    <row r="772" spans="6:26" ht="12.5" x14ac:dyDescent="0.25">
      <c r="F772" s="88"/>
      <c r="G772" s="91"/>
      <c r="H772" s="91"/>
      <c r="I772" s="88"/>
      <c r="J772" s="91"/>
      <c r="K772" s="88"/>
      <c r="L772" s="88"/>
      <c r="M772" s="91"/>
      <c r="N772" s="88"/>
      <c r="O772" s="91"/>
      <c r="P772" s="91"/>
      <c r="Q772" s="88"/>
      <c r="R772" s="91"/>
      <c r="S772" s="91"/>
      <c r="T772" s="88"/>
      <c r="U772" s="88"/>
      <c r="V772" s="88"/>
      <c r="Y772" s="91"/>
      <c r="Z772" s="88"/>
    </row>
    <row r="773" spans="6:26" ht="12.5" x14ac:dyDescent="0.25">
      <c r="F773" s="88"/>
      <c r="G773" s="91"/>
      <c r="H773" s="91"/>
      <c r="I773" s="88"/>
      <c r="J773" s="91"/>
      <c r="K773" s="88"/>
      <c r="L773" s="88"/>
      <c r="M773" s="91"/>
      <c r="N773" s="88"/>
      <c r="O773" s="91"/>
      <c r="P773" s="91"/>
      <c r="Q773" s="88"/>
      <c r="R773" s="91"/>
      <c r="S773" s="91"/>
      <c r="T773" s="88"/>
      <c r="U773" s="88"/>
      <c r="V773" s="88"/>
      <c r="Y773" s="91"/>
      <c r="Z773" s="88"/>
    </row>
    <row r="774" spans="6:26" ht="12.5" x14ac:dyDescent="0.25">
      <c r="F774" s="88"/>
      <c r="G774" s="91"/>
      <c r="H774" s="91"/>
      <c r="I774" s="88"/>
      <c r="J774" s="91"/>
      <c r="K774" s="88"/>
      <c r="L774" s="88"/>
      <c r="M774" s="91"/>
      <c r="N774" s="88"/>
      <c r="O774" s="91"/>
      <c r="P774" s="91"/>
      <c r="Q774" s="88"/>
      <c r="R774" s="91"/>
      <c r="S774" s="91"/>
      <c r="T774" s="88"/>
      <c r="U774" s="88"/>
      <c r="V774" s="88"/>
      <c r="Y774" s="91"/>
      <c r="Z774" s="88"/>
    </row>
    <row r="775" spans="6:26" ht="12.5" x14ac:dyDescent="0.25">
      <c r="F775" s="88"/>
      <c r="G775" s="91"/>
      <c r="H775" s="91"/>
      <c r="I775" s="88"/>
      <c r="J775" s="91"/>
      <c r="K775" s="88"/>
      <c r="L775" s="88"/>
      <c r="M775" s="91"/>
      <c r="N775" s="88"/>
      <c r="O775" s="91"/>
      <c r="P775" s="91"/>
      <c r="Q775" s="88"/>
      <c r="R775" s="91"/>
      <c r="S775" s="91"/>
      <c r="T775" s="88"/>
      <c r="U775" s="88"/>
      <c r="V775" s="88"/>
      <c r="Y775" s="91"/>
      <c r="Z775" s="88"/>
    </row>
    <row r="776" spans="6:26" ht="12.5" x14ac:dyDescent="0.25">
      <c r="F776" s="88"/>
      <c r="G776" s="91"/>
      <c r="H776" s="91"/>
      <c r="I776" s="88"/>
      <c r="J776" s="91"/>
      <c r="K776" s="88"/>
      <c r="L776" s="88"/>
      <c r="M776" s="91"/>
      <c r="N776" s="88"/>
      <c r="O776" s="91"/>
      <c r="P776" s="91"/>
      <c r="Q776" s="88"/>
      <c r="R776" s="91"/>
      <c r="S776" s="91"/>
      <c r="T776" s="88"/>
      <c r="U776" s="88"/>
      <c r="V776" s="88"/>
      <c r="Y776" s="91"/>
      <c r="Z776" s="88"/>
    </row>
    <row r="777" spans="6:26" ht="12.5" x14ac:dyDescent="0.25">
      <c r="F777" s="88"/>
      <c r="G777" s="91"/>
      <c r="H777" s="91"/>
      <c r="I777" s="88"/>
      <c r="J777" s="91"/>
      <c r="K777" s="88"/>
      <c r="L777" s="88"/>
      <c r="M777" s="91"/>
      <c r="N777" s="88"/>
      <c r="O777" s="91"/>
      <c r="P777" s="91"/>
      <c r="Q777" s="88"/>
      <c r="R777" s="91"/>
      <c r="S777" s="91"/>
      <c r="T777" s="88"/>
      <c r="U777" s="88"/>
      <c r="V777" s="88"/>
      <c r="Y777" s="91"/>
      <c r="Z777" s="88"/>
    </row>
    <row r="778" spans="6:26" ht="12.5" x14ac:dyDescent="0.25">
      <c r="F778" s="88"/>
      <c r="G778" s="91"/>
      <c r="H778" s="91"/>
      <c r="I778" s="88"/>
      <c r="J778" s="91"/>
      <c r="K778" s="88"/>
      <c r="L778" s="88"/>
      <c r="M778" s="91"/>
      <c r="N778" s="88"/>
      <c r="O778" s="91"/>
      <c r="P778" s="91"/>
      <c r="Q778" s="88"/>
      <c r="R778" s="91"/>
      <c r="S778" s="91"/>
      <c r="T778" s="88"/>
      <c r="U778" s="88"/>
      <c r="V778" s="88"/>
      <c r="Y778" s="91"/>
      <c r="Z778" s="88"/>
    </row>
    <row r="779" spans="6:26" ht="12.5" x14ac:dyDescent="0.25">
      <c r="F779" s="88"/>
      <c r="G779" s="91"/>
      <c r="H779" s="91"/>
      <c r="I779" s="88"/>
      <c r="J779" s="91"/>
      <c r="K779" s="88"/>
      <c r="L779" s="88"/>
      <c r="M779" s="91"/>
      <c r="N779" s="88"/>
      <c r="O779" s="91"/>
      <c r="P779" s="91"/>
      <c r="Q779" s="88"/>
      <c r="R779" s="91"/>
      <c r="S779" s="91"/>
      <c r="T779" s="88"/>
      <c r="U779" s="88"/>
      <c r="V779" s="88"/>
      <c r="Y779" s="91"/>
      <c r="Z779" s="88"/>
    </row>
    <row r="780" spans="6:26" ht="12.5" x14ac:dyDescent="0.25">
      <c r="F780" s="88"/>
      <c r="G780" s="91"/>
      <c r="H780" s="91"/>
      <c r="I780" s="88"/>
      <c r="J780" s="91"/>
      <c r="K780" s="88"/>
      <c r="L780" s="88"/>
      <c r="M780" s="91"/>
      <c r="N780" s="88"/>
      <c r="O780" s="91"/>
      <c r="P780" s="91"/>
      <c r="Q780" s="88"/>
      <c r="R780" s="91"/>
      <c r="S780" s="91"/>
      <c r="T780" s="88"/>
      <c r="U780" s="88"/>
      <c r="V780" s="88"/>
      <c r="Y780" s="91"/>
      <c r="Z780" s="88"/>
    </row>
    <row r="781" spans="6:26" ht="12.5" x14ac:dyDescent="0.25">
      <c r="F781" s="88"/>
      <c r="G781" s="91"/>
      <c r="H781" s="91"/>
      <c r="I781" s="88"/>
      <c r="J781" s="91"/>
      <c r="K781" s="88"/>
      <c r="L781" s="88"/>
      <c r="M781" s="91"/>
      <c r="N781" s="88"/>
      <c r="O781" s="91"/>
      <c r="P781" s="91"/>
      <c r="Q781" s="88"/>
      <c r="R781" s="91"/>
      <c r="S781" s="91"/>
      <c r="T781" s="88"/>
      <c r="U781" s="88"/>
      <c r="V781" s="88"/>
      <c r="Y781" s="91"/>
      <c r="Z781" s="88"/>
    </row>
    <row r="782" spans="6:26" ht="12.5" x14ac:dyDescent="0.25">
      <c r="F782" s="88"/>
      <c r="G782" s="91"/>
      <c r="H782" s="91"/>
      <c r="I782" s="88"/>
      <c r="J782" s="91"/>
      <c r="K782" s="88"/>
      <c r="L782" s="88"/>
      <c r="M782" s="91"/>
      <c r="N782" s="88"/>
      <c r="O782" s="91"/>
      <c r="P782" s="91"/>
      <c r="Q782" s="88"/>
      <c r="R782" s="91"/>
      <c r="S782" s="91"/>
      <c r="T782" s="88"/>
      <c r="U782" s="88"/>
      <c r="V782" s="88"/>
      <c r="Y782" s="91"/>
      <c r="Z782" s="88"/>
    </row>
    <row r="783" spans="6:26" ht="12.5" x14ac:dyDescent="0.25">
      <c r="F783" s="88"/>
      <c r="G783" s="91"/>
      <c r="H783" s="91"/>
      <c r="I783" s="88"/>
      <c r="J783" s="91"/>
      <c r="K783" s="88"/>
      <c r="L783" s="88"/>
      <c r="M783" s="91"/>
      <c r="N783" s="88"/>
      <c r="O783" s="91"/>
      <c r="P783" s="91"/>
      <c r="Q783" s="88"/>
      <c r="R783" s="91"/>
      <c r="S783" s="91"/>
      <c r="T783" s="88"/>
      <c r="U783" s="88"/>
      <c r="V783" s="88"/>
      <c r="Y783" s="91"/>
      <c r="Z783" s="88"/>
    </row>
    <row r="784" spans="6:26" ht="12.5" x14ac:dyDescent="0.25">
      <c r="F784" s="88"/>
      <c r="G784" s="91"/>
      <c r="H784" s="91"/>
      <c r="I784" s="88"/>
      <c r="J784" s="91"/>
      <c r="K784" s="88"/>
      <c r="L784" s="88"/>
      <c r="M784" s="91"/>
      <c r="N784" s="88"/>
      <c r="O784" s="91"/>
      <c r="P784" s="91"/>
      <c r="Q784" s="88"/>
      <c r="R784" s="91"/>
      <c r="S784" s="91"/>
      <c r="T784" s="88"/>
      <c r="U784" s="88"/>
      <c r="V784" s="88"/>
      <c r="Y784" s="91"/>
      <c r="Z784" s="88"/>
    </row>
    <row r="785" spans="6:26" ht="12.5" x14ac:dyDescent="0.25">
      <c r="F785" s="88"/>
      <c r="G785" s="91"/>
      <c r="H785" s="91"/>
      <c r="I785" s="88"/>
      <c r="J785" s="91"/>
      <c r="K785" s="88"/>
      <c r="L785" s="88"/>
      <c r="M785" s="91"/>
      <c r="N785" s="88"/>
      <c r="O785" s="91"/>
      <c r="P785" s="91"/>
      <c r="Q785" s="88"/>
      <c r="R785" s="91"/>
      <c r="S785" s="91"/>
      <c r="T785" s="88"/>
      <c r="U785" s="88"/>
      <c r="V785" s="88"/>
      <c r="Y785" s="91"/>
      <c r="Z785" s="88"/>
    </row>
    <row r="786" spans="6:26" ht="12.5" x14ac:dyDescent="0.25">
      <c r="F786" s="88"/>
      <c r="G786" s="91"/>
      <c r="H786" s="91"/>
      <c r="I786" s="88"/>
      <c r="J786" s="91"/>
      <c r="K786" s="88"/>
      <c r="L786" s="88"/>
      <c r="M786" s="91"/>
      <c r="N786" s="88"/>
      <c r="O786" s="91"/>
      <c r="P786" s="91"/>
      <c r="Q786" s="88"/>
      <c r="R786" s="91"/>
      <c r="S786" s="91"/>
      <c r="T786" s="88"/>
      <c r="U786" s="88"/>
      <c r="V786" s="88"/>
      <c r="Y786" s="91"/>
      <c r="Z786" s="88"/>
    </row>
    <row r="787" spans="6:26" ht="12.5" x14ac:dyDescent="0.25">
      <c r="F787" s="88"/>
      <c r="G787" s="91"/>
      <c r="H787" s="91"/>
      <c r="I787" s="88"/>
      <c r="J787" s="91"/>
      <c r="K787" s="88"/>
      <c r="L787" s="88"/>
      <c r="M787" s="91"/>
      <c r="N787" s="88"/>
      <c r="O787" s="91"/>
      <c r="P787" s="91"/>
      <c r="Q787" s="88"/>
      <c r="R787" s="91"/>
      <c r="S787" s="91"/>
      <c r="T787" s="88"/>
      <c r="U787" s="88"/>
      <c r="V787" s="88"/>
      <c r="Y787" s="91"/>
      <c r="Z787" s="88"/>
    </row>
    <row r="788" spans="6:26" ht="12.5" x14ac:dyDescent="0.25">
      <c r="F788" s="88"/>
      <c r="G788" s="91"/>
      <c r="H788" s="91"/>
      <c r="I788" s="88"/>
      <c r="J788" s="91"/>
      <c r="K788" s="88"/>
      <c r="L788" s="88"/>
      <c r="M788" s="91"/>
      <c r="N788" s="88"/>
      <c r="O788" s="91"/>
      <c r="P788" s="91"/>
      <c r="Q788" s="88"/>
      <c r="R788" s="91"/>
      <c r="S788" s="91"/>
      <c r="T788" s="88"/>
      <c r="U788" s="88"/>
      <c r="V788" s="88"/>
      <c r="Y788" s="91"/>
      <c r="Z788" s="88"/>
    </row>
    <row r="789" spans="6:26" ht="12.5" x14ac:dyDescent="0.25">
      <c r="F789" s="88"/>
      <c r="G789" s="91"/>
      <c r="H789" s="91"/>
      <c r="I789" s="88"/>
      <c r="J789" s="91"/>
      <c r="K789" s="88"/>
      <c r="L789" s="88"/>
      <c r="M789" s="91"/>
      <c r="N789" s="88"/>
      <c r="O789" s="91"/>
      <c r="P789" s="91"/>
      <c r="Q789" s="88"/>
      <c r="R789" s="91"/>
      <c r="S789" s="91"/>
      <c r="T789" s="88"/>
      <c r="U789" s="88"/>
      <c r="V789" s="88"/>
      <c r="Y789" s="91"/>
      <c r="Z789" s="88"/>
    </row>
    <row r="790" spans="6:26" ht="12.5" x14ac:dyDescent="0.25">
      <c r="F790" s="88"/>
      <c r="G790" s="91"/>
      <c r="H790" s="91"/>
      <c r="I790" s="88"/>
      <c r="J790" s="91"/>
      <c r="K790" s="88"/>
      <c r="L790" s="88"/>
      <c r="M790" s="91"/>
      <c r="N790" s="88"/>
      <c r="O790" s="91"/>
      <c r="P790" s="91"/>
      <c r="Q790" s="88"/>
      <c r="R790" s="91"/>
      <c r="S790" s="91"/>
      <c r="T790" s="88"/>
      <c r="U790" s="88"/>
      <c r="V790" s="88"/>
      <c r="Y790" s="91"/>
      <c r="Z790" s="88"/>
    </row>
    <row r="791" spans="6:26" ht="12.5" x14ac:dyDescent="0.25">
      <c r="F791" s="88"/>
      <c r="G791" s="91"/>
      <c r="H791" s="91"/>
      <c r="I791" s="88"/>
      <c r="J791" s="91"/>
      <c r="K791" s="88"/>
      <c r="L791" s="88"/>
      <c r="M791" s="91"/>
      <c r="N791" s="88"/>
      <c r="O791" s="91"/>
      <c r="P791" s="91"/>
      <c r="Q791" s="88"/>
      <c r="R791" s="91"/>
      <c r="S791" s="91"/>
      <c r="T791" s="88"/>
      <c r="U791" s="88"/>
      <c r="V791" s="88"/>
      <c r="Y791" s="91"/>
      <c r="Z791" s="88"/>
    </row>
    <row r="792" spans="6:26" ht="12.5" x14ac:dyDescent="0.25">
      <c r="F792" s="88"/>
      <c r="G792" s="91"/>
      <c r="H792" s="91"/>
      <c r="I792" s="88"/>
      <c r="J792" s="91"/>
      <c r="K792" s="88"/>
      <c r="L792" s="88"/>
      <c r="M792" s="91"/>
      <c r="N792" s="88"/>
      <c r="O792" s="91"/>
      <c r="P792" s="91"/>
      <c r="Q792" s="88"/>
      <c r="R792" s="91"/>
      <c r="S792" s="91"/>
      <c r="T792" s="88"/>
      <c r="U792" s="88"/>
      <c r="V792" s="88"/>
      <c r="Y792" s="91"/>
      <c r="Z792" s="88"/>
    </row>
    <row r="793" spans="6:26" ht="12.5" x14ac:dyDescent="0.25">
      <c r="F793" s="88"/>
      <c r="G793" s="91"/>
      <c r="H793" s="91"/>
      <c r="I793" s="88"/>
      <c r="J793" s="91"/>
      <c r="K793" s="88"/>
      <c r="L793" s="88"/>
      <c r="M793" s="91"/>
      <c r="N793" s="88"/>
      <c r="O793" s="91"/>
      <c r="P793" s="91"/>
      <c r="Q793" s="88"/>
      <c r="R793" s="91"/>
      <c r="S793" s="91"/>
      <c r="T793" s="88"/>
      <c r="U793" s="88"/>
      <c r="V793" s="88"/>
      <c r="Y793" s="91"/>
      <c r="Z793" s="88"/>
    </row>
    <row r="794" spans="6:26" ht="12.5" x14ac:dyDescent="0.25">
      <c r="F794" s="88"/>
      <c r="G794" s="91"/>
      <c r="H794" s="91"/>
      <c r="I794" s="88"/>
      <c r="J794" s="91"/>
      <c r="K794" s="88"/>
      <c r="L794" s="88"/>
      <c r="M794" s="91"/>
      <c r="N794" s="88"/>
      <c r="O794" s="91"/>
      <c r="P794" s="91"/>
      <c r="Q794" s="88"/>
      <c r="R794" s="91"/>
      <c r="S794" s="91"/>
      <c r="T794" s="88"/>
      <c r="U794" s="88"/>
      <c r="V794" s="88"/>
      <c r="Y794" s="91"/>
      <c r="Z794" s="88"/>
    </row>
    <row r="795" spans="6:26" ht="12.5" x14ac:dyDescent="0.25">
      <c r="F795" s="88"/>
      <c r="G795" s="91"/>
      <c r="H795" s="91"/>
      <c r="I795" s="88"/>
      <c r="J795" s="91"/>
      <c r="K795" s="88"/>
      <c r="L795" s="88"/>
      <c r="M795" s="91"/>
      <c r="N795" s="88"/>
      <c r="O795" s="91"/>
      <c r="P795" s="91"/>
      <c r="Q795" s="88"/>
      <c r="R795" s="91"/>
      <c r="S795" s="91"/>
      <c r="T795" s="88"/>
      <c r="U795" s="88"/>
      <c r="V795" s="88"/>
      <c r="Y795" s="91"/>
      <c r="Z795" s="88"/>
    </row>
    <row r="796" spans="6:26" ht="12.5" x14ac:dyDescent="0.25">
      <c r="F796" s="88"/>
      <c r="G796" s="91"/>
      <c r="H796" s="91"/>
      <c r="I796" s="88"/>
      <c r="J796" s="91"/>
      <c r="K796" s="88"/>
      <c r="L796" s="88"/>
      <c r="M796" s="91"/>
      <c r="N796" s="88"/>
      <c r="O796" s="91"/>
      <c r="P796" s="91"/>
      <c r="Q796" s="88"/>
      <c r="R796" s="91"/>
      <c r="S796" s="91"/>
      <c r="T796" s="88"/>
      <c r="U796" s="88"/>
      <c r="V796" s="88"/>
      <c r="Y796" s="91"/>
      <c r="Z796" s="88"/>
    </row>
    <row r="797" spans="6:26" ht="12.5" x14ac:dyDescent="0.25">
      <c r="F797" s="88"/>
      <c r="G797" s="91"/>
      <c r="H797" s="91"/>
      <c r="I797" s="88"/>
      <c r="J797" s="91"/>
      <c r="K797" s="88"/>
      <c r="L797" s="88"/>
      <c r="M797" s="91"/>
      <c r="N797" s="88"/>
      <c r="O797" s="91"/>
      <c r="P797" s="91"/>
      <c r="Q797" s="88"/>
      <c r="R797" s="91"/>
      <c r="S797" s="91"/>
      <c r="T797" s="88"/>
      <c r="U797" s="88"/>
      <c r="V797" s="88"/>
      <c r="Y797" s="91"/>
      <c r="Z797" s="88"/>
    </row>
    <row r="798" spans="6:26" ht="12.5" x14ac:dyDescent="0.25">
      <c r="F798" s="88"/>
      <c r="G798" s="91"/>
      <c r="H798" s="91"/>
      <c r="I798" s="88"/>
      <c r="J798" s="91"/>
      <c r="K798" s="88"/>
      <c r="L798" s="88"/>
      <c r="M798" s="91"/>
      <c r="N798" s="88"/>
      <c r="O798" s="91"/>
      <c r="P798" s="91"/>
      <c r="Q798" s="88"/>
      <c r="R798" s="91"/>
      <c r="S798" s="91"/>
      <c r="T798" s="88"/>
      <c r="U798" s="88"/>
      <c r="V798" s="88"/>
      <c r="Y798" s="91"/>
      <c r="Z798" s="88"/>
    </row>
    <row r="799" spans="6:26" ht="12.5" x14ac:dyDescent="0.25">
      <c r="F799" s="88"/>
      <c r="G799" s="91"/>
      <c r="H799" s="91"/>
      <c r="I799" s="88"/>
      <c r="J799" s="91"/>
      <c r="K799" s="88"/>
      <c r="L799" s="88"/>
      <c r="M799" s="91"/>
      <c r="N799" s="88"/>
      <c r="O799" s="91"/>
      <c r="P799" s="91"/>
      <c r="Q799" s="88"/>
      <c r="R799" s="91"/>
      <c r="S799" s="91"/>
      <c r="T799" s="88"/>
      <c r="U799" s="88"/>
      <c r="V799" s="88"/>
      <c r="Y799" s="91"/>
      <c r="Z799" s="88"/>
    </row>
    <row r="800" spans="6:26" ht="12.5" x14ac:dyDescent="0.25">
      <c r="F800" s="88"/>
      <c r="G800" s="91"/>
      <c r="H800" s="91"/>
      <c r="I800" s="88"/>
      <c r="J800" s="91"/>
      <c r="K800" s="88"/>
      <c r="L800" s="88"/>
      <c r="M800" s="91"/>
      <c r="N800" s="88"/>
      <c r="O800" s="91"/>
      <c r="P800" s="91"/>
      <c r="Q800" s="88"/>
      <c r="R800" s="91"/>
      <c r="S800" s="91"/>
      <c r="T800" s="88"/>
      <c r="U800" s="88"/>
      <c r="V800" s="88"/>
      <c r="Y800" s="91"/>
      <c r="Z800" s="88"/>
    </row>
    <row r="801" spans="6:26" ht="12.5" x14ac:dyDescent="0.25">
      <c r="F801" s="88"/>
      <c r="G801" s="91"/>
      <c r="H801" s="91"/>
      <c r="I801" s="88"/>
      <c r="J801" s="91"/>
      <c r="K801" s="88"/>
      <c r="L801" s="88"/>
      <c r="M801" s="91"/>
      <c r="N801" s="88"/>
      <c r="O801" s="91"/>
      <c r="P801" s="91"/>
      <c r="Q801" s="88"/>
      <c r="R801" s="91"/>
      <c r="S801" s="91"/>
      <c r="T801" s="88"/>
      <c r="U801" s="88"/>
      <c r="V801" s="88"/>
      <c r="Y801" s="91"/>
      <c r="Z801" s="88"/>
    </row>
    <row r="802" spans="6:26" ht="12.5" x14ac:dyDescent="0.25">
      <c r="F802" s="88"/>
      <c r="G802" s="91"/>
      <c r="H802" s="91"/>
      <c r="I802" s="88"/>
      <c r="J802" s="91"/>
      <c r="K802" s="88"/>
      <c r="L802" s="88"/>
      <c r="M802" s="91"/>
      <c r="N802" s="88"/>
      <c r="O802" s="91"/>
      <c r="P802" s="91"/>
      <c r="Q802" s="88"/>
      <c r="R802" s="91"/>
      <c r="S802" s="91"/>
      <c r="T802" s="88"/>
      <c r="U802" s="88"/>
      <c r="V802" s="88"/>
      <c r="Y802" s="91"/>
      <c r="Z802" s="88"/>
    </row>
    <row r="803" spans="6:26" ht="12.5" x14ac:dyDescent="0.25">
      <c r="F803" s="88"/>
      <c r="G803" s="91"/>
      <c r="H803" s="91"/>
      <c r="I803" s="88"/>
      <c r="J803" s="91"/>
      <c r="K803" s="88"/>
      <c r="L803" s="88"/>
      <c r="M803" s="91"/>
      <c r="N803" s="88"/>
      <c r="O803" s="91"/>
      <c r="P803" s="91"/>
      <c r="Q803" s="88"/>
      <c r="R803" s="91"/>
      <c r="S803" s="91"/>
      <c r="T803" s="88"/>
      <c r="U803" s="88"/>
      <c r="V803" s="88"/>
      <c r="Y803" s="91"/>
      <c r="Z803" s="88"/>
    </row>
    <row r="804" spans="6:26" ht="12.5" x14ac:dyDescent="0.25">
      <c r="F804" s="88"/>
      <c r="G804" s="91"/>
      <c r="H804" s="91"/>
      <c r="I804" s="88"/>
      <c r="J804" s="91"/>
      <c r="K804" s="88"/>
      <c r="L804" s="88"/>
      <c r="M804" s="91"/>
      <c r="N804" s="88"/>
      <c r="O804" s="91"/>
      <c r="P804" s="91"/>
      <c r="Q804" s="88"/>
      <c r="R804" s="91"/>
      <c r="S804" s="91"/>
      <c r="T804" s="88"/>
      <c r="U804" s="88"/>
      <c r="V804" s="88"/>
      <c r="Y804" s="91"/>
      <c r="Z804" s="88"/>
    </row>
    <row r="805" spans="6:26" ht="12.5" x14ac:dyDescent="0.25">
      <c r="F805" s="88"/>
      <c r="G805" s="91"/>
      <c r="H805" s="91"/>
      <c r="I805" s="88"/>
      <c r="J805" s="91"/>
      <c r="K805" s="88"/>
      <c r="L805" s="88"/>
      <c r="M805" s="91"/>
      <c r="N805" s="88"/>
      <c r="O805" s="91"/>
      <c r="P805" s="91"/>
      <c r="Q805" s="88"/>
      <c r="R805" s="91"/>
      <c r="S805" s="91"/>
      <c r="T805" s="88"/>
      <c r="U805" s="88"/>
      <c r="V805" s="88"/>
      <c r="Y805" s="91"/>
      <c r="Z805" s="88"/>
    </row>
    <row r="806" spans="6:26" ht="12.5" x14ac:dyDescent="0.25">
      <c r="F806" s="88"/>
      <c r="G806" s="91"/>
      <c r="H806" s="91"/>
      <c r="I806" s="88"/>
      <c r="J806" s="91"/>
      <c r="K806" s="88"/>
      <c r="L806" s="88"/>
      <c r="M806" s="91"/>
      <c r="N806" s="88"/>
      <c r="O806" s="91"/>
      <c r="P806" s="91"/>
      <c r="Q806" s="88"/>
      <c r="R806" s="91"/>
      <c r="S806" s="91"/>
      <c r="T806" s="88"/>
      <c r="U806" s="88"/>
      <c r="V806" s="88"/>
      <c r="Y806" s="91"/>
      <c r="Z806" s="88"/>
    </row>
    <row r="807" spans="6:26" ht="12.5" x14ac:dyDescent="0.25">
      <c r="F807" s="88"/>
      <c r="G807" s="91"/>
      <c r="H807" s="91"/>
      <c r="I807" s="88"/>
      <c r="J807" s="91"/>
      <c r="K807" s="88"/>
      <c r="L807" s="88"/>
      <c r="M807" s="91"/>
      <c r="N807" s="88"/>
      <c r="O807" s="91"/>
      <c r="P807" s="91"/>
      <c r="Q807" s="88"/>
      <c r="R807" s="91"/>
      <c r="S807" s="91"/>
      <c r="T807" s="88"/>
      <c r="U807" s="88"/>
      <c r="V807" s="88"/>
      <c r="Y807" s="91"/>
      <c r="Z807" s="88"/>
    </row>
    <row r="808" spans="6:26" ht="12.5" x14ac:dyDescent="0.25">
      <c r="F808" s="88"/>
      <c r="G808" s="91"/>
      <c r="H808" s="91"/>
      <c r="I808" s="88"/>
      <c r="J808" s="91"/>
      <c r="K808" s="88"/>
      <c r="L808" s="88"/>
      <c r="M808" s="91"/>
      <c r="N808" s="88"/>
      <c r="O808" s="91"/>
      <c r="P808" s="91"/>
      <c r="Q808" s="88"/>
      <c r="R808" s="91"/>
      <c r="S808" s="91"/>
      <c r="T808" s="88"/>
      <c r="U808" s="88"/>
      <c r="V808" s="88"/>
      <c r="Y808" s="91"/>
      <c r="Z808" s="88"/>
    </row>
    <row r="809" spans="6:26" ht="12.5" x14ac:dyDescent="0.25">
      <c r="F809" s="88"/>
      <c r="G809" s="91"/>
      <c r="H809" s="91"/>
      <c r="I809" s="88"/>
      <c r="J809" s="91"/>
      <c r="K809" s="88"/>
      <c r="L809" s="88"/>
      <c r="M809" s="91"/>
      <c r="N809" s="88"/>
      <c r="O809" s="91"/>
      <c r="P809" s="91"/>
      <c r="Q809" s="88"/>
      <c r="R809" s="91"/>
      <c r="S809" s="91"/>
      <c r="T809" s="88"/>
      <c r="U809" s="88"/>
      <c r="V809" s="88"/>
      <c r="Y809" s="91"/>
      <c r="Z809" s="88"/>
    </row>
    <row r="810" spans="6:26" ht="12.5" x14ac:dyDescent="0.25">
      <c r="F810" s="88"/>
      <c r="G810" s="91"/>
      <c r="H810" s="91"/>
      <c r="I810" s="88"/>
      <c r="J810" s="91"/>
      <c r="K810" s="88"/>
      <c r="L810" s="88"/>
      <c r="M810" s="91"/>
      <c r="N810" s="88"/>
      <c r="O810" s="91"/>
      <c r="P810" s="91"/>
      <c r="Q810" s="88"/>
      <c r="R810" s="91"/>
      <c r="S810" s="91"/>
      <c r="T810" s="88"/>
      <c r="U810" s="88"/>
      <c r="V810" s="88"/>
      <c r="Y810" s="91"/>
      <c r="Z810" s="88"/>
    </row>
    <row r="811" spans="6:26" ht="12.5" x14ac:dyDescent="0.25">
      <c r="F811" s="88"/>
      <c r="G811" s="91"/>
      <c r="H811" s="91"/>
      <c r="I811" s="88"/>
      <c r="J811" s="91"/>
      <c r="K811" s="88"/>
      <c r="L811" s="88"/>
      <c r="M811" s="91"/>
      <c r="N811" s="88"/>
      <c r="O811" s="91"/>
      <c r="P811" s="91"/>
      <c r="Q811" s="88"/>
      <c r="R811" s="91"/>
      <c r="S811" s="91"/>
      <c r="T811" s="88"/>
      <c r="U811" s="88"/>
      <c r="V811" s="88"/>
      <c r="Y811" s="91"/>
      <c r="Z811" s="88"/>
    </row>
    <row r="812" spans="6:26" ht="12.5" x14ac:dyDescent="0.25">
      <c r="F812" s="88"/>
      <c r="G812" s="91"/>
      <c r="H812" s="91"/>
      <c r="I812" s="88"/>
      <c r="J812" s="91"/>
      <c r="K812" s="88"/>
      <c r="L812" s="88"/>
      <c r="M812" s="91"/>
      <c r="N812" s="88"/>
      <c r="O812" s="91"/>
      <c r="P812" s="91"/>
      <c r="Q812" s="88"/>
      <c r="R812" s="91"/>
      <c r="S812" s="91"/>
      <c r="T812" s="88"/>
      <c r="U812" s="88"/>
      <c r="V812" s="88"/>
      <c r="Y812" s="91"/>
      <c r="Z812" s="88"/>
    </row>
    <row r="813" spans="6:26" ht="12.5" x14ac:dyDescent="0.25">
      <c r="F813" s="88"/>
      <c r="G813" s="91"/>
      <c r="H813" s="91"/>
      <c r="I813" s="88"/>
      <c r="J813" s="91"/>
      <c r="K813" s="88"/>
      <c r="L813" s="88"/>
      <c r="M813" s="91"/>
      <c r="N813" s="88"/>
      <c r="O813" s="91"/>
      <c r="P813" s="91"/>
      <c r="Q813" s="88"/>
      <c r="R813" s="91"/>
      <c r="S813" s="91"/>
      <c r="T813" s="88"/>
      <c r="U813" s="88"/>
      <c r="V813" s="88"/>
      <c r="Y813" s="91"/>
      <c r="Z813" s="88"/>
    </row>
    <row r="814" spans="6:26" ht="12.5" x14ac:dyDescent="0.25">
      <c r="F814" s="88"/>
      <c r="G814" s="91"/>
      <c r="H814" s="91"/>
      <c r="I814" s="88"/>
      <c r="J814" s="91"/>
      <c r="K814" s="88"/>
      <c r="L814" s="88"/>
      <c r="M814" s="91"/>
      <c r="N814" s="88"/>
      <c r="O814" s="91"/>
      <c r="P814" s="91"/>
      <c r="Q814" s="88"/>
      <c r="R814" s="91"/>
      <c r="S814" s="91"/>
      <c r="T814" s="88"/>
      <c r="U814" s="88"/>
      <c r="V814" s="88"/>
      <c r="Y814" s="91"/>
      <c r="Z814" s="88"/>
    </row>
    <row r="815" spans="6:26" ht="12.5" x14ac:dyDescent="0.25">
      <c r="F815" s="88"/>
      <c r="G815" s="91"/>
      <c r="H815" s="91"/>
      <c r="I815" s="88"/>
      <c r="J815" s="91"/>
      <c r="K815" s="88"/>
      <c r="L815" s="88"/>
      <c r="M815" s="91"/>
      <c r="N815" s="88"/>
      <c r="O815" s="91"/>
      <c r="P815" s="91"/>
      <c r="Q815" s="88"/>
      <c r="R815" s="91"/>
      <c r="S815" s="91"/>
      <c r="T815" s="88"/>
      <c r="U815" s="88"/>
      <c r="V815" s="88"/>
      <c r="Y815" s="91"/>
      <c r="Z815" s="88"/>
    </row>
    <row r="816" spans="6:26" ht="12.5" x14ac:dyDescent="0.25">
      <c r="F816" s="88"/>
      <c r="G816" s="91"/>
      <c r="H816" s="91"/>
      <c r="I816" s="88"/>
      <c r="J816" s="91"/>
      <c r="K816" s="88"/>
      <c r="L816" s="88"/>
      <c r="M816" s="91"/>
      <c r="N816" s="88"/>
      <c r="O816" s="91"/>
      <c r="P816" s="91"/>
      <c r="Q816" s="88"/>
      <c r="R816" s="91"/>
      <c r="S816" s="91"/>
      <c r="T816" s="88"/>
      <c r="U816" s="88"/>
      <c r="V816" s="88"/>
      <c r="Y816" s="91"/>
      <c r="Z816" s="88"/>
    </row>
    <row r="817" spans="6:26" ht="12.5" x14ac:dyDescent="0.25">
      <c r="F817" s="88"/>
      <c r="G817" s="91"/>
      <c r="H817" s="91"/>
      <c r="I817" s="88"/>
      <c r="J817" s="91"/>
      <c r="K817" s="88"/>
      <c r="L817" s="88"/>
      <c r="M817" s="91"/>
      <c r="N817" s="88"/>
      <c r="O817" s="91"/>
      <c r="P817" s="91"/>
      <c r="Q817" s="88"/>
      <c r="R817" s="91"/>
      <c r="S817" s="91"/>
      <c r="T817" s="88"/>
      <c r="U817" s="88"/>
      <c r="V817" s="88"/>
      <c r="Y817" s="91"/>
      <c r="Z817" s="88"/>
    </row>
    <row r="818" spans="6:26" ht="12.5" x14ac:dyDescent="0.25">
      <c r="F818" s="88"/>
      <c r="G818" s="91"/>
      <c r="H818" s="91"/>
      <c r="I818" s="88"/>
      <c r="J818" s="91"/>
      <c r="K818" s="88"/>
      <c r="L818" s="88"/>
      <c r="M818" s="91"/>
      <c r="N818" s="88"/>
      <c r="O818" s="91"/>
      <c r="P818" s="91"/>
      <c r="Q818" s="88"/>
      <c r="R818" s="91"/>
      <c r="S818" s="91"/>
      <c r="T818" s="88"/>
      <c r="U818" s="88"/>
      <c r="V818" s="88"/>
      <c r="Y818" s="91"/>
      <c r="Z818" s="88"/>
    </row>
    <row r="819" spans="6:26" ht="12.5" x14ac:dyDescent="0.25">
      <c r="F819" s="88"/>
      <c r="G819" s="91"/>
      <c r="H819" s="91"/>
      <c r="I819" s="88"/>
      <c r="J819" s="91"/>
      <c r="K819" s="88"/>
      <c r="L819" s="88"/>
      <c r="M819" s="91"/>
      <c r="N819" s="88"/>
      <c r="O819" s="91"/>
      <c r="P819" s="91"/>
      <c r="Q819" s="88"/>
      <c r="R819" s="91"/>
      <c r="S819" s="91"/>
      <c r="T819" s="88"/>
      <c r="U819" s="88"/>
      <c r="V819" s="88"/>
      <c r="Y819" s="91"/>
      <c r="Z819" s="88"/>
    </row>
    <row r="820" spans="6:26" ht="12.5" x14ac:dyDescent="0.25">
      <c r="F820" s="88"/>
      <c r="G820" s="91"/>
      <c r="H820" s="91"/>
      <c r="I820" s="88"/>
      <c r="J820" s="91"/>
      <c r="K820" s="88"/>
      <c r="L820" s="88"/>
      <c r="M820" s="91"/>
      <c r="N820" s="88"/>
      <c r="O820" s="91"/>
      <c r="P820" s="91"/>
      <c r="Q820" s="88"/>
      <c r="R820" s="91"/>
      <c r="S820" s="91"/>
      <c r="T820" s="88"/>
      <c r="U820" s="88"/>
      <c r="V820" s="88"/>
      <c r="Y820" s="91"/>
      <c r="Z820" s="88"/>
    </row>
    <row r="821" spans="6:26" ht="12.5" x14ac:dyDescent="0.25">
      <c r="F821" s="88"/>
      <c r="G821" s="91"/>
      <c r="H821" s="91"/>
      <c r="I821" s="88"/>
      <c r="J821" s="91"/>
      <c r="K821" s="88"/>
      <c r="L821" s="88"/>
      <c r="M821" s="91"/>
      <c r="N821" s="88"/>
      <c r="O821" s="91"/>
      <c r="P821" s="91"/>
      <c r="Q821" s="88"/>
      <c r="R821" s="91"/>
      <c r="S821" s="91"/>
      <c r="T821" s="88"/>
      <c r="U821" s="88"/>
      <c r="V821" s="88"/>
      <c r="Y821" s="91"/>
      <c r="Z821" s="88"/>
    </row>
    <row r="822" spans="6:26" ht="12.5" x14ac:dyDescent="0.25">
      <c r="F822" s="88"/>
      <c r="G822" s="91"/>
      <c r="H822" s="91"/>
      <c r="I822" s="88"/>
      <c r="J822" s="91"/>
      <c r="K822" s="88"/>
      <c r="L822" s="88"/>
      <c r="M822" s="91"/>
      <c r="N822" s="88"/>
      <c r="O822" s="91"/>
      <c r="P822" s="91"/>
      <c r="Q822" s="88"/>
      <c r="R822" s="91"/>
      <c r="S822" s="91"/>
      <c r="T822" s="88"/>
      <c r="U822" s="88"/>
      <c r="V822" s="88"/>
      <c r="Y822" s="91"/>
      <c r="Z822" s="88"/>
    </row>
    <row r="823" spans="6:26" ht="12.5" x14ac:dyDescent="0.25">
      <c r="F823" s="88"/>
      <c r="G823" s="91"/>
      <c r="H823" s="91"/>
      <c r="I823" s="88"/>
      <c r="J823" s="91"/>
      <c r="K823" s="88"/>
      <c r="L823" s="88"/>
      <c r="M823" s="91"/>
      <c r="N823" s="88"/>
      <c r="O823" s="91"/>
      <c r="P823" s="91"/>
      <c r="Q823" s="88"/>
      <c r="R823" s="91"/>
      <c r="S823" s="91"/>
      <c r="T823" s="88"/>
      <c r="U823" s="88"/>
      <c r="V823" s="88"/>
      <c r="Y823" s="91"/>
      <c r="Z823" s="88"/>
    </row>
    <row r="824" spans="6:26" ht="12.5" x14ac:dyDescent="0.25">
      <c r="F824" s="88"/>
      <c r="G824" s="91"/>
      <c r="H824" s="91"/>
      <c r="I824" s="88"/>
      <c r="J824" s="91"/>
      <c r="K824" s="88"/>
      <c r="L824" s="88"/>
      <c r="M824" s="91"/>
      <c r="N824" s="88"/>
      <c r="O824" s="91"/>
      <c r="P824" s="91"/>
      <c r="Q824" s="88"/>
      <c r="R824" s="91"/>
      <c r="S824" s="91"/>
      <c r="T824" s="88"/>
      <c r="U824" s="88"/>
      <c r="V824" s="88"/>
      <c r="Y824" s="91"/>
      <c r="Z824" s="88"/>
    </row>
    <row r="825" spans="6:26" ht="12.5" x14ac:dyDescent="0.25">
      <c r="F825" s="88"/>
      <c r="G825" s="91"/>
      <c r="H825" s="91"/>
      <c r="I825" s="88"/>
      <c r="J825" s="91"/>
      <c r="K825" s="88"/>
      <c r="L825" s="88"/>
      <c r="M825" s="91"/>
      <c r="N825" s="88"/>
      <c r="O825" s="91"/>
      <c r="P825" s="91"/>
      <c r="Q825" s="88"/>
      <c r="R825" s="91"/>
      <c r="S825" s="91"/>
      <c r="T825" s="88"/>
      <c r="U825" s="88"/>
      <c r="V825" s="88"/>
      <c r="Y825" s="91"/>
      <c r="Z825" s="88"/>
    </row>
    <row r="826" spans="6:26" ht="12.5" x14ac:dyDescent="0.25">
      <c r="F826" s="88"/>
      <c r="G826" s="91"/>
      <c r="H826" s="91"/>
      <c r="I826" s="88"/>
      <c r="J826" s="91"/>
      <c r="K826" s="88"/>
      <c r="L826" s="88"/>
      <c r="M826" s="91"/>
      <c r="N826" s="88"/>
      <c r="O826" s="91"/>
      <c r="P826" s="91"/>
      <c r="Q826" s="88"/>
      <c r="R826" s="91"/>
      <c r="S826" s="91"/>
      <c r="T826" s="88"/>
      <c r="U826" s="88"/>
      <c r="V826" s="88"/>
      <c r="Y826" s="91"/>
      <c r="Z826" s="88"/>
    </row>
    <row r="827" spans="6:26" ht="12.5" x14ac:dyDescent="0.25">
      <c r="F827" s="88"/>
      <c r="G827" s="91"/>
      <c r="H827" s="91"/>
      <c r="I827" s="88"/>
      <c r="J827" s="91"/>
      <c r="K827" s="88"/>
      <c r="L827" s="88"/>
      <c r="M827" s="91"/>
      <c r="N827" s="88"/>
      <c r="O827" s="91"/>
      <c r="P827" s="91"/>
      <c r="Q827" s="88"/>
      <c r="R827" s="91"/>
      <c r="S827" s="91"/>
      <c r="T827" s="88"/>
      <c r="U827" s="88"/>
      <c r="V827" s="88"/>
      <c r="Y827" s="91"/>
      <c r="Z827" s="88"/>
    </row>
    <row r="828" spans="6:26" ht="12.5" x14ac:dyDescent="0.25">
      <c r="F828" s="88"/>
      <c r="G828" s="91"/>
      <c r="H828" s="91"/>
      <c r="I828" s="88"/>
      <c r="J828" s="91"/>
      <c r="K828" s="88"/>
      <c r="L828" s="88"/>
      <c r="M828" s="91"/>
      <c r="N828" s="88"/>
      <c r="O828" s="91"/>
      <c r="P828" s="91"/>
      <c r="Q828" s="88"/>
      <c r="R828" s="91"/>
      <c r="S828" s="91"/>
      <c r="T828" s="88"/>
      <c r="U828" s="88"/>
      <c r="V828" s="88"/>
      <c r="Y828" s="91"/>
      <c r="Z828" s="88"/>
    </row>
    <row r="829" spans="6:26" ht="12.5" x14ac:dyDescent="0.25">
      <c r="F829" s="88"/>
      <c r="G829" s="91"/>
      <c r="H829" s="91"/>
      <c r="I829" s="88"/>
      <c r="J829" s="91"/>
      <c r="K829" s="88"/>
      <c r="L829" s="88"/>
      <c r="M829" s="91"/>
      <c r="N829" s="88"/>
      <c r="O829" s="91"/>
      <c r="P829" s="91"/>
      <c r="Q829" s="88"/>
      <c r="R829" s="91"/>
      <c r="S829" s="91"/>
      <c r="T829" s="88"/>
      <c r="U829" s="88"/>
      <c r="V829" s="88"/>
      <c r="Y829" s="91"/>
      <c r="Z829" s="88"/>
    </row>
    <row r="830" spans="6:26" ht="12.5" x14ac:dyDescent="0.25">
      <c r="F830" s="88"/>
      <c r="G830" s="91"/>
      <c r="H830" s="91"/>
      <c r="I830" s="88"/>
      <c r="J830" s="91"/>
      <c r="K830" s="88"/>
      <c r="L830" s="88"/>
      <c r="M830" s="91"/>
      <c r="N830" s="88"/>
      <c r="O830" s="91"/>
      <c r="P830" s="91"/>
      <c r="Q830" s="88"/>
      <c r="R830" s="91"/>
      <c r="S830" s="91"/>
      <c r="T830" s="88"/>
      <c r="U830" s="88"/>
      <c r="V830" s="88"/>
      <c r="Y830" s="91"/>
      <c r="Z830" s="88"/>
    </row>
    <row r="831" spans="6:26" ht="12.5" x14ac:dyDescent="0.25">
      <c r="F831" s="88"/>
      <c r="G831" s="91"/>
      <c r="H831" s="91"/>
      <c r="I831" s="88"/>
      <c r="J831" s="91"/>
      <c r="K831" s="88"/>
      <c r="L831" s="88"/>
      <c r="M831" s="91"/>
      <c r="N831" s="88"/>
      <c r="O831" s="91"/>
      <c r="P831" s="91"/>
      <c r="Q831" s="88"/>
      <c r="R831" s="91"/>
      <c r="S831" s="91"/>
      <c r="T831" s="88"/>
      <c r="U831" s="88"/>
      <c r="V831" s="88"/>
      <c r="Y831" s="91"/>
      <c r="Z831" s="88"/>
    </row>
    <row r="832" spans="6:26" ht="12.5" x14ac:dyDescent="0.25">
      <c r="F832" s="88"/>
      <c r="G832" s="91"/>
      <c r="H832" s="91"/>
      <c r="I832" s="88"/>
      <c r="J832" s="91"/>
      <c r="K832" s="88"/>
      <c r="L832" s="88"/>
      <c r="M832" s="91"/>
      <c r="N832" s="88"/>
      <c r="O832" s="91"/>
      <c r="P832" s="91"/>
      <c r="Q832" s="88"/>
      <c r="R832" s="91"/>
      <c r="S832" s="91"/>
      <c r="T832" s="88"/>
      <c r="U832" s="88"/>
      <c r="V832" s="88"/>
      <c r="Y832" s="91"/>
      <c r="Z832" s="88"/>
    </row>
    <row r="833" spans="6:26" ht="12.5" x14ac:dyDescent="0.25">
      <c r="F833" s="88"/>
      <c r="G833" s="91"/>
      <c r="H833" s="91"/>
      <c r="I833" s="88"/>
      <c r="J833" s="91"/>
      <c r="K833" s="88"/>
      <c r="L833" s="88"/>
      <c r="M833" s="91"/>
      <c r="N833" s="88"/>
      <c r="O833" s="91"/>
      <c r="P833" s="91"/>
      <c r="Q833" s="88"/>
      <c r="R833" s="91"/>
      <c r="S833" s="91"/>
      <c r="T833" s="88"/>
      <c r="U833" s="88"/>
      <c r="V833" s="88"/>
      <c r="Y833" s="91"/>
      <c r="Z833" s="88"/>
    </row>
    <row r="834" spans="6:26" ht="12.5" x14ac:dyDescent="0.25">
      <c r="F834" s="88"/>
      <c r="G834" s="91"/>
      <c r="H834" s="91"/>
      <c r="I834" s="88"/>
      <c r="J834" s="91"/>
      <c r="K834" s="88"/>
      <c r="L834" s="88"/>
      <c r="M834" s="91"/>
      <c r="N834" s="88"/>
      <c r="O834" s="91"/>
      <c r="P834" s="91"/>
      <c r="Q834" s="88"/>
      <c r="R834" s="91"/>
      <c r="S834" s="91"/>
      <c r="T834" s="88"/>
      <c r="U834" s="88"/>
      <c r="V834" s="88"/>
      <c r="Y834" s="91"/>
      <c r="Z834" s="88"/>
    </row>
    <row r="835" spans="6:26" ht="12.5" x14ac:dyDescent="0.25">
      <c r="F835" s="88"/>
      <c r="G835" s="91"/>
      <c r="H835" s="91"/>
      <c r="I835" s="88"/>
      <c r="J835" s="91"/>
      <c r="K835" s="88"/>
      <c r="L835" s="88"/>
      <c r="M835" s="91"/>
      <c r="N835" s="88"/>
      <c r="O835" s="91"/>
      <c r="P835" s="91"/>
      <c r="Q835" s="88"/>
      <c r="R835" s="91"/>
      <c r="S835" s="91"/>
      <c r="T835" s="88"/>
      <c r="U835" s="88"/>
      <c r="V835" s="88"/>
      <c r="Y835" s="91"/>
      <c r="Z835" s="88"/>
    </row>
    <row r="836" spans="6:26" ht="12.5" x14ac:dyDescent="0.25">
      <c r="F836" s="88"/>
      <c r="G836" s="91"/>
      <c r="H836" s="91"/>
      <c r="I836" s="88"/>
      <c r="J836" s="91"/>
      <c r="K836" s="88"/>
      <c r="L836" s="88"/>
      <c r="M836" s="91"/>
      <c r="N836" s="88"/>
      <c r="O836" s="91"/>
      <c r="P836" s="91"/>
      <c r="Q836" s="88"/>
      <c r="R836" s="91"/>
      <c r="S836" s="91"/>
      <c r="T836" s="88"/>
      <c r="U836" s="88"/>
      <c r="V836" s="88"/>
      <c r="Y836" s="91"/>
      <c r="Z836" s="88"/>
    </row>
    <row r="837" spans="6:26" ht="12.5" x14ac:dyDescent="0.25">
      <c r="F837" s="88"/>
      <c r="G837" s="91"/>
      <c r="H837" s="91"/>
      <c r="I837" s="88"/>
      <c r="J837" s="91"/>
      <c r="K837" s="88"/>
      <c r="L837" s="88"/>
      <c r="M837" s="91"/>
      <c r="N837" s="88"/>
      <c r="O837" s="91"/>
      <c r="P837" s="91"/>
      <c r="Q837" s="88"/>
      <c r="R837" s="91"/>
      <c r="S837" s="91"/>
      <c r="T837" s="88"/>
      <c r="U837" s="88"/>
      <c r="V837" s="88"/>
      <c r="Y837" s="91"/>
      <c r="Z837" s="88"/>
    </row>
    <row r="838" spans="6:26" ht="12.5" x14ac:dyDescent="0.25">
      <c r="F838" s="88"/>
      <c r="G838" s="91"/>
      <c r="H838" s="91"/>
      <c r="I838" s="88"/>
      <c r="J838" s="91"/>
      <c r="K838" s="88"/>
      <c r="L838" s="88"/>
      <c r="M838" s="91"/>
      <c r="N838" s="88"/>
      <c r="O838" s="91"/>
      <c r="P838" s="91"/>
      <c r="Q838" s="88"/>
      <c r="R838" s="91"/>
      <c r="S838" s="91"/>
      <c r="T838" s="88"/>
      <c r="U838" s="88"/>
      <c r="V838" s="88"/>
      <c r="Y838" s="91"/>
      <c r="Z838" s="88"/>
    </row>
    <row r="839" spans="6:26" ht="12.5" x14ac:dyDescent="0.25">
      <c r="F839" s="88"/>
      <c r="G839" s="91"/>
      <c r="H839" s="91"/>
      <c r="I839" s="88"/>
      <c r="J839" s="91"/>
      <c r="K839" s="88"/>
      <c r="L839" s="88"/>
      <c r="M839" s="91"/>
      <c r="N839" s="88"/>
      <c r="O839" s="91"/>
      <c r="P839" s="91"/>
      <c r="Q839" s="88"/>
      <c r="R839" s="91"/>
      <c r="S839" s="91"/>
      <c r="T839" s="88"/>
      <c r="U839" s="88"/>
      <c r="V839" s="88"/>
      <c r="Y839" s="91"/>
      <c r="Z839" s="88"/>
    </row>
    <row r="840" spans="6:26" ht="12.5" x14ac:dyDescent="0.25">
      <c r="F840" s="88"/>
      <c r="G840" s="91"/>
      <c r="H840" s="91"/>
      <c r="I840" s="88"/>
      <c r="J840" s="91"/>
      <c r="K840" s="88"/>
      <c r="L840" s="88"/>
      <c r="M840" s="91"/>
      <c r="N840" s="88"/>
      <c r="O840" s="91"/>
      <c r="P840" s="91"/>
      <c r="Q840" s="88"/>
      <c r="R840" s="91"/>
      <c r="S840" s="91"/>
      <c r="T840" s="88"/>
      <c r="U840" s="88"/>
      <c r="V840" s="88"/>
      <c r="Y840" s="91"/>
      <c r="Z840" s="88"/>
    </row>
    <row r="841" spans="6:26" ht="12.5" x14ac:dyDescent="0.25">
      <c r="F841" s="88"/>
      <c r="G841" s="91"/>
      <c r="H841" s="91"/>
      <c r="I841" s="88"/>
      <c r="J841" s="91"/>
      <c r="K841" s="88"/>
      <c r="L841" s="88"/>
      <c r="M841" s="91"/>
      <c r="N841" s="88"/>
      <c r="O841" s="91"/>
      <c r="P841" s="91"/>
      <c r="Q841" s="88"/>
      <c r="R841" s="91"/>
      <c r="S841" s="91"/>
      <c r="T841" s="88"/>
      <c r="U841" s="88"/>
      <c r="V841" s="88"/>
      <c r="Y841" s="91"/>
      <c r="Z841" s="88"/>
    </row>
    <row r="842" spans="6:26" ht="12.5" x14ac:dyDescent="0.25">
      <c r="F842" s="88"/>
      <c r="G842" s="91"/>
      <c r="H842" s="91"/>
      <c r="I842" s="88"/>
      <c r="J842" s="91"/>
      <c r="K842" s="88"/>
      <c r="L842" s="88"/>
      <c r="M842" s="91"/>
      <c r="N842" s="88"/>
      <c r="O842" s="91"/>
      <c r="P842" s="91"/>
      <c r="Q842" s="88"/>
      <c r="R842" s="91"/>
      <c r="S842" s="91"/>
      <c r="T842" s="88"/>
      <c r="U842" s="88"/>
      <c r="V842" s="88"/>
      <c r="Y842" s="91"/>
      <c r="Z842" s="88"/>
    </row>
    <row r="843" spans="6:26" ht="12.5" x14ac:dyDescent="0.25">
      <c r="F843" s="88"/>
      <c r="G843" s="91"/>
      <c r="H843" s="91"/>
      <c r="I843" s="88"/>
      <c r="J843" s="91"/>
      <c r="K843" s="88"/>
      <c r="L843" s="88"/>
      <c r="M843" s="91"/>
      <c r="N843" s="88"/>
      <c r="O843" s="91"/>
      <c r="P843" s="91"/>
      <c r="Q843" s="88"/>
      <c r="R843" s="91"/>
      <c r="S843" s="91"/>
      <c r="T843" s="88"/>
      <c r="U843" s="88"/>
      <c r="V843" s="88"/>
      <c r="Y843" s="91"/>
      <c r="Z843" s="88"/>
    </row>
    <row r="844" spans="6:26" ht="12.5" x14ac:dyDescent="0.25">
      <c r="F844" s="88"/>
      <c r="G844" s="91"/>
      <c r="H844" s="91"/>
      <c r="I844" s="88"/>
      <c r="J844" s="91"/>
      <c r="K844" s="88"/>
      <c r="L844" s="88"/>
      <c r="M844" s="91"/>
      <c r="N844" s="88"/>
      <c r="O844" s="91"/>
      <c r="P844" s="91"/>
      <c r="Q844" s="88"/>
      <c r="R844" s="91"/>
      <c r="S844" s="91"/>
      <c r="T844" s="88"/>
      <c r="U844" s="88"/>
      <c r="V844" s="88"/>
      <c r="Y844" s="91"/>
      <c r="Z844" s="88"/>
    </row>
    <row r="845" spans="6:26" ht="12.5" x14ac:dyDescent="0.25">
      <c r="F845" s="88"/>
      <c r="G845" s="91"/>
      <c r="H845" s="91"/>
      <c r="I845" s="88"/>
      <c r="J845" s="91"/>
      <c r="K845" s="88"/>
      <c r="L845" s="88"/>
      <c r="M845" s="91"/>
      <c r="N845" s="88"/>
      <c r="O845" s="91"/>
      <c r="P845" s="91"/>
      <c r="Q845" s="88"/>
      <c r="R845" s="91"/>
      <c r="S845" s="91"/>
      <c r="T845" s="88"/>
      <c r="U845" s="88"/>
      <c r="V845" s="88"/>
      <c r="Y845" s="91"/>
      <c r="Z845" s="88"/>
    </row>
    <row r="846" spans="6:26" ht="12.5" x14ac:dyDescent="0.25">
      <c r="F846" s="88"/>
      <c r="G846" s="91"/>
      <c r="H846" s="91"/>
      <c r="I846" s="88"/>
      <c r="J846" s="91"/>
      <c r="K846" s="88"/>
      <c r="L846" s="88"/>
      <c r="M846" s="91"/>
      <c r="N846" s="88"/>
      <c r="O846" s="91"/>
      <c r="P846" s="91"/>
      <c r="Q846" s="88"/>
      <c r="R846" s="91"/>
      <c r="S846" s="91"/>
      <c r="T846" s="88"/>
      <c r="U846" s="88"/>
      <c r="V846" s="88"/>
      <c r="Y846" s="91"/>
      <c r="Z846" s="88"/>
    </row>
    <row r="847" spans="6:26" ht="12.5" x14ac:dyDescent="0.25">
      <c r="F847" s="88"/>
      <c r="G847" s="91"/>
      <c r="H847" s="91"/>
      <c r="I847" s="88"/>
      <c r="J847" s="91"/>
      <c r="K847" s="88"/>
      <c r="L847" s="88"/>
      <c r="M847" s="91"/>
      <c r="N847" s="88"/>
      <c r="O847" s="91"/>
      <c r="P847" s="91"/>
      <c r="Q847" s="88"/>
      <c r="R847" s="91"/>
      <c r="S847" s="91"/>
      <c r="T847" s="88"/>
      <c r="U847" s="88"/>
      <c r="V847" s="88"/>
      <c r="Y847" s="91"/>
      <c r="Z847" s="88"/>
    </row>
    <row r="848" spans="6:26" ht="12.5" x14ac:dyDescent="0.25">
      <c r="F848" s="88"/>
      <c r="G848" s="91"/>
      <c r="H848" s="91"/>
      <c r="I848" s="88"/>
      <c r="J848" s="91"/>
      <c r="K848" s="88"/>
      <c r="L848" s="88"/>
      <c r="M848" s="91"/>
      <c r="N848" s="88"/>
      <c r="O848" s="91"/>
      <c r="P848" s="91"/>
      <c r="Q848" s="88"/>
      <c r="R848" s="91"/>
      <c r="S848" s="91"/>
      <c r="T848" s="88"/>
      <c r="U848" s="88"/>
      <c r="V848" s="88"/>
      <c r="Y848" s="91"/>
      <c r="Z848" s="88"/>
    </row>
    <row r="849" spans="6:26" ht="12.5" x14ac:dyDescent="0.25">
      <c r="F849" s="88"/>
      <c r="G849" s="91"/>
      <c r="H849" s="91"/>
      <c r="I849" s="88"/>
      <c r="J849" s="91"/>
      <c r="K849" s="88"/>
      <c r="L849" s="88"/>
      <c r="M849" s="91"/>
      <c r="N849" s="88"/>
      <c r="O849" s="91"/>
      <c r="P849" s="91"/>
      <c r="Q849" s="88"/>
      <c r="R849" s="91"/>
      <c r="S849" s="91"/>
      <c r="T849" s="88"/>
      <c r="U849" s="88"/>
      <c r="V849" s="88"/>
      <c r="Y849" s="91"/>
      <c r="Z849" s="88"/>
    </row>
    <row r="850" spans="6:26" ht="12.5" x14ac:dyDescent="0.25">
      <c r="F850" s="88"/>
      <c r="G850" s="91"/>
      <c r="H850" s="91"/>
      <c r="I850" s="88"/>
      <c r="J850" s="91"/>
      <c r="K850" s="88"/>
      <c r="L850" s="88"/>
      <c r="M850" s="91"/>
      <c r="N850" s="88"/>
      <c r="O850" s="91"/>
      <c r="P850" s="91"/>
      <c r="Q850" s="88"/>
      <c r="R850" s="91"/>
      <c r="S850" s="91"/>
      <c r="T850" s="88"/>
      <c r="U850" s="88"/>
      <c r="V850" s="88"/>
      <c r="Y850" s="91"/>
      <c r="Z850" s="88"/>
    </row>
    <row r="851" spans="6:26" ht="12.5" x14ac:dyDescent="0.25">
      <c r="F851" s="88"/>
      <c r="G851" s="91"/>
      <c r="H851" s="91"/>
      <c r="I851" s="88"/>
      <c r="J851" s="91"/>
      <c r="K851" s="88"/>
      <c r="L851" s="88"/>
      <c r="M851" s="91"/>
      <c r="N851" s="88"/>
      <c r="O851" s="91"/>
      <c r="P851" s="91"/>
      <c r="Q851" s="88"/>
      <c r="R851" s="91"/>
      <c r="S851" s="91"/>
      <c r="T851" s="88"/>
      <c r="U851" s="88"/>
      <c r="V851" s="88"/>
      <c r="Y851" s="91"/>
      <c r="Z851" s="88"/>
    </row>
    <row r="852" spans="6:26" ht="12.5" x14ac:dyDescent="0.25">
      <c r="F852" s="88"/>
      <c r="G852" s="91"/>
      <c r="H852" s="91"/>
      <c r="I852" s="88"/>
      <c r="J852" s="91"/>
      <c r="K852" s="88"/>
      <c r="L852" s="88"/>
      <c r="M852" s="91"/>
      <c r="N852" s="88"/>
      <c r="O852" s="91"/>
      <c r="P852" s="91"/>
      <c r="Q852" s="88"/>
      <c r="R852" s="91"/>
      <c r="S852" s="91"/>
      <c r="T852" s="88"/>
      <c r="U852" s="88"/>
      <c r="V852" s="88"/>
      <c r="Y852" s="91"/>
      <c r="Z852" s="88"/>
    </row>
    <row r="853" spans="6:26" ht="12.5" x14ac:dyDescent="0.25">
      <c r="F853" s="88"/>
      <c r="G853" s="91"/>
      <c r="H853" s="91"/>
      <c r="I853" s="88"/>
      <c r="J853" s="91"/>
      <c r="K853" s="88"/>
      <c r="L853" s="88"/>
      <c r="M853" s="91"/>
      <c r="N853" s="88"/>
      <c r="O853" s="91"/>
      <c r="P853" s="91"/>
      <c r="Q853" s="88"/>
      <c r="R853" s="91"/>
      <c r="S853" s="91"/>
      <c r="T853" s="88"/>
      <c r="U853" s="88"/>
      <c r="V853" s="88"/>
      <c r="Y853" s="91"/>
      <c r="Z853" s="88"/>
    </row>
    <row r="854" spans="6:26" ht="12.5" x14ac:dyDescent="0.25">
      <c r="F854" s="88"/>
      <c r="G854" s="91"/>
      <c r="H854" s="91"/>
      <c r="I854" s="88"/>
      <c r="J854" s="91"/>
      <c r="K854" s="88"/>
      <c r="L854" s="88"/>
      <c r="M854" s="91"/>
      <c r="N854" s="88"/>
      <c r="O854" s="91"/>
      <c r="P854" s="91"/>
      <c r="Q854" s="88"/>
      <c r="R854" s="91"/>
      <c r="S854" s="91"/>
      <c r="T854" s="88"/>
      <c r="U854" s="88"/>
      <c r="V854" s="88"/>
      <c r="Y854" s="91"/>
      <c r="Z854" s="88"/>
    </row>
    <row r="855" spans="6:26" ht="12.5" x14ac:dyDescent="0.25">
      <c r="F855" s="88"/>
      <c r="G855" s="91"/>
      <c r="H855" s="91"/>
      <c r="I855" s="88"/>
      <c r="J855" s="91"/>
      <c r="K855" s="88"/>
      <c r="L855" s="88"/>
      <c r="M855" s="91"/>
      <c r="N855" s="88"/>
      <c r="O855" s="91"/>
      <c r="P855" s="91"/>
      <c r="Q855" s="88"/>
      <c r="R855" s="91"/>
      <c r="S855" s="91"/>
      <c r="T855" s="88"/>
      <c r="U855" s="88"/>
      <c r="V855" s="88"/>
      <c r="Y855" s="91"/>
      <c r="Z855" s="88"/>
    </row>
    <row r="856" spans="6:26" ht="12.5" x14ac:dyDescent="0.25">
      <c r="F856" s="88"/>
      <c r="G856" s="91"/>
      <c r="H856" s="91"/>
      <c r="I856" s="88"/>
      <c r="J856" s="91"/>
      <c r="K856" s="88"/>
      <c r="L856" s="88"/>
      <c r="M856" s="91"/>
      <c r="N856" s="88"/>
      <c r="O856" s="91"/>
      <c r="P856" s="91"/>
      <c r="Q856" s="88"/>
      <c r="R856" s="91"/>
      <c r="S856" s="91"/>
      <c r="T856" s="88"/>
      <c r="U856" s="88"/>
      <c r="V856" s="88"/>
      <c r="Y856" s="91"/>
      <c r="Z856" s="88"/>
    </row>
    <row r="857" spans="6:26" ht="12.5" x14ac:dyDescent="0.25">
      <c r="F857" s="88"/>
      <c r="G857" s="91"/>
      <c r="H857" s="91"/>
      <c r="I857" s="88"/>
      <c r="J857" s="91"/>
      <c r="K857" s="88"/>
      <c r="L857" s="88"/>
      <c r="M857" s="91"/>
      <c r="N857" s="88"/>
      <c r="O857" s="91"/>
      <c r="P857" s="91"/>
      <c r="Q857" s="88"/>
      <c r="R857" s="91"/>
      <c r="S857" s="91"/>
      <c r="T857" s="88"/>
      <c r="U857" s="88"/>
      <c r="V857" s="88"/>
      <c r="Y857" s="91"/>
      <c r="Z857" s="88"/>
    </row>
    <row r="858" spans="6:26" ht="12.5" x14ac:dyDescent="0.25">
      <c r="F858" s="88"/>
      <c r="G858" s="91"/>
      <c r="H858" s="91"/>
      <c r="I858" s="88"/>
      <c r="J858" s="91"/>
      <c r="K858" s="88"/>
      <c r="L858" s="88"/>
      <c r="M858" s="91"/>
      <c r="N858" s="88"/>
      <c r="O858" s="91"/>
      <c r="P858" s="91"/>
      <c r="Q858" s="88"/>
      <c r="R858" s="91"/>
      <c r="S858" s="91"/>
      <c r="T858" s="88"/>
      <c r="U858" s="88"/>
      <c r="V858" s="88"/>
      <c r="Y858" s="91"/>
      <c r="Z858" s="88"/>
    </row>
    <row r="859" spans="6:26" ht="12.5" x14ac:dyDescent="0.25">
      <c r="F859" s="88"/>
      <c r="G859" s="91"/>
      <c r="H859" s="91"/>
      <c r="I859" s="88"/>
      <c r="J859" s="91"/>
      <c r="K859" s="88"/>
      <c r="L859" s="88"/>
      <c r="M859" s="91"/>
      <c r="N859" s="88"/>
      <c r="O859" s="91"/>
      <c r="P859" s="91"/>
      <c r="Q859" s="88"/>
      <c r="R859" s="91"/>
      <c r="S859" s="91"/>
      <c r="T859" s="88"/>
      <c r="U859" s="88"/>
      <c r="V859" s="88"/>
      <c r="Y859" s="91"/>
      <c r="Z859" s="88"/>
    </row>
    <row r="860" spans="6:26" ht="12.5" x14ac:dyDescent="0.25">
      <c r="F860" s="88"/>
      <c r="G860" s="91"/>
      <c r="H860" s="91"/>
      <c r="I860" s="88"/>
      <c r="J860" s="91"/>
      <c r="K860" s="88"/>
      <c r="L860" s="88"/>
      <c r="M860" s="91"/>
      <c r="N860" s="88"/>
      <c r="O860" s="91"/>
      <c r="P860" s="91"/>
      <c r="Q860" s="88"/>
      <c r="R860" s="91"/>
      <c r="S860" s="91"/>
      <c r="T860" s="88"/>
      <c r="U860" s="88"/>
      <c r="V860" s="88"/>
      <c r="Y860" s="91"/>
      <c r="Z860" s="88"/>
    </row>
    <row r="861" spans="6:26" ht="12.5" x14ac:dyDescent="0.25">
      <c r="F861" s="88"/>
      <c r="G861" s="91"/>
      <c r="H861" s="91"/>
      <c r="I861" s="88"/>
      <c r="J861" s="91"/>
      <c r="K861" s="88"/>
      <c r="L861" s="88"/>
      <c r="M861" s="91"/>
      <c r="N861" s="88"/>
      <c r="O861" s="91"/>
      <c r="P861" s="91"/>
      <c r="Q861" s="88"/>
      <c r="R861" s="91"/>
      <c r="S861" s="91"/>
      <c r="T861" s="88"/>
      <c r="U861" s="88"/>
      <c r="V861" s="88"/>
      <c r="Y861" s="91"/>
      <c r="Z861" s="88"/>
    </row>
    <row r="862" spans="6:26" ht="12.5" x14ac:dyDescent="0.25">
      <c r="F862" s="88"/>
      <c r="G862" s="91"/>
      <c r="H862" s="91"/>
      <c r="I862" s="88"/>
      <c r="J862" s="91"/>
      <c r="K862" s="88"/>
      <c r="L862" s="88"/>
      <c r="M862" s="91"/>
      <c r="N862" s="88"/>
      <c r="O862" s="91"/>
      <c r="P862" s="91"/>
      <c r="Q862" s="88"/>
      <c r="R862" s="91"/>
      <c r="S862" s="91"/>
      <c r="T862" s="88"/>
      <c r="U862" s="88"/>
      <c r="V862" s="88"/>
      <c r="Y862" s="91"/>
      <c r="Z862" s="88"/>
    </row>
    <row r="863" spans="6:26" ht="12.5" x14ac:dyDescent="0.25">
      <c r="F863" s="88"/>
      <c r="G863" s="91"/>
      <c r="H863" s="91"/>
      <c r="I863" s="88"/>
      <c r="J863" s="91"/>
      <c r="K863" s="88"/>
      <c r="L863" s="88"/>
      <c r="M863" s="91"/>
      <c r="N863" s="88"/>
      <c r="O863" s="91"/>
      <c r="P863" s="91"/>
      <c r="Q863" s="88"/>
      <c r="R863" s="91"/>
      <c r="S863" s="91"/>
      <c r="T863" s="88"/>
      <c r="U863" s="88"/>
      <c r="V863" s="88"/>
      <c r="Y863" s="91"/>
      <c r="Z863" s="88"/>
    </row>
    <row r="864" spans="6:26" ht="12.5" x14ac:dyDescent="0.25">
      <c r="F864" s="88"/>
      <c r="G864" s="91"/>
      <c r="H864" s="91"/>
      <c r="I864" s="88"/>
      <c r="J864" s="91"/>
      <c r="K864" s="88"/>
      <c r="L864" s="88"/>
      <c r="M864" s="91"/>
      <c r="N864" s="88"/>
      <c r="O864" s="91"/>
      <c r="P864" s="91"/>
      <c r="Q864" s="88"/>
      <c r="R864" s="91"/>
      <c r="S864" s="91"/>
      <c r="T864" s="88"/>
      <c r="U864" s="88"/>
      <c r="V864" s="88"/>
      <c r="Y864" s="91"/>
      <c r="Z864" s="88"/>
    </row>
    <row r="865" spans="6:26" ht="12.5" x14ac:dyDescent="0.25">
      <c r="F865" s="88"/>
      <c r="G865" s="91"/>
      <c r="H865" s="91"/>
      <c r="I865" s="88"/>
      <c r="J865" s="91"/>
      <c r="K865" s="88"/>
      <c r="L865" s="88"/>
      <c r="M865" s="91"/>
      <c r="N865" s="88"/>
      <c r="O865" s="91"/>
      <c r="P865" s="91"/>
      <c r="Q865" s="88"/>
      <c r="R865" s="91"/>
      <c r="S865" s="91"/>
      <c r="T865" s="88"/>
      <c r="U865" s="88"/>
      <c r="V865" s="88"/>
      <c r="Y865" s="91"/>
      <c r="Z865" s="88"/>
    </row>
    <row r="866" spans="6:26" ht="12.5" x14ac:dyDescent="0.25">
      <c r="F866" s="88"/>
      <c r="G866" s="91"/>
      <c r="H866" s="91"/>
      <c r="I866" s="88"/>
      <c r="J866" s="91"/>
      <c r="K866" s="88"/>
      <c r="L866" s="88"/>
      <c r="M866" s="91"/>
      <c r="N866" s="88"/>
      <c r="O866" s="91"/>
      <c r="P866" s="91"/>
      <c r="Q866" s="88"/>
      <c r="R866" s="91"/>
      <c r="S866" s="91"/>
      <c r="T866" s="88"/>
      <c r="U866" s="88"/>
      <c r="V866" s="88"/>
      <c r="Y866" s="91"/>
      <c r="Z866" s="88"/>
    </row>
    <row r="867" spans="6:26" ht="12.5" x14ac:dyDescent="0.25">
      <c r="F867" s="88"/>
      <c r="G867" s="91"/>
      <c r="H867" s="91"/>
      <c r="I867" s="88"/>
      <c r="J867" s="91"/>
      <c r="K867" s="88"/>
      <c r="L867" s="88"/>
      <c r="M867" s="91"/>
      <c r="N867" s="88"/>
      <c r="O867" s="91"/>
      <c r="P867" s="91"/>
      <c r="Q867" s="88"/>
      <c r="R867" s="91"/>
      <c r="S867" s="91"/>
      <c r="T867" s="88"/>
      <c r="U867" s="88"/>
      <c r="V867" s="88"/>
      <c r="Y867" s="91"/>
      <c r="Z867" s="88"/>
    </row>
    <row r="868" spans="6:26" ht="12.5" x14ac:dyDescent="0.25">
      <c r="F868" s="88"/>
      <c r="G868" s="91"/>
      <c r="H868" s="91"/>
      <c r="I868" s="88"/>
      <c r="J868" s="91"/>
      <c r="K868" s="88"/>
      <c r="L868" s="88"/>
      <c r="M868" s="91"/>
      <c r="N868" s="88"/>
      <c r="O868" s="91"/>
      <c r="P868" s="91"/>
      <c r="Q868" s="88"/>
      <c r="R868" s="91"/>
      <c r="S868" s="91"/>
      <c r="T868" s="88"/>
      <c r="U868" s="88"/>
      <c r="V868" s="88"/>
      <c r="Y868" s="91"/>
      <c r="Z868" s="88"/>
    </row>
    <row r="869" spans="6:26" ht="12.5" x14ac:dyDescent="0.25">
      <c r="F869" s="88"/>
      <c r="G869" s="91"/>
      <c r="H869" s="91"/>
      <c r="I869" s="88"/>
      <c r="J869" s="91"/>
      <c r="K869" s="88"/>
      <c r="L869" s="88"/>
      <c r="M869" s="91"/>
      <c r="N869" s="88"/>
      <c r="O869" s="91"/>
      <c r="P869" s="91"/>
      <c r="Q869" s="88"/>
      <c r="R869" s="91"/>
      <c r="S869" s="91"/>
      <c r="T869" s="88"/>
      <c r="U869" s="88"/>
      <c r="V869" s="88"/>
      <c r="Y869" s="91"/>
      <c r="Z869" s="88"/>
    </row>
    <row r="870" spans="6:26" ht="12.5" x14ac:dyDescent="0.25">
      <c r="F870" s="88"/>
      <c r="G870" s="91"/>
      <c r="H870" s="91"/>
      <c r="I870" s="88"/>
      <c r="J870" s="91"/>
      <c r="K870" s="88"/>
      <c r="L870" s="88"/>
      <c r="M870" s="91"/>
      <c r="N870" s="88"/>
      <c r="O870" s="91"/>
      <c r="P870" s="91"/>
      <c r="Q870" s="88"/>
      <c r="R870" s="91"/>
      <c r="S870" s="91"/>
      <c r="T870" s="88"/>
      <c r="U870" s="88"/>
      <c r="V870" s="88"/>
      <c r="Y870" s="91"/>
      <c r="Z870" s="88"/>
    </row>
    <row r="871" spans="6:26" ht="12.5" x14ac:dyDescent="0.25">
      <c r="F871" s="88"/>
      <c r="G871" s="91"/>
      <c r="H871" s="91"/>
      <c r="I871" s="88"/>
      <c r="J871" s="91"/>
      <c r="K871" s="88"/>
      <c r="L871" s="88"/>
      <c r="M871" s="91"/>
      <c r="N871" s="88"/>
      <c r="O871" s="91"/>
      <c r="P871" s="91"/>
      <c r="Q871" s="88"/>
      <c r="R871" s="91"/>
      <c r="S871" s="91"/>
      <c r="T871" s="88"/>
      <c r="U871" s="88"/>
      <c r="V871" s="88"/>
      <c r="Y871" s="91"/>
      <c r="Z871" s="88"/>
    </row>
    <row r="872" spans="6:26" ht="12.5" x14ac:dyDescent="0.25">
      <c r="F872" s="88"/>
      <c r="G872" s="91"/>
      <c r="H872" s="91"/>
      <c r="I872" s="88"/>
      <c r="J872" s="91"/>
      <c r="K872" s="88"/>
      <c r="L872" s="88"/>
      <c r="M872" s="91"/>
      <c r="N872" s="88"/>
      <c r="O872" s="91"/>
      <c r="P872" s="91"/>
      <c r="Q872" s="88"/>
      <c r="R872" s="91"/>
      <c r="S872" s="91"/>
      <c r="T872" s="88"/>
      <c r="U872" s="88"/>
      <c r="V872" s="88"/>
      <c r="Y872" s="91"/>
      <c r="Z872" s="88"/>
    </row>
    <row r="873" spans="6:26" ht="12.5" x14ac:dyDescent="0.25">
      <c r="F873" s="88"/>
      <c r="G873" s="91"/>
      <c r="H873" s="91"/>
      <c r="I873" s="88"/>
      <c r="J873" s="91"/>
      <c r="K873" s="88"/>
      <c r="L873" s="88"/>
      <c r="M873" s="91"/>
      <c r="N873" s="88"/>
      <c r="O873" s="91"/>
      <c r="P873" s="91"/>
      <c r="Q873" s="88"/>
      <c r="R873" s="91"/>
      <c r="S873" s="91"/>
      <c r="T873" s="88"/>
      <c r="U873" s="88"/>
      <c r="V873" s="88"/>
      <c r="Y873" s="91"/>
      <c r="Z873" s="88"/>
    </row>
    <row r="874" spans="6:26" ht="12.5" x14ac:dyDescent="0.25">
      <c r="F874" s="88"/>
      <c r="G874" s="91"/>
      <c r="H874" s="91"/>
      <c r="I874" s="88"/>
      <c r="J874" s="91"/>
      <c r="K874" s="88"/>
      <c r="L874" s="88"/>
      <c r="M874" s="91"/>
      <c r="N874" s="88"/>
      <c r="O874" s="91"/>
      <c r="P874" s="91"/>
      <c r="Q874" s="88"/>
      <c r="R874" s="91"/>
      <c r="S874" s="91"/>
      <c r="T874" s="88"/>
      <c r="U874" s="88"/>
      <c r="V874" s="88"/>
      <c r="Y874" s="91"/>
      <c r="Z874" s="88"/>
    </row>
    <row r="875" spans="6:26" ht="12.5" x14ac:dyDescent="0.25">
      <c r="F875" s="88"/>
      <c r="G875" s="91"/>
      <c r="H875" s="91"/>
      <c r="I875" s="88"/>
      <c r="J875" s="91"/>
      <c r="K875" s="88"/>
      <c r="L875" s="88"/>
      <c r="M875" s="91"/>
      <c r="N875" s="88"/>
      <c r="O875" s="91"/>
      <c r="P875" s="91"/>
      <c r="Q875" s="88"/>
      <c r="R875" s="91"/>
      <c r="S875" s="91"/>
      <c r="T875" s="88"/>
      <c r="U875" s="88"/>
      <c r="V875" s="88"/>
      <c r="Y875" s="91"/>
      <c r="Z875" s="88"/>
    </row>
    <row r="876" spans="6:26" ht="12.5" x14ac:dyDescent="0.25">
      <c r="F876" s="88"/>
      <c r="G876" s="91"/>
      <c r="H876" s="91"/>
      <c r="I876" s="88"/>
      <c r="J876" s="91"/>
      <c r="K876" s="88"/>
      <c r="L876" s="88"/>
      <c r="M876" s="91"/>
      <c r="N876" s="88"/>
      <c r="O876" s="91"/>
      <c r="P876" s="91"/>
      <c r="Q876" s="88"/>
      <c r="R876" s="91"/>
      <c r="S876" s="91"/>
      <c r="T876" s="88"/>
      <c r="U876" s="88"/>
      <c r="V876" s="88"/>
      <c r="Y876" s="91"/>
      <c r="Z876" s="88"/>
    </row>
    <row r="877" spans="6:26" ht="12.5" x14ac:dyDescent="0.25">
      <c r="F877" s="88"/>
      <c r="G877" s="91"/>
      <c r="H877" s="91"/>
      <c r="I877" s="88"/>
      <c r="J877" s="91"/>
      <c r="K877" s="88"/>
      <c r="L877" s="88"/>
      <c r="M877" s="91"/>
      <c r="N877" s="88"/>
      <c r="O877" s="91"/>
      <c r="P877" s="91"/>
      <c r="Q877" s="88"/>
      <c r="R877" s="91"/>
      <c r="S877" s="91"/>
      <c r="T877" s="88"/>
      <c r="U877" s="88"/>
      <c r="V877" s="88"/>
      <c r="Y877" s="91"/>
      <c r="Z877" s="88"/>
    </row>
    <row r="878" spans="6:26" ht="12.5" x14ac:dyDescent="0.25">
      <c r="F878" s="88"/>
      <c r="G878" s="91"/>
      <c r="H878" s="91"/>
      <c r="I878" s="88"/>
      <c r="J878" s="91"/>
      <c r="K878" s="88"/>
      <c r="L878" s="88"/>
      <c r="M878" s="91"/>
      <c r="N878" s="88"/>
      <c r="O878" s="91"/>
      <c r="P878" s="91"/>
      <c r="Q878" s="88"/>
      <c r="R878" s="91"/>
      <c r="S878" s="91"/>
      <c r="T878" s="88"/>
      <c r="U878" s="88"/>
      <c r="V878" s="88"/>
      <c r="Y878" s="91"/>
      <c r="Z878" s="88"/>
    </row>
    <row r="879" spans="6:26" ht="12.5" x14ac:dyDescent="0.25">
      <c r="F879" s="88"/>
      <c r="G879" s="91"/>
      <c r="H879" s="91"/>
      <c r="I879" s="88"/>
      <c r="J879" s="91"/>
      <c r="K879" s="88"/>
      <c r="L879" s="88"/>
      <c r="M879" s="91"/>
      <c r="N879" s="88"/>
      <c r="O879" s="91"/>
      <c r="P879" s="91"/>
      <c r="Q879" s="88"/>
      <c r="R879" s="91"/>
      <c r="S879" s="91"/>
      <c r="T879" s="88"/>
      <c r="U879" s="88"/>
      <c r="V879" s="88"/>
      <c r="Y879" s="91"/>
      <c r="Z879" s="88"/>
    </row>
    <row r="880" spans="6:26" ht="12.5" x14ac:dyDescent="0.25">
      <c r="F880" s="88"/>
      <c r="G880" s="91"/>
      <c r="H880" s="91"/>
      <c r="I880" s="88"/>
      <c r="J880" s="91"/>
      <c r="K880" s="88"/>
      <c r="L880" s="88"/>
      <c r="M880" s="91"/>
      <c r="N880" s="88"/>
      <c r="O880" s="91"/>
      <c r="P880" s="91"/>
      <c r="Q880" s="88"/>
      <c r="R880" s="91"/>
      <c r="S880" s="91"/>
      <c r="T880" s="88"/>
      <c r="U880" s="88"/>
      <c r="V880" s="88"/>
      <c r="Y880" s="91"/>
      <c r="Z880" s="88"/>
    </row>
    <row r="881" spans="6:26" ht="12.5" x14ac:dyDescent="0.25">
      <c r="F881" s="88"/>
      <c r="G881" s="91"/>
      <c r="H881" s="91"/>
      <c r="I881" s="88"/>
      <c r="J881" s="91"/>
      <c r="K881" s="88"/>
      <c r="L881" s="88"/>
      <c r="M881" s="91"/>
      <c r="N881" s="88"/>
      <c r="O881" s="91"/>
      <c r="P881" s="91"/>
      <c r="Q881" s="88"/>
      <c r="R881" s="91"/>
      <c r="S881" s="91"/>
      <c r="T881" s="88"/>
      <c r="U881" s="88"/>
      <c r="V881" s="88"/>
      <c r="Y881" s="91"/>
      <c r="Z881" s="88"/>
    </row>
    <row r="882" spans="6:26" ht="12.5" x14ac:dyDescent="0.25">
      <c r="F882" s="88"/>
      <c r="G882" s="91"/>
      <c r="H882" s="91"/>
      <c r="I882" s="88"/>
      <c r="J882" s="91"/>
      <c r="K882" s="88"/>
      <c r="L882" s="88"/>
      <c r="M882" s="91"/>
      <c r="N882" s="88"/>
      <c r="O882" s="91"/>
      <c r="P882" s="91"/>
      <c r="Q882" s="88"/>
      <c r="R882" s="91"/>
      <c r="S882" s="91"/>
      <c r="T882" s="88"/>
      <c r="U882" s="88"/>
      <c r="V882" s="88"/>
      <c r="Y882" s="91"/>
      <c r="Z882" s="88"/>
    </row>
    <row r="883" spans="6:26" ht="12.5" x14ac:dyDescent="0.25">
      <c r="F883" s="88"/>
      <c r="G883" s="91"/>
      <c r="H883" s="91"/>
      <c r="I883" s="88"/>
      <c r="J883" s="91"/>
      <c r="K883" s="88"/>
      <c r="L883" s="88"/>
      <c r="M883" s="91"/>
      <c r="N883" s="88"/>
      <c r="O883" s="91"/>
      <c r="P883" s="91"/>
      <c r="Q883" s="88"/>
      <c r="R883" s="91"/>
      <c r="S883" s="91"/>
      <c r="T883" s="88"/>
      <c r="U883" s="88"/>
      <c r="V883" s="88"/>
      <c r="Y883" s="91"/>
      <c r="Z883" s="88"/>
    </row>
    <row r="884" spans="6:26" ht="12.5" x14ac:dyDescent="0.25">
      <c r="F884" s="88"/>
      <c r="G884" s="91"/>
      <c r="H884" s="91"/>
      <c r="I884" s="88"/>
      <c r="J884" s="91"/>
      <c r="K884" s="88"/>
      <c r="L884" s="88"/>
      <c r="M884" s="91"/>
      <c r="N884" s="88"/>
      <c r="O884" s="91"/>
      <c r="P884" s="91"/>
      <c r="Q884" s="88"/>
      <c r="R884" s="91"/>
      <c r="S884" s="91"/>
      <c r="T884" s="88"/>
      <c r="U884" s="88"/>
      <c r="V884" s="88"/>
      <c r="Y884" s="91"/>
      <c r="Z884" s="88"/>
    </row>
    <row r="885" spans="6:26" ht="12.5" x14ac:dyDescent="0.25">
      <c r="F885" s="88"/>
      <c r="G885" s="91"/>
      <c r="H885" s="91"/>
      <c r="I885" s="88"/>
      <c r="J885" s="91"/>
      <c r="K885" s="88"/>
      <c r="L885" s="88"/>
      <c r="M885" s="91"/>
      <c r="N885" s="88"/>
      <c r="O885" s="91"/>
      <c r="P885" s="91"/>
      <c r="Q885" s="88"/>
      <c r="R885" s="91"/>
      <c r="S885" s="91"/>
      <c r="T885" s="88"/>
      <c r="U885" s="88"/>
      <c r="V885" s="88"/>
      <c r="Y885" s="91"/>
      <c r="Z885" s="88"/>
    </row>
    <row r="886" spans="6:26" ht="12.5" x14ac:dyDescent="0.25">
      <c r="F886" s="88"/>
      <c r="G886" s="91"/>
      <c r="H886" s="91"/>
      <c r="I886" s="88"/>
      <c r="J886" s="91"/>
      <c r="K886" s="88"/>
      <c r="L886" s="88"/>
      <c r="M886" s="91"/>
      <c r="N886" s="88"/>
      <c r="O886" s="91"/>
      <c r="P886" s="91"/>
      <c r="Q886" s="88"/>
      <c r="R886" s="91"/>
      <c r="S886" s="91"/>
      <c r="T886" s="88"/>
      <c r="U886" s="88"/>
      <c r="V886" s="88"/>
      <c r="Y886" s="91"/>
      <c r="Z886" s="88"/>
    </row>
    <row r="887" spans="6:26" ht="12.5" x14ac:dyDescent="0.25">
      <c r="F887" s="88"/>
      <c r="G887" s="91"/>
      <c r="H887" s="91"/>
      <c r="I887" s="88"/>
      <c r="J887" s="91"/>
      <c r="K887" s="88"/>
      <c r="L887" s="88"/>
      <c r="M887" s="91"/>
      <c r="N887" s="88"/>
      <c r="O887" s="91"/>
      <c r="P887" s="91"/>
      <c r="Q887" s="88"/>
      <c r="R887" s="91"/>
      <c r="S887" s="91"/>
      <c r="T887" s="88"/>
      <c r="U887" s="88"/>
      <c r="V887" s="88"/>
      <c r="Y887" s="91"/>
      <c r="Z887" s="88"/>
    </row>
    <row r="888" spans="6:26" ht="12.5" x14ac:dyDescent="0.25">
      <c r="F888" s="88"/>
      <c r="G888" s="91"/>
      <c r="H888" s="91"/>
      <c r="I888" s="88"/>
      <c r="J888" s="91"/>
      <c r="K888" s="88"/>
      <c r="L888" s="88"/>
      <c r="M888" s="91"/>
      <c r="N888" s="88"/>
      <c r="O888" s="91"/>
      <c r="P888" s="91"/>
      <c r="Q888" s="88"/>
      <c r="R888" s="91"/>
      <c r="S888" s="91"/>
      <c r="T888" s="88"/>
      <c r="U888" s="88"/>
      <c r="V888" s="88"/>
      <c r="Y888" s="91"/>
      <c r="Z888" s="88"/>
    </row>
    <row r="889" spans="6:26" ht="12.5" x14ac:dyDescent="0.25">
      <c r="F889" s="88"/>
      <c r="G889" s="91"/>
      <c r="H889" s="91"/>
      <c r="I889" s="88"/>
      <c r="J889" s="91"/>
      <c r="K889" s="88"/>
      <c r="L889" s="88"/>
      <c r="M889" s="91"/>
      <c r="N889" s="88"/>
      <c r="O889" s="91"/>
      <c r="P889" s="91"/>
      <c r="Q889" s="88"/>
      <c r="R889" s="91"/>
      <c r="S889" s="91"/>
      <c r="T889" s="88"/>
      <c r="U889" s="88"/>
      <c r="V889" s="88"/>
      <c r="Y889" s="91"/>
      <c r="Z889" s="88"/>
    </row>
    <row r="890" spans="6:26" ht="12.5" x14ac:dyDescent="0.25">
      <c r="F890" s="88"/>
      <c r="G890" s="91"/>
      <c r="H890" s="91"/>
      <c r="I890" s="88"/>
      <c r="J890" s="91"/>
      <c r="K890" s="88"/>
      <c r="L890" s="88"/>
      <c r="M890" s="91"/>
      <c r="N890" s="88"/>
      <c r="O890" s="91"/>
      <c r="P890" s="91"/>
      <c r="Q890" s="88"/>
      <c r="R890" s="91"/>
      <c r="S890" s="91"/>
      <c r="T890" s="88"/>
      <c r="U890" s="88"/>
      <c r="V890" s="88"/>
      <c r="Y890" s="91"/>
      <c r="Z890" s="88"/>
    </row>
    <row r="891" spans="6:26" ht="12.5" x14ac:dyDescent="0.25">
      <c r="F891" s="88"/>
      <c r="G891" s="91"/>
      <c r="H891" s="91"/>
      <c r="I891" s="88"/>
      <c r="J891" s="91"/>
      <c r="K891" s="88"/>
      <c r="L891" s="88"/>
      <c r="M891" s="91"/>
      <c r="N891" s="88"/>
      <c r="O891" s="91"/>
      <c r="P891" s="91"/>
      <c r="Q891" s="88"/>
      <c r="R891" s="91"/>
      <c r="S891" s="91"/>
      <c r="T891" s="88"/>
      <c r="U891" s="88"/>
      <c r="V891" s="88"/>
      <c r="Y891" s="91"/>
      <c r="Z891" s="88"/>
    </row>
    <row r="892" spans="6:26" ht="12.5" x14ac:dyDescent="0.25">
      <c r="F892" s="88"/>
      <c r="G892" s="91"/>
      <c r="H892" s="91"/>
      <c r="I892" s="88"/>
      <c r="J892" s="91"/>
      <c r="K892" s="88"/>
      <c r="L892" s="88"/>
      <c r="M892" s="91"/>
      <c r="N892" s="88"/>
      <c r="O892" s="91"/>
      <c r="P892" s="91"/>
      <c r="Q892" s="88"/>
      <c r="R892" s="91"/>
      <c r="S892" s="91"/>
      <c r="T892" s="88"/>
      <c r="U892" s="88"/>
      <c r="V892" s="88"/>
      <c r="Y892" s="91"/>
      <c r="Z892" s="88"/>
    </row>
    <row r="893" spans="6:26" ht="12.5" x14ac:dyDescent="0.25">
      <c r="F893" s="88"/>
      <c r="G893" s="91"/>
      <c r="H893" s="91"/>
      <c r="I893" s="88"/>
      <c r="J893" s="91"/>
      <c r="K893" s="88"/>
      <c r="L893" s="88"/>
      <c r="M893" s="91"/>
      <c r="N893" s="88"/>
      <c r="O893" s="91"/>
      <c r="P893" s="91"/>
      <c r="Q893" s="88"/>
      <c r="R893" s="91"/>
      <c r="S893" s="91"/>
      <c r="T893" s="88"/>
      <c r="U893" s="88"/>
      <c r="V893" s="88"/>
      <c r="Y893" s="91"/>
      <c r="Z893" s="88"/>
    </row>
    <row r="894" spans="6:26" ht="12.5" x14ac:dyDescent="0.25">
      <c r="F894" s="88"/>
      <c r="G894" s="91"/>
      <c r="H894" s="91"/>
      <c r="I894" s="88"/>
      <c r="J894" s="91"/>
      <c r="K894" s="88"/>
      <c r="L894" s="88"/>
      <c r="M894" s="91"/>
      <c r="N894" s="88"/>
      <c r="O894" s="91"/>
      <c r="P894" s="91"/>
      <c r="Q894" s="88"/>
      <c r="R894" s="91"/>
      <c r="S894" s="91"/>
      <c r="T894" s="88"/>
      <c r="U894" s="88"/>
      <c r="V894" s="88"/>
      <c r="Y894" s="91"/>
      <c r="Z894" s="88"/>
    </row>
    <row r="895" spans="6:26" ht="12.5" x14ac:dyDescent="0.25">
      <c r="F895" s="88"/>
      <c r="G895" s="91"/>
      <c r="H895" s="91"/>
      <c r="I895" s="88"/>
      <c r="J895" s="91"/>
      <c r="K895" s="88"/>
      <c r="L895" s="88"/>
      <c r="M895" s="91"/>
      <c r="N895" s="88"/>
      <c r="O895" s="91"/>
      <c r="P895" s="91"/>
      <c r="Q895" s="88"/>
      <c r="R895" s="91"/>
      <c r="S895" s="91"/>
      <c r="T895" s="88"/>
      <c r="U895" s="88"/>
      <c r="V895" s="88"/>
      <c r="Y895" s="91"/>
      <c r="Z895" s="88"/>
    </row>
    <row r="896" spans="6:26" ht="12.5" x14ac:dyDescent="0.25">
      <c r="F896" s="88"/>
      <c r="G896" s="91"/>
      <c r="H896" s="91"/>
      <c r="I896" s="88"/>
      <c r="J896" s="91"/>
      <c r="K896" s="88"/>
      <c r="L896" s="88"/>
      <c r="M896" s="91"/>
      <c r="N896" s="88"/>
      <c r="O896" s="91"/>
      <c r="P896" s="91"/>
      <c r="Q896" s="88"/>
      <c r="R896" s="91"/>
      <c r="S896" s="91"/>
      <c r="T896" s="88"/>
      <c r="U896" s="88"/>
      <c r="V896" s="88"/>
      <c r="Y896" s="91"/>
      <c r="Z896" s="88"/>
    </row>
    <row r="897" spans="6:26" ht="12.5" x14ac:dyDescent="0.25">
      <c r="F897" s="88"/>
      <c r="G897" s="91"/>
      <c r="H897" s="91"/>
      <c r="I897" s="88"/>
      <c r="J897" s="91"/>
      <c r="K897" s="88"/>
      <c r="L897" s="88"/>
      <c r="M897" s="91"/>
      <c r="N897" s="88"/>
      <c r="O897" s="91"/>
      <c r="P897" s="91"/>
      <c r="Q897" s="88"/>
      <c r="R897" s="91"/>
      <c r="S897" s="91"/>
      <c r="T897" s="88"/>
      <c r="U897" s="88"/>
      <c r="V897" s="88"/>
      <c r="Y897" s="91"/>
      <c r="Z897" s="88"/>
    </row>
    <row r="898" spans="6:26" ht="12.5" x14ac:dyDescent="0.25">
      <c r="F898" s="88"/>
      <c r="G898" s="91"/>
      <c r="H898" s="91"/>
      <c r="I898" s="88"/>
      <c r="J898" s="91"/>
      <c r="K898" s="88"/>
      <c r="L898" s="88"/>
      <c r="M898" s="91"/>
      <c r="N898" s="88"/>
      <c r="O898" s="91"/>
      <c r="P898" s="91"/>
      <c r="Q898" s="88"/>
      <c r="R898" s="91"/>
      <c r="S898" s="91"/>
      <c r="T898" s="88"/>
      <c r="U898" s="88"/>
      <c r="V898" s="88"/>
      <c r="Y898" s="91"/>
      <c r="Z898" s="88"/>
    </row>
    <row r="899" spans="6:26" ht="12.5" x14ac:dyDescent="0.25">
      <c r="F899" s="88"/>
      <c r="G899" s="91"/>
      <c r="H899" s="91"/>
      <c r="I899" s="88"/>
      <c r="J899" s="91"/>
      <c r="K899" s="88"/>
      <c r="L899" s="88"/>
      <c r="M899" s="91"/>
      <c r="N899" s="88"/>
      <c r="O899" s="91"/>
      <c r="P899" s="91"/>
      <c r="Q899" s="88"/>
      <c r="R899" s="91"/>
      <c r="S899" s="91"/>
      <c r="T899" s="88"/>
      <c r="U899" s="88"/>
      <c r="V899" s="88"/>
      <c r="Y899" s="91"/>
      <c r="Z899" s="88"/>
    </row>
    <row r="900" spans="6:26" ht="12.5" x14ac:dyDescent="0.25">
      <c r="F900" s="88"/>
      <c r="G900" s="91"/>
      <c r="H900" s="91"/>
      <c r="I900" s="88"/>
      <c r="J900" s="91"/>
      <c r="K900" s="88"/>
      <c r="L900" s="88"/>
      <c r="M900" s="91"/>
      <c r="N900" s="88"/>
      <c r="O900" s="91"/>
      <c r="P900" s="91"/>
      <c r="Q900" s="88"/>
      <c r="R900" s="91"/>
      <c r="S900" s="91"/>
      <c r="T900" s="88"/>
      <c r="U900" s="88"/>
      <c r="V900" s="88"/>
      <c r="Y900" s="91"/>
      <c r="Z900" s="88"/>
    </row>
    <row r="901" spans="6:26" ht="12.5" x14ac:dyDescent="0.25">
      <c r="F901" s="88"/>
      <c r="G901" s="91"/>
      <c r="H901" s="91"/>
      <c r="I901" s="88"/>
      <c r="J901" s="91"/>
      <c r="K901" s="88"/>
      <c r="L901" s="88"/>
      <c r="M901" s="91"/>
      <c r="N901" s="88"/>
      <c r="O901" s="91"/>
      <c r="P901" s="91"/>
      <c r="Q901" s="88"/>
      <c r="R901" s="91"/>
      <c r="S901" s="91"/>
      <c r="T901" s="88"/>
      <c r="U901" s="88"/>
      <c r="V901" s="88"/>
      <c r="Y901" s="91"/>
      <c r="Z901" s="88"/>
    </row>
    <row r="902" spans="6:26" ht="12.5" x14ac:dyDescent="0.25">
      <c r="F902" s="88"/>
      <c r="G902" s="91"/>
      <c r="H902" s="91"/>
      <c r="I902" s="88"/>
      <c r="J902" s="91"/>
      <c r="K902" s="88"/>
      <c r="L902" s="88"/>
      <c r="M902" s="91"/>
      <c r="N902" s="88"/>
      <c r="O902" s="91"/>
      <c r="P902" s="91"/>
      <c r="Q902" s="88"/>
      <c r="R902" s="91"/>
      <c r="S902" s="91"/>
      <c r="T902" s="88"/>
      <c r="U902" s="88"/>
      <c r="V902" s="88"/>
      <c r="Y902" s="91"/>
      <c r="Z902" s="88"/>
    </row>
    <row r="903" spans="6:26" ht="12.5" x14ac:dyDescent="0.25">
      <c r="F903" s="88"/>
      <c r="G903" s="91"/>
      <c r="H903" s="91"/>
      <c r="I903" s="88"/>
      <c r="J903" s="91"/>
      <c r="K903" s="88"/>
      <c r="L903" s="88"/>
      <c r="M903" s="91"/>
      <c r="N903" s="88"/>
      <c r="O903" s="91"/>
      <c r="P903" s="91"/>
      <c r="Q903" s="88"/>
      <c r="R903" s="91"/>
      <c r="S903" s="91"/>
      <c r="T903" s="88"/>
      <c r="U903" s="88"/>
      <c r="V903" s="88"/>
      <c r="Y903" s="91"/>
      <c r="Z903" s="88"/>
    </row>
    <row r="904" spans="6:26" ht="12.5" x14ac:dyDescent="0.25">
      <c r="F904" s="88"/>
      <c r="G904" s="91"/>
      <c r="H904" s="91"/>
      <c r="I904" s="88"/>
      <c r="J904" s="91"/>
      <c r="K904" s="88"/>
      <c r="L904" s="88"/>
      <c r="M904" s="91"/>
      <c r="N904" s="88"/>
      <c r="O904" s="91"/>
      <c r="P904" s="91"/>
      <c r="Q904" s="88"/>
      <c r="R904" s="91"/>
      <c r="S904" s="91"/>
      <c r="T904" s="88"/>
      <c r="U904" s="88"/>
      <c r="V904" s="88"/>
      <c r="Y904" s="91"/>
      <c r="Z904" s="88"/>
    </row>
    <row r="905" spans="6:26" ht="12.5" x14ac:dyDescent="0.25">
      <c r="F905" s="88"/>
      <c r="G905" s="91"/>
      <c r="H905" s="91"/>
      <c r="I905" s="88"/>
      <c r="J905" s="91"/>
      <c r="K905" s="88"/>
      <c r="L905" s="88"/>
      <c r="M905" s="91"/>
      <c r="N905" s="88"/>
      <c r="O905" s="91"/>
      <c r="P905" s="91"/>
      <c r="Q905" s="88"/>
      <c r="R905" s="91"/>
      <c r="S905" s="91"/>
      <c r="T905" s="88"/>
      <c r="U905" s="88"/>
      <c r="V905" s="88"/>
      <c r="Y905" s="91"/>
      <c r="Z905" s="88"/>
    </row>
    <row r="906" spans="6:26" ht="12.5" x14ac:dyDescent="0.25">
      <c r="F906" s="88"/>
      <c r="G906" s="91"/>
      <c r="H906" s="91"/>
      <c r="I906" s="88"/>
      <c r="J906" s="91"/>
      <c r="K906" s="88"/>
      <c r="L906" s="88"/>
      <c r="M906" s="91"/>
      <c r="N906" s="88"/>
      <c r="O906" s="91"/>
      <c r="P906" s="91"/>
      <c r="Q906" s="88"/>
      <c r="R906" s="91"/>
      <c r="S906" s="91"/>
      <c r="T906" s="88"/>
      <c r="U906" s="88"/>
      <c r="V906" s="88"/>
      <c r="Y906" s="91"/>
      <c r="Z906" s="88"/>
    </row>
    <row r="907" spans="6:26" ht="12.5" x14ac:dyDescent="0.25">
      <c r="F907" s="88"/>
      <c r="G907" s="91"/>
      <c r="H907" s="91"/>
      <c r="I907" s="88"/>
      <c r="J907" s="91"/>
      <c r="K907" s="88"/>
      <c r="L907" s="88"/>
      <c r="M907" s="91"/>
      <c r="N907" s="88"/>
      <c r="O907" s="91"/>
      <c r="P907" s="91"/>
      <c r="Q907" s="88"/>
      <c r="R907" s="91"/>
      <c r="S907" s="91"/>
      <c r="T907" s="88"/>
      <c r="U907" s="88"/>
      <c r="V907" s="88"/>
      <c r="Y907" s="91"/>
      <c r="Z907" s="88"/>
    </row>
    <row r="908" spans="6:26" ht="12.5" x14ac:dyDescent="0.25">
      <c r="F908" s="88"/>
      <c r="G908" s="91"/>
      <c r="H908" s="91"/>
      <c r="I908" s="88"/>
      <c r="J908" s="91"/>
      <c r="K908" s="88"/>
      <c r="L908" s="88"/>
      <c r="M908" s="91"/>
      <c r="N908" s="88"/>
      <c r="O908" s="91"/>
      <c r="P908" s="91"/>
      <c r="Q908" s="88"/>
      <c r="R908" s="91"/>
      <c r="S908" s="91"/>
      <c r="T908" s="88"/>
      <c r="U908" s="88"/>
      <c r="V908" s="88"/>
      <c r="Y908" s="91"/>
      <c r="Z908" s="88"/>
    </row>
    <row r="909" spans="6:26" ht="12.5" x14ac:dyDescent="0.25">
      <c r="F909" s="88"/>
      <c r="G909" s="91"/>
      <c r="H909" s="91"/>
      <c r="I909" s="88"/>
      <c r="J909" s="91"/>
      <c r="K909" s="88"/>
      <c r="L909" s="88"/>
      <c r="M909" s="91"/>
      <c r="N909" s="88"/>
      <c r="O909" s="91"/>
      <c r="P909" s="91"/>
      <c r="Q909" s="88"/>
      <c r="R909" s="91"/>
      <c r="S909" s="91"/>
      <c r="T909" s="88"/>
      <c r="U909" s="88"/>
      <c r="V909" s="88"/>
      <c r="Y909" s="91"/>
      <c r="Z909" s="88"/>
    </row>
    <row r="910" spans="6:26" ht="12.5" x14ac:dyDescent="0.25">
      <c r="F910" s="88"/>
      <c r="G910" s="91"/>
      <c r="H910" s="91"/>
      <c r="I910" s="88"/>
      <c r="J910" s="91"/>
      <c r="K910" s="88"/>
      <c r="L910" s="88"/>
      <c r="M910" s="91"/>
      <c r="N910" s="88"/>
      <c r="O910" s="91"/>
      <c r="P910" s="91"/>
      <c r="Q910" s="88"/>
      <c r="R910" s="91"/>
      <c r="S910" s="91"/>
      <c r="T910" s="88"/>
      <c r="U910" s="88"/>
      <c r="V910" s="88"/>
      <c r="Y910" s="91"/>
      <c r="Z910" s="88"/>
    </row>
    <row r="911" spans="6:26" ht="12.5" x14ac:dyDescent="0.25">
      <c r="F911" s="88"/>
      <c r="G911" s="91"/>
      <c r="H911" s="91"/>
      <c r="I911" s="88"/>
      <c r="J911" s="91"/>
      <c r="K911" s="88"/>
      <c r="L911" s="88"/>
      <c r="M911" s="91"/>
      <c r="N911" s="88"/>
      <c r="O911" s="91"/>
      <c r="P911" s="91"/>
      <c r="Q911" s="88"/>
      <c r="R911" s="91"/>
      <c r="S911" s="91"/>
      <c r="T911" s="88"/>
      <c r="U911" s="88"/>
      <c r="V911" s="88"/>
      <c r="Y911" s="91"/>
      <c r="Z911" s="88"/>
    </row>
    <row r="912" spans="6:26" ht="12.5" x14ac:dyDescent="0.25">
      <c r="F912" s="88"/>
      <c r="G912" s="91"/>
      <c r="H912" s="91"/>
      <c r="I912" s="88"/>
      <c r="J912" s="91"/>
      <c r="K912" s="88"/>
      <c r="L912" s="88"/>
      <c r="M912" s="91"/>
      <c r="N912" s="88"/>
      <c r="O912" s="91"/>
      <c r="P912" s="91"/>
      <c r="Q912" s="88"/>
      <c r="R912" s="91"/>
      <c r="S912" s="91"/>
      <c r="T912" s="88"/>
      <c r="U912" s="88"/>
      <c r="V912" s="88"/>
      <c r="Y912" s="91"/>
      <c r="Z912" s="88"/>
    </row>
    <row r="913" spans="6:26" ht="12.5" x14ac:dyDescent="0.25">
      <c r="F913" s="88"/>
      <c r="G913" s="91"/>
      <c r="H913" s="91"/>
      <c r="I913" s="88"/>
      <c r="J913" s="91"/>
      <c r="K913" s="88"/>
      <c r="L913" s="88"/>
      <c r="M913" s="91"/>
      <c r="N913" s="88"/>
      <c r="O913" s="91"/>
      <c r="P913" s="91"/>
      <c r="Q913" s="88"/>
      <c r="R913" s="91"/>
      <c r="S913" s="91"/>
      <c r="T913" s="88"/>
      <c r="U913" s="88"/>
      <c r="V913" s="88"/>
      <c r="Y913" s="91"/>
      <c r="Z913" s="88"/>
    </row>
    <row r="914" spans="6:26" ht="12.5" x14ac:dyDescent="0.25">
      <c r="F914" s="88"/>
      <c r="G914" s="91"/>
      <c r="H914" s="91"/>
      <c r="I914" s="88"/>
      <c r="J914" s="91"/>
      <c r="K914" s="88"/>
      <c r="L914" s="88"/>
      <c r="M914" s="91"/>
      <c r="N914" s="88"/>
      <c r="O914" s="91"/>
      <c r="P914" s="91"/>
      <c r="Q914" s="88"/>
      <c r="R914" s="91"/>
      <c r="S914" s="91"/>
      <c r="T914" s="88"/>
      <c r="U914" s="88"/>
      <c r="V914" s="88"/>
      <c r="Y914" s="91"/>
      <c r="Z914" s="88"/>
    </row>
    <row r="915" spans="6:26" ht="12.5" x14ac:dyDescent="0.25">
      <c r="F915" s="88"/>
      <c r="G915" s="91"/>
      <c r="H915" s="91"/>
      <c r="I915" s="88"/>
      <c r="J915" s="91"/>
      <c r="K915" s="88"/>
      <c r="L915" s="88"/>
      <c r="M915" s="91"/>
      <c r="N915" s="88"/>
      <c r="O915" s="91"/>
      <c r="P915" s="91"/>
      <c r="Q915" s="88"/>
      <c r="R915" s="91"/>
      <c r="S915" s="91"/>
      <c r="T915" s="88"/>
      <c r="U915" s="88"/>
      <c r="V915" s="88"/>
      <c r="Y915" s="91"/>
      <c r="Z915" s="88"/>
    </row>
    <row r="916" spans="6:26" ht="12.5" x14ac:dyDescent="0.25">
      <c r="F916" s="88"/>
      <c r="G916" s="91"/>
      <c r="H916" s="91"/>
      <c r="I916" s="88"/>
      <c r="J916" s="91"/>
      <c r="K916" s="88"/>
      <c r="L916" s="88"/>
      <c r="M916" s="91"/>
      <c r="N916" s="88"/>
      <c r="O916" s="91"/>
      <c r="P916" s="91"/>
      <c r="Q916" s="88"/>
      <c r="R916" s="91"/>
      <c r="S916" s="91"/>
      <c r="T916" s="88"/>
      <c r="U916" s="88"/>
      <c r="V916" s="88"/>
      <c r="Y916" s="91"/>
      <c r="Z916" s="88"/>
    </row>
    <row r="917" spans="6:26" ht="12.5" x14ac:dyDescent="0.25">
      <c r="F917" s="88"/>
      <c r="G917" s="91"/>
      <c r="H917" s="91"/>
      <c r="I917" s="88"/>
      <c r="J917" s="91"/>
      <c r="K917" s="88"/>
      <c r="L917" s="88"/>
      <c r="M917" s="91"/>
      <c r="N917" s="88"/>
      <c r="O917" s="91"/>
      <c r="P917" s="91"/>
      <c r="Q917" s="88"/>
      <c r="R917" s="91"/>
      <c r="S917" s="91"/>
      <c r="T917" s="88"/>
      <c r="U917" s="88"/>
      <c r="V917" s="88"/>
      <c r="Y917" s="91"/>
      <c r="Z917" s="88"/>
    </row>
    <row r="918" spans="6:26" ht="12.5" x14ac:dyDescent="0.25">
      <c r="F918" s="88"/>
      <c r="G918" s="91"/>
      <c r="H918" s="91"/>
      <c r="I918" s="88"/>
      <c r="J918" s="91"/>
      <c r="K918" s="88"/>
      <c r="L918" s="88"/>
      <c r="M918" s="91"/>
      <c r="N918" s="88"/>
      <c r="O918" s="91"/>
      <c r="P918" s="91"/>
      <c r="Q918" s="88"/>
      <c r="R918" s="91"/>
      <c r="S918" s="91"/>
      <c r="T918" s="88"/>
      <c r="U918" s="88"/>
      <c r="V918" s="88"/>
      <c r="Y918" s="91"/>
      <c r="Z918" s="88"/>
    </row>
    <row r="919" spans="6:26" ht="12.5" x14ac:dyDescent="0.25">
      <c r="F919" s="88"/>
      <c r="G919" s="91"/>
      <c r="H919" s="91"/>
      <c r="I919" s="88"/>
      <c r="J919" s="91"/>
      <c r="K919" s="88"/>
      <c r="L919" s="88"/>
      <c r="M919" s="91"/>
      <c r="N919" s="88"/>
      <c r="O919" s="91"/>
      <c r="P919" s="91"/>
      <c r="Q919" s="88"/>
      <c r="R919" s="91"/>
      <c r="S919" s="91"/>
      <c r="T919" s="88"/>
      <c r="U919" s="88"/>
      <c r="V919" s="88"/>
      <c r="Y919" s="91"/>
      <c r="Z919" s="88"/>
    </row>
    <row r="920" spans="6:26" ht="12.5" x14ac:dyDescent="0.25">
      <c r="F920" s="88"/>
      <c r="G920" s="91"/>
      <c r="H920" s="91"/>
      <c r="I920" s="88"/>
      <c r="J920" s="91"/>
      <c r="K920" s="88"/>
      <c r="L920" s="88"/>
      <c r="M920" s="91"/>
      <c r="N920" s="88"/>
      <c r="O920" s="91"/>
      <c r="P920" s="91"/>
      <c r="Q920" s="88"/>
      <c r="R920" s="91"/>
      <c r="S920" s="91"/>
      <c r="T920" s="88"/>
      <c r="U920" s="88"/>
      <c r="V920" s="88"/>
      <c r="Y920" s="91"/>
      <c r="Z920" s="88"/>
    </row>
    <row r="921" spans="6:26" ht="12.5" x14ac:dyDescent="0.25">
      <c r="F921" s="88"/>
      <c r="G921" s="91"/>
      <c r="H921" s="91"/>
      <c r="I921" s="88"/>
      <c r="J921" s="91"/>
      <c r="K921" s="88"/>
      <c r="L921" s="88"/>
      <c r="M921" s="91"/>
      <c r="N921" s="88"/>
      <c r="O921" s="91"/>
      <c r="P921" s="91"/>
      <c r="Q921" s="88"/>
      <c r="R921" s="91"/>
      <c r="S921" s="91"/>
      <c r="T921" s="88"/>
      <c r="U921" s="88"/>
      <c r="V921" s="88"/>
      <c r="Y921" s="91"/>
      <c r="Z921" s="88"/>
    </row>
    <row r="922" spans="6:26" ht="12.5" x14ac:dyDescent="0.25">
      <c r="F922" s="88"/>
      <c r="G922" s="91"/>
      <c r="H922" s="91"/>
      <c r="I922" s="88"/>
      <c r="J922" s="91"/>
      <c r="K922" s="88"/>
      <c r="L922" s="88"/>
      <c r="M922" s="91"/>
      <c r="N922" s="88"/>
      <c r="O922" s="91"/>
      <c r="P922" s="91"/>
      <c r="Q922" s="88"/>
      <c r="R922" s="91"/>
      <c r="S922" s="91"/>
      <c r="T922" s="88"/>
      <c r="U922" s="88"/>
      <c r="V922" s="88"/>
      <c r="Y922" s="91"/>
      <c r="Z922" s="88"/>
    </row>
    <row r="923" spans="6:26" ht="12.5" x14ac:dyDescent="0.25">
      <c r="F923" s="88"/>
      <c r="G923" s="91"/>
      <c r="H923" s="91"/>
      <c r="I923" s="88"/>
      <c r="J923" s="91"/>
      <c r="K923" s="88"/>
      <c r="L923" s="88"/>
      <c r="M923" s="91"/>
      <c r="N923" s="88"/>
      <c r="O923" s="91"/>
      <c r="P923" s="91"/>
      <c r="Q923" s="88"/>
      <c r="R923" s="91"/>
      <c r="S923" s="91"/>
      <c r="T923" s="88"/>
      <c r="U923" s="88"/>
      <c r="V923" s="88"/>
      <c r="Y923" s="91"/>
      <c r="Z923" s="88"/>
    </row>
    <row r="924" spans="6:26" ht="12.5" x14ac:dyDescent="0.25">
      <c r="F924" s="88"/>
      <c r="G924" s="91"/>
      <c r="H924" s="91"/>
      <c r="I924" s="88"/>
      <c r="J924" s="91"/>
      <c r="K924" s="88"/>
      <c r="L924" s="88"/>
      <c r="M924" s="91"/>
      <c r="N924" s="88"/>
      <c r="O924" s="91"/>
      <c r="P924" s="91"/>
      <c r="Q924" s="88"/>
      <c r="R924" s="91"/>
      <c r="S924" s="91"/>
      <c r="T924" s="88"/>
      <c r="U924" s="88"/>
      <c r="V924" s="88"/>
      <c r="Y924" s="91"/>
      <c r="Z924" s="88"/>
    </row>
    <row r="925" spans="6:26" ht="12.5" x14ac:dyDescent="0.25">
      <c r="F925" s="88"/>
      <c r="G925" s="91"/>
      <c r="H925" s="91"/>
      <c r="I925" s="88"/>
      <c r="J925" s="91"/>
      <c r="K925" s="88"/>
      <c r="L925" s="88"/>
      <c r="M925" s="91"/>
      <c r="N925" s="88"/>
      <c r="O925" s="91"/>
      <c r="P925" s="91"/>
      <c r="Q925" s="88"/>
      <c r="R925" s="91"/>
      <c r="S925" s="91"/>
      <c r="T925" s="88"/>
      <c r="U925" s="88"/>
      <c r="V925" s="88"/>
      <c r="Y925" s="91"/>
      <c r="Z925" s="88"/>
    </row>
    <row r="926" spans="6:26" ht="12.5" x14ac:dyDescent="0.25">
      <c r="F926" s="88"/>
      <c r="G926" s="91"/>
      <c r="H926" s="91"/>
      <c r="I926" s="88"/>
      <c r="J926" s="91"/>
      <c r="K926" s="88"/>
      <c r="L926" s="88"/>
      <c r="M926" s="91"/>
      <c r="N926" s="88"/>
      <c r="O926" s="91"/>
      <c r="P926" s="91"/>
      <c r="Q926" s="88"/>
      <c r="R926" s="91"/>
      <c r="S926" s="91"/>
      <c r="T926" s="88"/>
      <c r="U926" s="88"/>
      <c r="V926" s="88"/>
      <c r="Y926" s="91"/>
      <c r="Z926" s="88"/>
    </row>
    <row r="927" spans="6:26" ht="12.5" x14ac:dyDescent="0.25">
      <c r="F927" s="88"/>
      <c r="G927" s="91"/>
      <c r="H927" s="91"/>
      <c r="I927" s="88"/>
      <c r="J927" s="91"/>
      <c r="K927" s="88"/>
      <c r="L927" s="88"/>
      <c r="M927" s="91"/>
      <c r="N927" s="88"/>
      <c r="O927" s="91"/>
      <c r="P927" s="91"/>
      <c r="Q927" s="88"/>
      <c r="R927" s="91"/>
      <c r="S927" s="91"/>
      <c r="T927" s="88"/>
      <c r="U927" s="88"/>
      <c r="V927" s="88"/>
      <c r="Y927" s="91"/>
      <c r="Z927" s="88"/>
    </row>
    <row r="928" spans="6:26" ht="12.5" x14ac:dyDescent="0.25">
      <c r="F928" s="88"/>
      <c r="G928" s="91"/>
      <c r="H928" s="91"/>
      <c r="I928" s="88"/>
      <c r="J928" s="91"/>
      <c r="K928" s="88"/>
      <c r="L928" s="88"/>
      <c r="M928" s="91"/>
      <c r="N928" s="88"/>
      <c r="O928" s="91"/>
      <c r="P928" s="91"/>
      <c r="Q928" s="88"/>
      <c r="R928" s="91"/>
      <c r="S928" s="91"/>
      <c r="T928" s="88"/>
      <c r="U928" s="88"/>
      <c r="V928" s="88"/>
      <c r="Y928" s="91"/>
      <c r="Z928" s="88"/>
    </row>
    <row r="929" spans="6:26" ht="12.5" x14ac:dyDescent="0.25">
      <c r="F929" s="88"/>
      <c r="G929" s="91"/>
      <c r="H929" s="91"/>
      <c r="I929" s="88"/>
      <c r="J929" s="91"/>
      <c r="K929" s="88"/>
      <c r="L929" s="88"/>
      <c r="M929" s="91"/>
      <c r="N929" s="88"/>
      <c r="O929" s="91"/>
      <c r="P929" s="91"/>
      <c r="Q929" s="88"/>
      <c r="R929" s="91"/>
      <c r="S929" s="91"/>
      <c r="T929" s="88"/>
      <c r="U929" s="88"/>
      <c r="V929" s="88"/>
      <c r="Y929" s="91"/>
      <c r="Z929" s="88"/>
    </row>
    <row r="930" spans="6:26" ht="12.5" x14ac:dyDescent="0.25">
      <c r="F930" s="88"/>
      <c r="G930" s="91"/>
      <c r="H930" s="91"/>
      <c r="I930" s="88"/>
      <c r="J930" s="91"/>
      <c r="K930" s="88"/>
      <c r="L930" s="88"/>
      <c r="M930" s="91"/>
      <c r="N930" s="88"/>
      <c r="O930" s="91"/>
      <c r="P930" s="91"/>
      <c r="Q930" s="88"/>
      <c r="R930" s="91"/>
      <c r="S930" s="91"/>
      <c r="T930" s="88"/>
      <c r="U930" s="88"/>
      <c r="V930" s="88"/>
      <c r="Y930" s="91"/>
      <c r="Z930" s="88"/>
    </row>
    <row r="931" spans="6:26" ht="12.5" x14ac:dyDescent="0.25">
      <c r="F931" s="88"/>
      <c r="G931" s="91"/>
      <c r="H931" s="91"/>
      <c r="I931" s="88"/>
      <c r="J931" s="91"/>
      <c r="K931" s="88"/>
      <c r="L931" s="88"/>
      <c r="M931" s="91"/>
      <c r="N931" s="88"/>
      <c r="O931" s="91"/>
      <c r="P931" s="91"/>
      <c r="Q931" s="88"/>
      <c r="R931" s="91"/>
      <c r="S931" s="91"/>
      <c r="T931" s="88"/>
      <c r="U931" s="88"/>
      <c r="V931" s="88"/>
      <c r="Y931" s="91"/>
      <c r="Z931" s="88"/>
    </row>
    <row r="932" spans="6:26" ht="12.5" x14ac:dyDescent="0.25">
      <c r="F932" s="88"/>
      <c r="G932" s="91"/>
      <c r="H932" s="91"/>
      <c r="I932" s="88"/>
      <c r="J932" s="91"/>
      <c r="K932" s="88"/>
      <c r="L932" s="88"/>
      <c r="M932" s="91"/>
      <c r="N932" s="88"/>
      <c r="O932" s="91"/>
      <c r="P932" s="91"/>
      <c r="Q932" s="88"/>
      <c r="R932" s="91"/>
      <c r="S932" s="91"/>
      <c r="T932" s="88"/>
      <c r="U932" s="88"/>
      <c r="V932" s="88"/>
      <c r="Y932" s="91"/>
      <c r="Z932" s="88"/>
    </row>
    <row r="933" spans="6:26" ht="12.5" x14ac:dyDescent="0.25">
      <c r="F933" s="88"/>
      <c r="G933" s="91"/>
      <c r="H933" s="91"/>
      <c r="I933" s="88"/>
      <c r="J933" s="91"/>
      <c r="K933" s="88"/>
      <c r="L933" s="88"/>
      <c r="M933" s="91"/>
      <c r="N933" s="88"/>
      <c r="O933" s="91"/>
      <c r="P933" s="91"/>
      <c r="Q933" s="88"/>
      <c r="R933" s="91"/>
      <c r="S933" s="91"/>
      <c r="T933" s="88"/>
      <c r="U933" s="88"/>
      <c r="V933" s="88"/>
      <c r="Y933" s="91"/>
      <c r="Z933" s="88"/>
    </row>
    <row r="934" spans="6:26" ht="12.5" x14ac:dyDescent="0.25">
      <c r="F934" s="88"/>
      <c r="G934" s="91"/>
      <c r="H934" s="91"/>
      <c r="I934" s="88"/>
      <c r="J934" s="91"/>
      <c r="K934" s="88"/>
      <c r="L934" s="88"/>
      <c r="M934" s="91"/>
      <c r="N934" s="88"/>
      <c r="O934" s="91"/>
      <c r="P934" s="91"/>
      <c r="Q934" s="88"/>
      <c r="R934" s="91"/>
      <c r="S934" s="91"/>
      <c r="T934" s="88"/>
      <c r="U934" s="88"/>
      <c r="V934" s="88"/>
      <c r="Y934" s="91"/>
      <c r="Z934" s="88"/>
    </row>
    <row r="935" spans="6:26" ht="12.5" x14ac:dyDescent="0.25">
      <c r="F935" s="88"/>
      <c r="G935" s="91"/>
      <c r="H935" s="91"/>
      <c r="I935" s="88"/>
      <c r="J935" s="91"/>
      <c r="K935" s="88"/>
      <c r="L935" s="88"/>
      <c r="M935" s="91"/>
      <c r="N935" s="88"/>
      <c r="O935" s="91"/>
      <c r="P935" s="91"/>
      <c r="Q935" s="88"/>
      <c r="R935" s="91"/>
      <c r="S935" s="91"/>
      <c r="T935" s="88"/>
      <c r="U935" s="88"/>
      <c r="V935" s="88"/>
      <c r="Y935" s="91"/>
      <c r="Z935" s="88"/>
    </row>
    <row r="936" spans="6:26" ht="12.5" x14ac:dyDescent="0.25">
      <c r="F936" s="88"/>
      <c r="G936" s="91"/>
      <c r="H936" s="91"/>
      <c r="I936" s="88"/>
      <c r="J936" s="91"/>
      <c r="K936" s="88"/>
      <c r="L936" s="88"/>
      <c r="M936" s="91"/>
      <c r="N936" s="88"/>
      <c r="O936" s="91"/>
      <c r="P936" s="91"/>
      <c r="Q936" s="88"/>
      <c r="R936" s="91"/>
      <c r="S936" s="91"/>
      <c r="T936" s="88"/>
      <c r="U936" s="88"/>
      <c r="V936" s="88"/>
      <c r="Y936" s="91"/>
      <c r="Z936" s="88"/>
    </row>
    <row r="937" spans="6:26" ht="12.5" x14ac:dyDescent="0.25">
      <c r="F937" s="88"/>
      <c r="G937" s="91"/>
      <c r="H937" s="91"/>
      <c r="I937" s="88"/>
      <c r="J937" s="91"/>
      <c r="K937" s="88"/>
      <c r="L937" s="88"/>
      <c r="M937" s="91"/>
      <c r="N937" s="88"/>
      <c r="O937" s="91"/>
      <c r="P937" s="91"/>
      <c r="Q937" s="88"/>
      <c r="R937" s="91"/>
      <c r="S937" s="91"/>
      <c r="T937" s="88"/>
      <c r="U937" s="88"/>
      <c r="V937" s="88"/>
      <c r="Y937" s="91"/>
      <c r="Z937" s="88"/>
    </row>
    <row r="938" spans="6:26" ht="12.5" x14ac:dyDescent="0.25">
      <c r="F938" s="88"/>
      <c r="G938" s="91"/>
      <c r="H938" s="91"/>
      <c r="I938" s="88"/>
      <c r="J938" s="91"/>
      <c r="K938" s="88"/>
      <c r="L938" s="88"/>
      <c r="M938" s="91"/>
      <c r="N938" s="88"/>
      <c r="O938" s="91"/>
      <c r="P938" s="91"/>
      <c r="Q938" s="88"/>
      <c r="R938" s="91"/>
      <c r="S938" s="91"/>
      <c r="T938" s="88"/>
      <c r="U938" s="88"/>
      <c r="V938" s="88"/>
      <c r="Y938" s="91"/>
      <c r="Z938" s="88"/>
    </row>
    <row r="939" spans="6:26" ht="12.5" x14ac:dyDescent="0.25">
      <c r="F939" s="88"/>
      <c r="G939" s="91"/>
      <c r="H939" s="91"/>
      <c r="I939" s="88"/>
      <c r="J939" s="91"/>
      <c r="K939" s="88"/>
      <c r="L939" s="88"/>
      <c r="M939" s="91"/>
      <c r="N939" s="88"/>
      <c r="O939" s="91"/>
      <c r="P939" s="91"/>
      <c r="Q939" s="88"/>
      <c r="R939" s="91"/>
      <c r="S939" s="91"/>
      <c r="T939" s="88"/>
      <c r="U939" s="88"/>
      <c r="V939" s="88"/>
      <c r="Y939" s="91"/>
      <c r="Z939" s="88"/>
    </row>
    <row r="940" spans="6:26" ht="12.5" x14ac:dyDescent="0.25">
      <c r="F940" s="88"/>
      <c r="G940" s="91"/>
      <c r="H940" s="91"/>
      <c r="I940" s="88"/>
      <c r="J940" s="91"/>
      <c r="K940" s="88"/>
      <c r="L940" s="88"/>
      <c r="M940" s="91"/>
      <c r="N940" s="88"/>
      <c r="O940" s="91"/>
      <c r="P940" s="91"/>
      <c r="Q940" s="88"/>
      <c r="R940" s="91"/>
      <c r="S940" s="91"/>
      <c r="T940" s="88"/>
      <c r="U940" s="88"/>
      <c r="V940" s="88"/>
      <c r="Y940" s="91"/>
      <c r="Z940" s="88"/>
    </row>
    <row r="941" spans="6:26" ht="12.5" x14ac:dyDescent="0.25">
      <c r="F941" s="88"/>
      <c r="G941" s="91"/>
      <c r="H941" s="91"/>
      <c r="I941" s="88"/>
      <c r="J941" s="91"/>
      <c r="K941" s="88"/>
      <c r="L941" s="88"/>
      <c r="M941" s="91"/>
      <c r="N941" s="88"/>
      <c r="O941" s="91"/>
      <c r="P941" s="91"/>
      <c r="Q941" s="88"/>
      <c r="R941" s="91"/>
      <c r="S941" s="91"/>
      <c r="T941" s="88"/>
      <c r="U941" s="88"/>
      <c r="V941" s="88"/>
      <c r="Y941" s="91"/>
      <c r="Z941" s="88"/>
    </row>
    <row r="942" spans="6:26" ht="12.5" x14ac:dyDescent="0.25">
      <c r="F942" s="88"/>
      <c r="G942" s="91"/>
      <c r="H942" s="91"/>
      <c r="I942" s="88"/>
      <c r="J942" s="91"/>
      <c r="K942" s="88"/>
      <c r="L942" s="88"/>
      <c r="M942" s="91"/>
      <c r="N942" s="88"/>
      <c r="O942" s="91"/>
      <c r="P942" s="91"/>
      <c r="Q942" s="88"/>
      <c r="R942" s="91"/>
      <c r="S942" s="91"/>
      <c r="T942" s="88"/>
      <c r="U942" s="88"/>
      <c r="V942" s="88"/>
      <c r="Y942" s="91"/>
      <c r="Z942" s="88"/>
    </row>
    <row r="943" spans="6:26" ht="12.5" x14ac:dyDescent="0.25">
      <c r="F943" s="88"/>
      <c r="G943" s="91"/>
      <c r="H943" s="91"/>
      <c r="I943" s="88"/>
      <c r="J943" s="91"/>
      <c r="K943" s="88"/>
      <c r="L943" s="88"/>
      <c r="M943" s="91"/>
      <c r="N943" s="88"/>
      <c r="O943" s="91"/>
      <c r="P943" s="91"/>
      <c r="Q943" s="88"/>
      <c r="R943" s="91"/>
      <c r="S943" s="91"/>
      <c r="T943" s="88"/>
      <c r="U943" s="88"/>
      <c r="V943" s="88"/>
      <c r="Y943" s="91"/>
      <c r="Z943" s="88"/>
    </row>
    <row r="944" spans="6:26" ht="12.5" x14ac:dyDescent="0.25">
      <c r="F944" s="88"/>
      <c r="G944" s="91"/>
      <c r="H944" s="91"/>
      <c r="I944" s="88"/>
      <c r="J944" s="91"/>
      <c r="K944" s="88"/>
      <c r="L944" s="88"/>
      <c r="M944" s="91"/>
      <c r="N944" s="88"/>
      <c r="O944" s="91"/>
      <c r="P944" s="91"/>
      <c r="Q944" s="88"/>
      <c r="R944" s="91"/>
      <c r="S944" s="91"/>
      <c r="T944" s="88"/>
      <c r="U944" s="88"/>
      <c r="V944" s="88"/>
      <c r="Y944" s="91"/>
      <c r="Z944" s="88"/>
    </row>
    <row r="945" spans="6:26" ht="12.5" x14ac:dyDescent="0.25">
      <c r="F945" s="88"/>
      <c r="G945" s="91"/>
      <c r="H945" s="91"/>
      <c r="I945" s="88"/>
      <c r="J945" s="91"/>
      <c r="K945" s="88"/>
      <c r="L945" s="88"/>
      <c r="M945" s="91"/>
      <c r="N945" s="88"/>
      <c r="O945" s="91"/>
      <c r="P945" s="91"/>
      <c r="Q945" s="88"/>
      <c r="R945" s="91"/>
      <c r="S945" s="91"/>
      <c r="T945" s="88"/>
      <c r="U945" s="88"/>
      <c r="V945" s="88"/>
      <c r="Y945" s="91"/>
      <c r="Z945" s="88"/>
    </row>
    <row r="946" spans="6:26" ht="12.5" x14ac:dyDescent="0.25">
      <c r="F946" s="88"/>
      <c r="G946" s="91"/>
      <c r="H946" s="91"/>
      <c r="I946" s="88"/>
      <c r="J946" s="91"/>
      <c r="K946" s="88"/>
      <c r="L946" s="88"/>
      <c r="M946" s="91"/>
      <c r="N946" s="88"/>
      <c r="O946" s="91"/>
      <c r="P946" s="91"/>
      <c r="Q946" s="88"/>
      <c r="R946" s="91"/>
      <c r="S946" s="91"/>
      <c r="T946" s="88"/>
      <c r="U946" s="88"/>
      <c r="V946" s="88"/>
      <c r="Y946" s="91"/>
      <c r="Z946" s="88"/>
    </row>
    <row r="947" spans="6:26" ht="12.5" x14ac:dyDescent="0.25">
      <c r="F947" s="88"/>
      <c r="G947" s="91"/>
      <c r="H947" s="91"/>
      <c r="I947" s="88"/>
      <c r="J947" s="91"/>
      <c r="K947" s="88"/>
      <c r="L947" s="88"/>
      <c r="M947" s="91"/>
      <c r="N947" s="88"/>
      <c r="O947" s="91"/>
      <c r="P947" s="91"/>
      <c r="Q947" s="88"/>
      <c r="R947" s="91"/>
      <c r="S947" s="91"/>
      <c r="T947" s="88"/>
      <c r="U947" s="88"/>
      <c r="V947" s="88"/>
      <c r="Y947" s="91"/>
      <c r="Z947" s="88"/>
    </row>
    <row r="948" spans="6:26" ht="12.5" x14ac:dyDescent="0.25">
      <c r="F948" s="88"/>
      <c r="G948" s="91"/>
      <c r="H948" s="91"/>
      <c r="I948" s="88"/>
      <c r="J948" s="91"/>
      <c r="K948" s="88"/>
      <c r="L948" s="88"/>
      <c r="M948" s="91"/>
      <c r="N948" s="88"/>
      <c r="O948" s="91"/>
      <c r="P948" s="91"/>
      <c r="Q948" s="88"/>
      <c r="R948" s="91"/>
      <c r="S948" s="91"/>
      <c r="T948" s="88"/>
      <c r="U948" s="88"/>
      <c r="V948" s="88"/>
      <c r="Y948" s="91"/>
      <c r="Z948" s="88"/>
    </row>
    <row r="949" spans="6:26" ht="12.5" x14ac:dyDescent="0.25">
      <c r="F949" s="88"/>
      <c r="G949" s="91"/>
      <c r="H949" s="91"/>
      <c r="I949" s="88"/>
      <c r="J949" s="91"/>
      <c r="K949" s="88"/>
      <c r="L949" s="88"/>
      <c r="M949" s="91"/>
      <c r="N949" s="88"/>
      <c r="O949" s="91"/>
      <c r="P949" s="91"/>
      <c r="Q949" s="88"/>
      <c r="R949" s="91"/>
      <c r="S949" s="91"/>
      <c r="T949" s="88"/>
      <c r="U949" s="88"/>
      <c r="V949" s="88"/>
      <c r="Y949" s="91"/>
      <c r="Z949" s="88"/>
    </row>
    <row r="950" spans="6:26" ht="12.5" x14ac:dyDescent="0.25">
      <c r="F950" s="88"/>
      <c r="G950" s="91"/>
      <c r="H950" s="91"/>
      <c r="I950" s="88"/>
      <c r="J950" s="91"/>
      <c r="K950" s="88"/>
      <c r="L950" s="88"/>
      <c r="M950" s="91"/>
      <c r="N950" s="88"/>
      <c r="O950" s="91"/>
      <c r="P950" s="91"/>
      <c r="Q950" s="88"/>
      <c r="R950" s="91"/>
      <c r="S950" s="91"/>
      <c r="T950" s="88"/>
      <c r="U950" s="88"/>
      <c r="V950" s="88"/>
      <c r="Y950" s="91"/>
      <c r="Z950" s="88"/>
    </row>
    <row r="951" spans="6:26" ht="12.5" x14ac:dyDescent="0.25">
      <c r="F951" s="88"/>
      <c r="G951" s="91"/>
      <c r="H951" s="91"/>
      <c r="I951" s="88"/>
      <c r="J951" s="91"/>
      <c r="K951" s="88"/>
      <c r="L951" s="88"/>
      <c r="M951" s="91"/>
      <c r="N951" s="88"/>
      <c r="O951" s="91"/>
      <c r="P951" s="91"/>
      <c r="Q951" s="88"/>
      <c r="R951" s="91"/>
      <c r="S951" s="91"/>
      <c r="T951" s="88"/>
      <c r="U951" s="88"/>
      <c r="V951" s="88"/>
      <c r="Y951" s="91"/>
      <c r="Z951" s="88"/>
    </row>
    <row r="952" spans="6:26" ht="12.5" x14ac:dyDescent="0.25">
      <c r="F952" s="88"/>
      <c r="G952" s="91"/>
      <c r="H952" s="91"/>
      <c r="I952" s="88"/>
      <c r="J952" s="91"/>
      <c r="K952" s="88"/>
      <c r="L952" s="88"/>
      <c r="M952" s="91"/>
      <c r="N952" s="88"/>
      <c r="O952" s="91"/>
      <c r="P952" s="91"/>
      <c r="Q952" s="88"/>
      <c r="R952" s="91"/>
      <c r="S952" s="91"/>
      <c r="T952" s="88"/>
      <c r="U952" s="88"/>
      <c r="V952" s="88"/>
      <c r="Y952" s="91"/>
      <c r="Z952" s="88"/>
    </row>
    <row r="953" spans="6:26" ht="12.5" x14ac:dyDescent="0.25">
      <c r="F953" s="88"/>
      <c r="G953" s="91"/>
      <c r="H953" s="91"/>
      <c r="I953" s="88"/>
      <c r="J953" s="91"/>
      <c r="K953" s="88"/>
      <c r="L953" s="88"/>
      <c r="M953" s="91"/>
      <c r="N953" s="88"/>
      <c r="O953" s="91"/>
      <c r="P953" s="91"/>
      <c r="Q953" s="88"/>
      <c r="R953" s="91"/>
      <c r="S953" s="91"/>
      <c r="T953" s="88"/>
      <c r="U953" s="88"/>
      <c r="V953" s="88"/>
      <c r="Y953" s="91"/>
      <c r="Z953" s="88"/>
    </row>
    <row r="954" spans="6:26" ht="12.5" x14ac:dyDescent="0.25">
      <c r="F954" s="88"/>
      <c r="G954" s="91"/>
      <c r="H954" s="91"/>
      <c r="I954" s="88"/>
      <c r="J954" s="91"/>
      <c r="K954" s="88"/>
      <c r="L954" s="88"/>
      <c r="M954" s="91"/>
      <c r="N954" s="88"/>
      <c r="O954" s="91"/>
      <c r="P954" s="91"/>
      <c r="Q954" s="88"/>
      <c r="R954" s="91"/>
      <c r="S954" s="91"/>
      <c r="T954" s="88"/>
      <c r="U954" s="88"/>
      <c r="V954" s="88"/>
      <c r="Y954" s="91"/>
      <c r="Z954" s="88"/>
    </row>
    <row r="955" spans="6:26" ht="12.5" x14ac:dyDescent="0.25">
      <c r="F955" s="88"/>
      <c r="G955" s="91"/>
      <c r="H955" s="91"/>
      <c r="I955" s="88"/>
      <c r="J955" s="91"/>
      <c r="K955" s="88"/>
      <c r="L955" s="88"/>
      <c r="M955" s="91"/>
      <c r="N955" s="88"/>
      <c r="O955" s="91"/>
      <c r="P955" s="91"/>
      <c r="Q955" s="88"/>
      <c r="R955" s="91"/>
      <c r="S955" s="91"/>
      <c r="T955" s="88"/>
      <c r="U955" s="88"/>
      <c r="V955" s="88"/>
      <c r="Y955" s="91"/>
      <c r="Z955" s="88"/>
    </row>
    <row r="956" spans="6:26" ht="12.5" x14ac:dyDescent="0.25">
      <c r="F956" s="88"/>
      <c r="G956" s="91"/>
      <c r="H956" s="91"/>
      <c r="I956" s="88"/>
      <c r="J956" s="91"/>
      <c r="K956" s="88"/>
      <c r="L956" s="88"/>
      <c r="M956" s="91"/>
      <c r="N956" s="88"/>
      <c r="O956" s="91"/>
      <c r="P956" s="91"/>
      <c r="Q956" s="88"/>
      <c r="R956" s="91"/>
      <c r="S956" s="91"/>
      <c r="T956" s="88"/>
      <c r="U956" s="88"/>
      <c r="V956" s="88"/>
      <c r="Y956" s="91"/>
      <c r="Z956" s="88"/>
    </row>
    <row r="957" spans="6:26" ht="12.5" x14ac:dyDescent="0.25">
      <c r="F957" s="88"/>
      <c r="G957" s="91"/>
      <c r="H957" s="91"/>
      <c r="I957" s="88"/>
      <c r="J957" s="91"/>
      <c r="K957" s="88"/>
      <c r="L957" s="88"/>
      <c r="M957" s="91"/>
      <c r="N957" s="88"/>
      <c r="O957" s="91"/>
      <c r="P957" s="91"/>
      <c r="Q957" s="88"/>
      <c r="R957" s="91"/>
      <c r="S957" s="91"/>
      <c r="T957" s="88"/>
      <c r="U957" s="88"/>
      <c r="V957" s="88"/>
      <c r="Y957" s="91"/>
      <c r="Z957" s="88"/>
    </row>
    <row r="958" spans="6:26" ht="12.5" x14ac:dyDescent="0.25">
      <c r="F958" s="88"/>
      <c r="G958" s="91"/>
      <c r="H958" s="91"/>
      <c r="I958" s="88"/>
      <c r="J958" s="91"/>
      <c r="K958" s="88"/>
      <c r="L958" s="88"/>
      <c r="M958" s="91"/>
      <c r="N958" s="88"/>
      <c r="O958" s="91"/>
      <c r="P958" s="91"/>
      <c r="Q958" s="88"/>
      <c r="R958" s="91"/>
      <c r="S958" s="91"/>
      <c r="T958" s="88"/>
      <c r="U958" s="88"/>
      <c r="V958" s="88"/>
      <c r="Y958" s="91"/>
      <c r="Z958" s="88"/>
    </row>
    <row r="959" spans="6:26" ht="12.5" x14ac:dyDescent="0.25">
      <c r="F959" s="88"/>
      <c r="G959" s="91"/>
      <c r="H959" s="91"/>
      <c r="I959" s="88"/>
      <c r="J959" s="91"/>
      <c r="K959" s="88"/>
      <c r="L959" s="88"/>
      <c r="M959" s="91"/>
      <c r="N959" s="88"/>
      <c r="O959" s="91"/>
      <c r="P959" s="91"/>
      <c r="Q959" s="88"/>
      <c r="R959" s="91"/>
      <c r="S959" s="91"/>
      <c r="T959" s="88"/>
      <c r="U959" s="88"/>
      <c r="V959" s="88"/>
      <c r="Y959" s="91"/>
      <c r="Z959" s="88"/>
    </row>
    <row r="960" spans="6:26" ht="12.5" x14ac:dyDescent="0.25">
      <c r="F960" s="88"/>
      <c r="G960" s="91"/>
      <c r="H960" s="91"/>
      <c r="I960" s="88"/>
      <c r="J960" s="91"/>
      <c r="K960" s="88"/>
      <c r="L960" s="88"/>
      <c r="M960" s="91"/>
      <c r="N960" s="88"/>
      <c r="O960" s="91"/>
      <c r="P960" s="91"/>
      <c r="Q960" s="88"/>
      <c r="R960" s="91"/>
      <c r="S960" s="91"/>
      <c r="T960" s="88"/>
      <c r="U960" s="88"/>
      <c r="V960" s="88"/>
      <c r="Y960" s="91"/>
      <c r="Z960" s="88"/>
    </row>
    <row r="961" spans="6:26" ht="12.5" x14ac:dyDescent="0.25">
      <c r="F961" s="88"/>
      <c r="G961" s="91"/>
      <c r="H961" s="91"/>
      <c r="I961" s="88"/>
      <c r="J961" s="91"/>
      <c r="K961" s="88"/>
      <c r="L961" s="88"/>
      <c r="M961" s="91"/>
      <c r="N961" s="88"/>
      <c r="O961" s="91"/>
      <c r="P961" s="91"/>
      <c r="Q961" s="88"/>
      <c r="R961" s="91"/>
      <c r="S961" s="91"/>
      <c r="T961" s="88"/>
      <c r="U961" s="88"/>
      <c r="V961" s="88"/>
      <c r="Y961" s="91"/>
      <c r="Z961" s="88"/>
    </row>
    <row r="962" spans="6:26" ht="12.5" x14ac:dyDescent="0.25">
      <c r="F962" s="88"/>
      <c r="G962" s="91"/>
      <c r="H962" s="91"/>
      <c r="I962" s="88"/>
      <c r="J962" s="91"/>
      <c r="K962" s="88"/>
      <c r="L962" s="88"/>
      <c r="M962" s="91"/>
      <c r="N962" s="88"/>
      <c r="O962" s="91"/>
      <c r="P962" s="91"/>
      <c r="Q962" s="88"/>
      <c r="R962" s="91"/>
      <c r="S962" s="91"/>
      <c r="T962" s="88"/>
      <c r="U962" s="88"/>
      <c r="V962" s="88"/>
      <c r="Y962" s="91"/>
      <c r="Z962" s="88"/>
    </row>
    <row r="963" spans="6:26" ht="12.5" x14ac:dyDescent="0.25">
      <c r="F963" s="88"/>
      <c r="G963" s="91"/>
      <c r="H963" s="91"/>
      <c r="I963" s="88"/>
      <c r="J963" s="91"/>
      <c r="K963" s="88"/>
      <c r="L963" s="88"/>
      <c r="M963" s="91"/>
      <c r="N963" s="88"/>
      <c r="O963" s="91"/>
      <c r="P963" s="91"/>
      <c r="Q963" s="88"/>
      <c r="R963" s="91"/>
      <c r="S963" s="91"/>
      <c r="T963" s="88"/>
      <c r="U963" s="88"/>
      <c r="V963" s="88"/>
      <c r="Y963" s="91"/>
      <c r="Z963" s="88"/>
    </row>
    <row r="964" spans="6:26" ht="12.5" x14ac:dyDescent="0.25">
      <c r="F964" s="88"/>
      <c r="G964" s="91"/>
      <c r="H964" s="91"/>
      <c r="I964" s="88"/>
      <c r="J964" s="91"/>
      <c r="K964" s="88"/>
      <c r="L964" s="88"/>
      <c r="M964" s="91"/>
      <c r="N964" s="88"/>
      <c r="O964" s="91"/>
      <c r="P964" s="91"/>
      <c r="Q964" s="88"/>
      <c r="R964" s="91"/>
      <c r="S964" s="91"/>
      <c r="T964" s="88"/>
      <c r="U964" s="88"/>
      <c r="V964" s="88"/>
      <c r="Y964" s="91"/>
      <c r="Z964" s="88"/>
    </row>
    <row r="965" spans="6:26" ht="12.5" x14ac:dyDescent="0.25">
      <c r="F965" s="88"/>
      <c r="G965" s="91"/>
      <c r="H965" s="91"/>
      <c r="I965" s="88"/>
      <c r="J965" s="91"/>
      <c r="K965" s="88"/>
      <c r="L965" s="88"/>
      <c r="M965" s="91"/>
      <c r="N965" s="88"/>
      <c r="O965" s="91"/>
      <c r="P965" s="91"/>
      <c r="Q965" s="88"/>
      <c r="R965" s="91"/>
      <c r="S965" s="91"/>
      <c r="T965" s="88"/>
      <c r="U965" s="88"/>
      <c r="V965" s="88"/>
      <c r="Y965" s="91"/>
      <c r="Z965" s="88"/>
    </row>
    <row r="966" spans="6:26" ht="12.5" x14ac:dyDescent="0.25">
      <c r="F966" s="88"/>
      <c r="G966" s="91"/>
      <c r="H966" s="91"/>
      <c r="I966" s="88"/>
      <c r="J966" s="91"/>
      <c r="K966" s="88"/>
      <c r="L966" s="88"/>
      <c r="M966" s="91"/>
      <c r="N966" s="88"/>
      <c r="O966" s="91"/>
      <c r="P966" s="91"/>
      <c r="Q966" s="88"/>
      <c r="R966" s="91"/>
      <c r="S966" s="91"/>
      <c r="T966" s="88"/>
      <c r="U966" s="88"/>
      <c r="V966" s="88"/>
      <c r="Y966" s="91"/>
      <c r="Z966" s="88"/>
    </row>
    <row r="967" spans="6:26" ht="12.5" x14ac:dyDescent="0.25">
      <c r="F967" s="88"/>
      <c r="G967" s="91"/>
      <c r="H967" s="91"/>
      <c r="I967" s="88"/>
      <c r="J967" s="91"/>
      <c r="K967" s="88"/>
      <c r="L967" s="88"/>
      <c r="M967" s="91"/>
      <c r="N967" s="88"/>
      <c r="O967" s="91"/>
      <c r="P967" s="91"/>
      <c r="Q967" s="88"/>
      <c r="R967" s="91"/>
      <c r="S967" s="91"/>
      <c r="T967" s="88"/>
      <c r="U967" s="88"/>
      <c r="V967" s="88"/>
      <c r="Y967" s="91"/>
      <c r="Z967" s="88"/>
    </row>
    <row r="968" spans="6:26" ht="12.5" x14ac:dyDescent="0.25">
      <c r="F968" s="88"/>
      <c r="G968" s="91"/>
      <c r="H968" s="91"/>
      <c r="I968" s="88"/>
      <c r="J968" s="91"/>
      <c r="K968" s="88"/>
      <c r="L968" s="88"/>
      <c r="M968" s="91"/>
      <c r="N968" s="88"/>
      <c r="O968" s="91"/>
      <c r="P968" s="91"/>
      <c r="Q968" s="88"/>
      <c r="R968" s="91"/>
      <c r="S968" s="91"/>
      <c r="T968" s="88"/>
      <c r="U968" s="88"/>
      <c r="V968" s="88"/>
      <c r="Y968" s="91"/>
      <c r="Z968" s="88"/>
    </row>
    <row r="969" spans="6:26" ht="12.5" x14ac:dyDescent="0.25">
      <c r="F969" s="88"/>
      <c r="G969" s="91"/>
      <c r="H969" s="91"/>
      <c r="I969" s="88"/>
      <c r="J969" s="91"/>
      <c r="K969" s="88"/>
      <c r="L969" s="88"/>
      <c r="M969" s="91"/>
      <c r="N969" s="88"/>
      <c r="O969" s="91"/>
      <c r="P969" s="91"/>
      <c r="Q969" s="88"/>
      <c r="R969" s="91"/>
      <c r="S969" s="91"/>
      <c r="T969" s="88"/>
      <c r="U969" s="88"/>
      <c r="V969" s="88"/>
      <c r="Y969" s="91"/>
      <c r="Z969" s="88"/>
    </row>
    <row r="970" spans="6:26" ht="12.5" x14ac:dyDescent="0.25">
      <c r="F970" s="88"/>
      <c r="G970" s="91"/>
      <c r="H970" s="91"/>
      <c r="I970" s="88"/>
      <c r="J970" s="91"/>
      <c r="K970" s="88"/>
      <c r="L970" s="88"/>
      <c r="M970" s="91"/>
      <c r="N970" s="88"/>
      <c r="O970" s="91"/>
      <c r="P970" s="91"/>
      <c r="Q970" s="88"/>
      <c r="R970" s="91"/>
      <c r="S970" s="91"/>
      <c r="T970" s="88"/>
      <c r="U970" s="88"/>
      <c r="V970" s="88"/>
      <c r="Y970" s="91"/>
      <c r="Z970" s="88"/>
    </row>
    <row r="971" spans="6:26" ht="12.5" x14ac:dyDescent="0.25">
      <c r="F971" s="88"/>
      <c r="G971" s="91"/>
      <c r="H971" s="91"/>
      <c r="I971" s="88"/>
      <c r="J971" s="91"/>
      <c r="K971" s="88"/>
      <c r="L971" s="88"/>
      <c r="M971" s="91"/>
      <c r="N971" s="88"/>
      <c r="O971" s="91"/>
      <c r="P971" s="91"/>
      <c r="Q971" s="88"/>
      <c r="R971" s="91"/>
      <c r="S971" s="91"/>
      <c r="T971" s="88"/>
      <c r="U971" s="88"/>
      <c r="V971" s="88"/>
      <c r="Y971" s="91"/>
      <c r="Z971" s="88"/>
    </row>
    <row r="972" spans="6:26" ht="12.5" x14ac:dyDescent="0.25">
      <c r="F972" s="88"/>
      <c r="G972" s="91"/>
      <c r="H972" s="91"/>
      <c r="I972" s="88"/>
      <c r="J972" s="91"/>
      <c r="K972" s="88"/>
      <c r="L972" s="88"/>
      <c r="M972" s="91"/>
      <c r="N972" s="88"/>
      <c r="O972" s="91"/>
      <c r="P972" s="91"/>
      <c r="Q972" s="88"/>
      <c r="R972" s="91"/>
      <c r="S972" s="91"/>
      <c r="T972" s="88"/>
      <c r="U972" s="88"/>
      <c r="V972" s="88"/>
      <c r="Y972" s="91"/>
      <c r="Z972" s="88"/>
    </row>
    <row r="973" spans="6:26" ht="12.5" x14ac:dyDescent="0.25">
      <c r="F973" s="88"/>
      <c r="G973" s="91"/>
      <c r="H973" s="91"/>
      <c r="I973" s="88"/>
      <c r="J973" s="91"/>
      <c r="K973" s="88"/>
      <c r="L973" s="88"/>
      <c r="M973" s="91"/>
      <c r="N973" s="88"/>
      <c r="O973" s="91"/>
      <c r="P973" s="91"/>
      <c r="Q973" s="88"/>
      <c r="R973" s="91"/>
      <c r="S973" s="91"/>
      <c r="T973" s="88"/>
      <c r="U973" s="88"/>
      <c r="V973" s="88"/>
      <c r="Y973" s="91"/>
      <c r="Z973" s="88"/>
    </row>
    <row r="974" spans="6:26" ht="12.5" x14ac:dyDescent="0.25">
      <c r="F974" s="88"/>
      <c r="G974" s="91"/>
      <c r="H974" s="91"/>
      <c r="I974" s="88"/>
      <c r="J974" s="91"/>
      <c r="K974" s="88"/>
      <c r="L974" s="88"/>
      <c r="M974" s="91"/>
      <c r="N974" s="88"/>
      <c r="O974" s="91"/>
      <c r="P974" s="91"/>
      <c r="Q974" s="88"/>
      <c r="R974" s="91"/>
      <c r="S974" s="91"/>
      <c r="T974" s="88"/>
      <c r="U974" s="88"/>
      <c r="V974" s="88"/>
      <c r="Y974" s="91"/>
      <c r="Z974" s="88"/>
    </row>
    <row r="975" spans="6:26" ht="12.5" x14ac:dyDescent="0.25">
      <c r="F975" s="88"/>
      <c r="G975" s="91"/>
      <c r="H975" s="91"/>
      <c r="I975" s="88"/>
      <c r="J975" s="91"/>
      <c r="K975" s="88"/>
      <c r="L975" s="88"/>
      <c r="M975" s="91"/>
      <c r="N975" s="88"/>
      <c r="O975" s="91"/>
      <c r="P975" s="91"/>
      <c r="Q975" s="88"/>
      <c r="R975" s="91"/>
      <c r="S975" s="91"/>
      <c r="T975" s="88"/>
      <c r="U975" s="88"/>
      <c r="V975" s="88"/>
      <c r="Y975" s="91"/>
      <c r="Z975" s="88"/>
    </row>
    <row r="976" spans="6:26" ht="12.5" x14ac:dyDescent="0.25">
      <c r="F976" s="88"/>
      <c r="G976" s="91"/>
      <c r="H976" s="91"/>
      <c r="I976" s="88"/>
      <c r="J976" s="91"/>
      <c r="K976" s="88"/>
      <c r="L976" s="88"/>
      <c r="M976" s="91"/>
      <c r="N976" s="88"/>
      <c r="O976" s="91"/>
      <c r="P976" s="91"/>
      <c r="Q976" s="88"/>
      <c r="R976" s="91"/>
      <c r="S976" s="91"/>
      <c r="T976" s="88"/>
      <c r="U976" s="88"/>
      <c r="V976" s="88"/>
      <c r="Y976" s="91"/>
      <c r="Z976" s="88"/>
    </row>
    <row r="977" spans="6:26" ht="12.5" x14ac:dyDescent="0.25">
      <c r="F977" s="88"/>
      <c r="G977" s="91"/>
      <c r="H977" s="91"/>
      <c r="I977" s="88"/>
      <c r="J977" s="91"/>
      <c r="K977" s="88"/>
      <c r="L977" s="88"/>
      <c r="M977" s="91"/>
      <c r="N977" s="88"/>
      <c r="O977" s="91"/>
      <c r="P977" s="91"/>
      <c r="Q977" s="88"/>
      <c r="R977" s="91"/>
      <c r="S977" s="91"/>
      <c r="T977" s="88"/>
      <c r="U977" s="88"/>
      <c r="V977" s="88"/>
      <c r="Y977" s="91"/>
      <c r="Z977" s="88"/>
    </row>
    <row r="978" spans="6:26" ht="12.5" x14ac:dyDescent="0.25">
      <c r="F978" s="88"/>
      <c r="G978" s="91"/>
      <c r="H978" s="91"/>
      <c r="I978" s="88"/>
      <c r="J978" s="91"/>
      <c r="K978" s="88"/>
      <c r="L978" s="88"/>
      <c r="M978" s="91"/>
      <c r="N978" s="88"/>
      <c r="O978" s="91"/>
      <c r="P978" s="91"/>
      <c r="Q978" s="88"/>
      <c r="R978" s="91"/>
      <c r="S978" s="91"/>
      <c r="T978" s="88"/>
      <c r="U978" s="88"/>
      <c r="V978" s="88"/>
      <c r="Y978" s="91"/>
      <c r="Z978" s="88"/>
    </row>
    <row r="979" spans="6:26" ht="12.5" x14ac:dyDescent="0.25">
      <c r="F979" s="88"/>
      <c r="G979" s="91"/>
      <c r="H979" s="91"/>
      <c r="I979" s="88"/>
      <c r="J979" s="91"/>
      <c r="K979" s="88"/>
      <c r="L979" s="88"/>
      <c r="M979" s="91"/>
      <c r="N979" s="88"/>
      <c r="O979" s="91"/>
      <c r="P979" s="91"/>
      <c r="Q979" s="88"/>
      <c r="R979" s="91"/>
      <c r="S979" s="91"/>
      <c r="T979" s="88"/>
      <c r="U979" s="88"/>
      <c r="V979" s="88"/>
      <c r="Y979" s="91"/>
      <c r="Z979" s="88"/>
    </row>
    <row r="980" spans="6:26" ht="12.5" x14ac:dyDescent="0.25">
      <c r="F980" s="88"/>
      <c r="G980" s="91"/>
      <c r="H980" s="91"/>
      <c r="I980" s="88"/>
      <c r="J980" s="91"/>
      <c r="K980" s="88"/>
      <c r="L980" s="88"/>
      <c r="M980" s="91"/>
      <c r="N980" s="88"/>
      <c r="O980" s="91"/>
      <c r="P980" s="91"/>
      <c r="Q980" s="88"/>
      <c r="R980" s="91"/>
      <c r="S980" s="91"/>
      <c r="T980" s="88"/>
      <c r="U980" s="88"/>
      <c r="V980" s="88"/>
      <c r="Y980" s="91"/>
      <c r="Z980" s="88"/>
    </row>
    <row r="981" spans="6:26" ht="12.5" x14ac:dyDescent="0.25">
      <c r="F981" s="88"/>
      <c r="G981" s="91"/>
      <c r="H981" s="91"/>
      <c r="I981" s="88"/>
      <c r="J981" s="91"/>
      <c r="K981" s="88"/>
      <c r="L981" s="88"/>
      <c r="M981" s="91"/>
      <c r="N981" s="88"/>
      <c r="O981" s="91"/>
      <c r="P981" s="91"/>
      <c r="Q981" s="88"/>
      <c r="R981" s="91"/>
      <c r="S981" s="91"/>
      <c r="T981" s="88"/>
      <c r="U981" s="88"/>
      <c r="V981" s="88"/>
      <c r="Y981" s="91"/>
      <c r="Z981" s="88"/>
    </row>
    <row r="982" spans="6:26" ht="12.5" x14ac:dyDescent="0.25">
      <c r="F982" s="88"/>
      <c r="G982" s="91"/>
      <c r="H982" s="91"/>
      <c r="I982" s="88"/>
      <c r="J982" s="91"/>
      <c r="K982" s="88"/>
      <c r="L982" s="88"/>
      <c r="M982" s="91"/>
      <c r="N982" s="88"/>
      <c r="O982" s="91"/>
      <c r="P982" s="91"/>
      <c r="Q982" s="88"/>
      <c r="R982" s="91"/>
      <c r="S982" s="91"/>
      <c r="T982" s="88"/>
      <c r="U982" s="88"/>
      <c r="V982" s="88"/>
      <c r="Y982" s="91"/>
      <c r="Z982" s="88"/>
    </row>
    <row r="983" spans="6:26" ht="12.5" x14ac:dyDescent="0.25">
      <c r="F983" s="88"/>
      <c r="G983" s="91"/>
      <c r="H983" s="91"/>
      <c r="I983" s="88"/>
      <c r="J983" s="91"/>
      <c r="K983" s="88"/>
      <c r="L983" s="88"/>
      <c r="M983" s="91"/>
      <c r="N983" s="88"/>
      <c r="O983" s="91"/>
      <c r="P983" s="91"/>
      <c r="Q983" s="88"/>
      <c r="R983" s="91"/>
      <c r="S983" s="91"/>
      <c r="T983" s="88"/>
      <c r="U983" s="88"/>
      <c r="V983" s="88"/>
      <c r="Y983" s="91"/>
      <c r="Z983" s="88"/>
    </row>
    <row r="984" spans="6:26" ht="12.5" x14ac:dyDescent="0.25">
      <c r="F984" s="88"/>
      <c r="G984" s="91"/>
      <c r="H984" s="91"/>
      <c r="I984" s="88"/>
      <c r="J984" s="91"/>
      <c r="K984" s="88"/>
      <c r="L984" s="88"/>
      <c r="M984" s="91"/>
      <c r="N984" s="88"/>
      <c r="O984" s="91"/>
      <c r="P984" s="91"/>
      <c r="Q984" s="88"/>
      <c r="R984" s="91"/>
      <c r="S984" s="91"/>
      <c r="T984" s="88"/>
      <c r="U984" s="88"/>
      <c r="V984" s="88"/>
      <c r="Y984" s="91"/>
      <c r="Z984" s="88"/>
    </row>
    <row r="985" spans="6:26" ht="12.5" x14ac:dyDescent="0.25">
      <c r="F985" s="88"/>
      <c r="G985" s="91"/>
      <c r="H985" s="91"/>
      <c r="I985" s="88"/>
      <c r="J985" s="91"/>
      <c r="K985" s="88"/>
      <c r="L985" s="88"/>
      <c r="M985" s="91"/>
      <c r="N985" s="88"/>
      <c r="O985" s="91"/>
      <c r="P985" s="91"/>
      <c r="Q985" s="88"/>
      <c r="R985" s="91"/>
      <c r="S985" s="91"/>
      <c r="T985" s="88"/>
      <c r="U985" s="88"/>
      <c r="V985" s="88"/>
      <c r="Y985" s="91"/>
      <c r="Z985" s="88"/>
    </row>
    <row r="986" spans="6:26" ht="12.5" x14ac:dyDescent="0.25">
      <c r="F986" s="88"/>
      <c r="G986" s="91"/>
      <c r="H986" s="91"/>
      <c r="I986" s="88"/>
      <c r="J986" s="91"/>
      <c r="K986" s="88"/>
      <c r="L986" s="88"/>
      <c r="M986" s="91"/>
      <c r="N986" s="88"/>
      <c r="O986" s="91"/>
      <c r="P986" s="91"/>
      <c r="Q986" s="88"/>
      <c r="R986" s="91"/>
      <c r="S986" s="91"/>
      <c r="T986" s="88"/>
      <c r="U986" s="88"/>
      <c r="V986" s="88"/>
      <c r="Y986" s="91"/>
      <c r="Z986" s="88"/>
    </row>
    <row r="987" spans="6:26" ht="12.5" x14ac:dyDescent="0.25">
      <c r="F987" s="88"/>
      <c r="G987" s="91"/>
      <c r="H987" s="91"/>
      <c r="I987" s="88"/>
      <c r="J987" s="91"/>
      <c r="K987" s="88"/>
      <c r="L987" s="88"/>
      <c r="M987" s="91"/>
      <c r="N987" s="88"/>
      <c r="O987" s="91"/>
      <c r="P987" s="91"/>
      <c r="Q987" s="88"/>
      <c r="R987" s="91"/>
      <c r="S987" s="91"/>
      <c r="T987" s="88"/>
      <c r="U987" s="88"/>
      <c r="V987" s="88"/>
      <c r="Y987" s="91"/>
      <c r="Z987" s="88"/>
    </row>
    <row r="988" spans="6:26" ht="12.5" x14ac:dyDescent="0.25">
      <c r="F988" s="88"/>
      <c r="G988" s="91"/>
      <c r="H988" s="91"/>
      <c r="I988" s="88"/>
      <c r="J988" s="91"/>
      <c r="K988" s="88"/>
      <c r="L988" s="88"/>
      <c r="M988" s="91"/>
      <c r="N988" s="88"/>
      <c r="O988" s="91"/>
      <c r="P988" s="91"/>
      <c r="Q988" s="88"/>
      <c r="R988" s="91"/>
      <c r="S988" s="91"/>
      <c r="T988" s="88"/>
      <c r="U988" s="88"/>
      <c r="V988" s="88"/>
      <c r="Y988" s="91"/>
      <c r="Z988" s="88"/>
    </row>
    <row r="989" spans="6:26" ht="12.5" x14ac:dyDescent="0.25">
      <c r="F989" s="88"/>
      <c r="G989" s="91"/>
      <c r="H989" s="91"/>
      <c r="I989" s="88"/>
      <c r="J989" s="91"/>
      <c r="K989" s="88"/>
      <c r="L989" s="88"/>
      <c r="M989" s="91"/>
      <c r="N989" s="88"/>
      <c r="O989" s="91"/>
      <c r="P989" s="91"/>
      <c r="Q989" s="88"/>
      <c r="R989" s="91"/>
      <c r="S989" s="91"/>
      <c r="T989" s="88"/>
      <c r="U989" s="88"/>
      <c r="V989" s="88"/>
      <c r="Y989" s="91"/>
      <c r="Z989" s="88"/>
    </row>
    <row r="990" spans="6:26" ht="12.5" x14ac:dyDescent="0.25">
      <c r="F990" s="88"/>
      <c r="G990" s="91"/>
      <c r="H990" s="91"/>
      <c r="I990" s="88"/>
      <c r="J990" s="91"/>
      <c r="K990" s="88"/>
      <c r="L990" s="88"/>
      <c r="M990" s="91"/>
      <c r="N990" s="88"/>
      <c r="O990" s="91"/>
      <c r="P990" s="91"/>
      <c r="Q990" s="88"/>
      <c r="R990" s="91"/>
      <c r="S990" s="91"/>
      <c r="T990" s="88"/>
      <c r="U990" s="88"/>
      <c r="V990" s="88"/>
      <c r="Y990" s="91"/>
      <c r="Z990" s="88"/>
    </row>
    <row r="991" spans="6:26" ht="12.5" x14ac:dyDescent="0.25">
      <c r="F991" s="88"/>
      <c r="G991" s="91"/>
      <c r="H991" s="91"/>
      <c r="I991" s="88"/>
      <c r="J991" s="91"/>
      <c r="K991" s="88"/>
      <c r="L991" s="88"/>
      <c r="M991" s="91"/>
      <c r="N991" s="88"/>
      <c r="O991" s="91"/>
      <c r="P991" s="91"/>
      <c r="Q991" s="88"/>
      <c r="R991" s="91"/>
      <c r="S991" s="91"/>
      <c r="T991" s="88"/>
      <c r="U991" s="88"/>
      <c r="V991" s="88"/>
      <c r="Y991" s="91"/>
      <c r="Z991" s="88"/>
    </row>
    <row r="992" spans="6:26" ht="12.5" x14ac:dyDescent="0.25">
      <c r="F992" s="88"/>
      <c r="G992" s="91"/>
      <c r="H992" s="91"/>
      <c r="I992" s="88"/>
      <c r="J992" s="91"/>
      <c r="K992" s="88"/>
      <c r="L992" s="88"/>
      <c r="M992" s="91"/>
      <c r="N992" s="88"/>
      <c r="O992" s="91"/>
      <c r="P992" s="91"/>
      <c r="Q992" s="88"/>
      <c r="R992" s="91"/>
      <c r="S992" s="91"/>
      <c r="T992" s="88"/>
      <c r="U992" s="88"/>
      <c r="V992" s="88"/>
      <c r="Y992" s="91"/>
      <c r="Z992" s="88"/>
    </row>
    <row r="993" spans="6:26" ht="12.5" x14ac:dyDescent="0.25">
      <c r="F993" s="88"/>
      <c r="G993" s="91"/>
      <c r="H993" s="91"/>
      <c r="I993" s="88"/>
      <c r="J993" s="91"/>
      <c r="K993" s="88"/>
      <c r="L993" s="88"/>
      <c r="M993" s="91"/>
      <c r="N993" s="88"/>
      <c r="O993" s="91"/>
      <c r="P993" s="91"/>
      <c r="Q993" s="88"/>
      <c r="R993" s="91"/>
      <c r="S993" s="91"/>
      <c r="T993" s="88"/>
      <c r="U993" s="88"/>
      <c r="V993" s="88"/>
      <c r="Y993" s="91"/>
      <c r="Z993" s="88"/>
    </row>
    <row r="994" spans="6:26" ht="12.5" x14ac:dyDescent="0.25">
      <c r="F994" s="88"/>
      <c r="G994" s="91"/>
      <c r="H994" s="91"/>
      <c r="I994" s="88"/>
      <c r="J994" s="91"/>
      <c r="K994" s="88"/>
      <c r="L994" s="88"/>
      <c r="M994" s="91"/>
      <c r="N994" s="88"/>
      <c r="O994" s="91"/>
      <c r="P994" s="91"/>
      <c r="Q994" s="88"/>
      <c r="R994" s="91"/>
      <c r="S994" s="91"/>
      <c r="T994" s="88"/>
      <c r="U994" s="88"/>
      <c r="V994" s="88"/>
      <c r="Y994" s="91"/>
      <c r="Z994" s="88"/>
    </row>
    <row r="995" spans="6:26" ht="12.5" x14ac:dyDescent="0.25">
      <c r="F995" s="88"/>
      <c r="G995" s="91"/>
      <c r="H995" s="91"/>
      <c r="I995" s="88"/>
      <c r="J995" s="91"/>
      <c r="K995" s="88"/>
      <c r="L995" s="88"/>
      <c r="M995" s="91"/>
      <c r="N995" s="88"/>
      <c r="O995" s="91"/>
      <c r="P995" s="91"/>
      <c r="Q995" s="88"/>
      <c r="R995" s="91"/>
      <c r="S995" s="91"/>
      <c r="T995" s="88"/>
      <c r="U995" s="88"/>
      <c r="V995" s="88"/>
      <c r="Y995" s="91"/>
      <c r="Z995" s="88"/>
    </row>
    <row r="996" spans="6:26" ht="12.5" x14ac:dyDescent="0.25">
      <c r="F996" s="88"/>
      <c r="G996" s="91"/>
      <c r="H996" s="91"/>
      <c r="I996" s="88"/>
      <c r="J996" s="91"/>
      <c r="K996" s="88"/>
      <c r="L996" s="88"/>
      <c r="M996" s="91"/>
      <c r="N996" s="88"/>
      <c r="O996" s="91"/>
      <c r="P996" s="91"/>
      <c r="Q996" s="88"/>
      <c r="R996" s="91"/>
      <c r="S996" s="91"/>
      <c r="T996" s="88"/>
      <c r="U996" s="88"/>
      <c r="V996" s="88"/>
      <c r="Y996" s="91"/>
      <c r="Z996" s="88"/>
    </row>
    <row r="997" spans="6:26" ht="12.5" x14ac:dyDescent="0.25">
      <c r="F997" s="88"/>
      <c r="G997" s="91"/>
      <c r="H997" s="91"/>
      <c r="I997" s="88"/>
      <c r="J997" s="91"/>
      <c r="K997" s="88"/>
      <c r="L997" s="88"/>
      <c r="M997" s="91"/>
      <c r="N997" s="88"/>
      <c r="O997" s="91"/>
      <c r="P997" s="91"/>
      <c r="Q997" s="88"/>
      <c r="R997" s="91"/>
      <c r="S997" s="91"/>
      <c r="T997" s="88"/>
      <c r="U997" s="88"/>
      <c r="V997" s="88"/>
      <c r="Y997" s="91"/>
      <c r="Z997" s="88"/>
    </row>
    <row r="998" spans="6:26" ht="12.5" x14ac:dyDescent="0.25">
      <c r="F998" s="88"/>
      <c r="G998" s="91"/>
      <c r="H998" s="91"/>
      <c r="I998" s="88"/>
      <c r="J998" s="91"/>
      <c r="K998" s="88"/>
      <c r="L998" s="88"/>
      <c r="M998" s="91"/>
      <c r="N998" s="88"/>
      <c r="O998" s="91"/>
      <c r="P998" s="91"/>
      <c r="Q998" s="88"/>
      <c r="R998" s="91"/>
      <c r="S998" s="91"/>
      <c r="T998" s="88"/>
      <c r="U998" s="88"/>
      <c r="V998" s="88"/>
      <c r="Y998" s="91"/>
      <c r="Z998" s="88"/>
    </row>
    <row r="999" spans="6:26" ht="12.5" x14ac:dyDescent="0.25">
      <c r="F999" s="88"/>
      <c r="G999" s="91"/>
      <c r="H999" s="91"/>
      <c r="I999" s="88"/>
      <c r="J999" s="91"/>
      <c r="K999" s="88"/>
      <c r="L999" s="88"/>
      <c r="M999" s="91"/>
      <c r="N999" s="88"/>
      <c r="O999" s="91"/>
      <c r="P999" s="91"/>
      <c r="Q999" s="88"/>
      <c r="R999" s="91"/>
      <c r="S999" s="91"/>
      <c r="T999" s="88"/>
      <c r="U999" s="88"/>
      <c r="V999" s="88"/>
      <c r="Y999" s="91"/>
      <c r="Z999" s="88"/>
    </row>
    <row r="1000" spans="6:26" ht="12.5" x14ac:dyDescent="0.25">
      <c r="F1000" s="88"/>
      <c r="G1000" s="91"/>
      <c r="H1000" s="91"/>
      <c r="I1000" s="88"/>
      <c r="J1000" s="91"/>
      <c r="K1000" s="88"/>
      <c r="L1000" s="88"/>
      <c r="M1000" s="91"/>
      <c r="N1000" s="88"/>
      <c r="O1000" s="91"/>
      <c r="P1000" s="91"/>
      <c r="Q1000" s="88"/>
      <c r="R1000" s="91"/>
      <c r="S1000" s="91"/>
      <c r="T1000" s="88"/>
      <c r="U1000" s="88"/>
      <c r="V1000" s="88"/>
      <c r="Y1000" s="91"/>
      <c r="Z1000" s="88"/>
    </row>
    <row r="1001" spans="6:26" ht="12.5" x14ac:dyDescent="0.25">
      <c r="F1001" s="88"/>
      <c r="G1001" s="91"/>
      <c r="H1001" s="91"/>
      <c r="I1001" s="88"/>
      <c r="J1001" s="91"/>
      <c r="K1001" s="88"/>
      <c r="L1001" s="88"/>
      <c r="M1001" s="91"/>
      <c r="N1001" s="88"/>
      <c r="O1001" s="91"/>
      <c r="P1001" s="91"/>
      <c r="Q1001" s="88"/>
      <c r="R1001" s="91"/>
      <c r="S1001" s="91"/>
      <c r="T1001" s="88"/>
      <c r="U1001" s="88"/>
      <c r="V1001" s="88"/>
      <c r="Y1001" s="91"/>
      <c r="Z1001" s="88"/>
    </row>
  </sheetData>
  <conditionalFormatting sqref="W1 K2:K267 W55:W1001">
    <cfRule type="cellIs" dxfId="0" priority="1" operator="equal">
      <formula>"TRUE"</formula>
    </cfRule>
  </conditionalFormatting>
  <conditionalFormatting sqref="N4:N267">
    <cfRule type="colorScale" priority="2">
      <colorScale>
        <cfvo type="formula" val="0"/>
        <cfvo type="percent" val="85"/>
        <cfvo type="formula" val="330"/>
        <color rgb="FFD9EAD3"/>
        <color rgb="FFFFF2CC"/>
        <color rgb="FFF4CCCC"/>
      </colorScale>
    </cfRule>
  </conditionalFormatting>
  <conditionalFormatting sqref="S2:S267">
    <cfRule type="colorScale" priority="3">
      <colorScale>
        <cfvo type="min"/>
        <cfvo type="formula" val="0"/>
        <cfvo type="max"/>
        <color rgb="FFF4CCCC"/>
        <color rgb="FFFFFFFF"/>
        <color rgb="FFD9EAD3"/>
      </colorScale>
    </cfRule>
  </conditionalFormatting>
  <conditionalFormatting sqref="J4:J267">
    <cfRule type="colorScale" priority="4">
      <colorScale>
        <cfvo type="formula" val="0"/>
        <cfvo type="percentile" val="50"/>
        <cfvo type="formula" val="100"/>
        <color rgb="FFF4CCCC"/>
        <color rgb="FFFFF2CC"/>
        <color rgb="FFD9EAD3"/>
      </colorScale>
    </cfRule>
  </conditionalFormatting>
  <conditionalFormatting sqref="Q4:Q267">
    <cfRule type="colorScale" priority="5">
      <colorScale>
        <cfvo type="formula" val="0"/>
        <cfvo type="formula" val="100"/>
        <color rgb="FFFFFFFF"/>
        <color rgb="FFD9EAD3"/>
      </colorScale>
    </cfRule>
  </conditionalFormatting>
  <conditionalFormatting sqref="R4:R267">
    <cfRule type="colorScale" priority="6">
      <colorScale>
        <cfvo type="min"/>
        <cfvo type="formula" val="0"/>
        <cfvo type="max"/>
        <color rgb="FFF4CCCC"/>
        <color rgb="FFFFFFFF"/>
        <color rgb="FFD9EAD3"/>
      </colorScale>
    </cfRule>
  </conditionalFormatting>
  <conditionalFormatting sqref="O4:O267">
    <cfRule type="colorScale" priority="7">
      <colorScale>
        <cfvo type="min"/>
        <cfvo type="max"/>
        <color rgb="FFFFFFFF"/>
        <color rgb="FFF4CCCC"/>
      </colorScale>
    </cfRule>
  </conditionalFormatting>
  <printOptions horizontalCentered="1" gridLines="1"/>
  <pageMargins left="0.7" right="0.7" top="0.75" bottom="0.75" header="0" footer="0"/>
  <pageSetup fitToHeight="0" pageOrder="overThenDown" orientation="portrait" cellComments="atEnd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B1:Y1081"/>
  <sheetViews>
    <sheetView workbookViewId="0"/>
  </sheetViews>
  <sheetFormatPr baseColWidth="10" defaultColWidth="12.6328125" defaultRowHeight="15.75" customHeight="1" x14ac:dyDescent="0.25"/>
  <sheetData>
    <row r="1" spans="2:25" ht="15.75" customHeight="1" x14ac:dyDescent="0.25">
      <c r="B1" s="232"/>
      <c r="C1" s="233"/>
      <c r="D1" s="234"/>
      <c r="E1" s="235"/>
      <c r="F1" s="236"/>
      <c r="G1" s="237"/>
      <c r="H1" s="238"/>
      <c r="I1" s="234"/>
      <c r="J1" s="239"/>
      <c r="K1" s="240"/>
      <c r="L1" s="241"/>
    </row>
    <row r="2" spans="2:25" ht="15.75" customHeight="1" x14ac:dyDescent="0.25">
      <c r="B2" s="242" t="s">
        <v>168</v>
      </c>
      <c r="C2" s="243"/>
      <c r="D2" s="244"/>
      <c r="E2" s="235"/>
      <c r="F2" s="236"/>
      <c r="G2" s="237"/>
      <c r="H2" s="238"/>
      <c r="I2" s="234"/>
      <c r="J2" s="239"/>
      <c r="K2" s="240"/>
      <c r="L2" s="241"/>
    </row>
    <row r="3" spans="2:25" ht="15.75" customHeight="1" x14ac:dyDescent="0.25">
      <c r="B3" s="242" t="s">
        <v>169</v>
      </c>
      <c r="C3" s="243"/>
      <c r="D3" s="245" t="s">
        <v>170</v>
      </c>
      <c r="E3" s="235"/>
      <c r="F3" s="236"/>
      <c r="G3" s="237"/>
      <c r="H3" s="238"/>
      <c r="I3" s="234"/>
      <c r="J3" s="239"/>
      <c r="K3" s="240"/>
      <c r="L3" s="241"/>
    </row>
    <row r="4" spans="2:25" ht="15.75" customHeight="1" x14ac:dyDescent="0.25">
      <c r="B4" s="246"/>
      <c r="C4" s="233"/>
      <c r="D4" s="234"/>
      <c r="E4" s="235"/>
      <c r="F4" s="236"/>
      <c r="G4" s="237"/>
      <c r="H4" s="238"/>
      <c r="I4" s="234"/>
      <c r="J4" s="239"/>
      <c r="K4" s="240"/>
      <c r="L4" s="241"/>
    </row>
    <row r="5" spans="2:25" ht="15.75" customHeight="1" x14ac:dyDescent="0.25">
      <c r="B5" s="232"/>
      <c r="C5" s="247" t="s">
        <v>171</v>
      </c>
      <c r="D5" s="248"/>
      <c r="E5" s="249" t="s">
        <v>172</v>
      </c>
      <c r="F5" s="250">
        <f>SUM(D7:D167)</f>
        <v>100.53035999999997</v>
      </c>
      <c r="G5" s="237"/>
      <c r="H5" s="251" t="s">
        <v>173</v>
      </c>
      <c r="I5" s="252"/>
      <c r="J5" s="253" t="s">
        <v>172</v>
      </c>
      <c r="K5" s="250">
        <f>SUM(I7:I167)</f>
        <v>157.56831999999991</v>
      </c>
      <c r="L5" s="241"/>
    </row>
    <row r="6" spans="2:25" ht="15.75" customHeight="1" x14ac:dyDescent="0.25">
      <c r="B6" s="254" t="s">
        <v>174</v>
      </c>
      <c r="C6" s="255" t="s">
        <v>175</v>
      </c>
      <c r="D6" s="256" t="s">
        <v>175</v>
      </c>
      <c r="E6" s="257" t="s">
        <v>176</v>
      </c>
      <c r="F6" s="258" t="s">
        <v>177</v>
      </c>
      <c r="G6" s="259" t="s">
        <v>178</v>
      </c>
      <c r="H6" s="260" t="s">
        <v>175</v>
      </c>
      <c r="I6" s="261" t="s">
        <v>175</v>
      </c>
      <c r="J6" s="262" t="s">
        <v>179</v>
      </c>
      <c r="K6" s="263" t="s">
        <v>177</v>
      </c>
      <c r="L6" s="264" t="s">
        <v>178</v>
      </c>
      <c r="X6" s="1" t="s">
        <v>180</v>
      </c>
      <c r="Y6" s="1" t="s">
        <v>181</v>
      </c>
    </row>
    <row r="7" spans="2:25" ht="15.75" customHeight="1" x14ac:dyDescent="0.25">
      <c r="B7" s="265">
        <v>0</v>
      </c>
      <c r="C7" s="266">
        <v>0</v>
      </c>
      <c r="D7" s="267">
        <f>C7*0.0098</f>
        <v>0</v>
      </c>
      <c r="E7" s="268">
        <v>2270</v>
      </c>
      <c r="F7" s="269">
        <f>E7/536</f>
        <v>4.2350746268656714</v>
      </c>
      <c r="G7" s="220">
        <f>((E7/1000000)/0.86)*1000</f>
        <v>2.63953488372093</v>
      </c>
      <c r="H7" s="270">
        <v>0</v>
      </c>
      <c r="I7" s="267">
        <f>H7*0.0098</f>
        <v>0</v>
      </c>
      <c r="J7" s="271">
        <v>2500</v>
      </c>
      <c r="K7" s="272">
        <f>J7/536</f>
        <v>4.6641791044776122</v>
      </c>
      <c r="L7" s="227">
        <f>((J7/1000000)/0.86)*1000</f>
        <v>2.9069767441860463</v>
      </c>
      <c r="X7" s="1">
        <v>0</v>
      </c>
    </row>
    <row r="8" spans="2:25" ht="15.75" customHeight="1" x14ac:dyDescent="0.25">
      <c r="B8" s="265">
        <f t="shared" ref="B8:L8" si="0">(B7+B9)/2</f>
        <v>0.5</v>
      </c>
      <c r="C8" s="266">
        <f t="shared" si="0"/>
        <v>8.25</v>
      </c>
      <c r="D8" s="267">
        <f t="shared" si="0"/>
        <v>8.0849999999999991E-2</v>
      </c>
      <c r="E8" s="268">
        <f t="shared" si="0"/>
        <v>2265</v>
      </c>
      <c r="F8" s="269">
        <f t="shared" si="0"/>
        <v>4.2257462686567164</v>
      </c>
      <c r="G8" s="220">
        <f t="shared" si="0"/>
        <v>2.6337209302325579</v>
      </c>
      <c r="H8" s="270">
        <f t="shared" si="0"/>
        <v>1.4</v>
      </c>
      <c r="I8" s="267">
        <f t="shared" si="0"/>
        <v>1.3719999999999998E-2</v>
      </c>
      <c r="J8" s="271">
        <f t="shared" si="0"/>
        <v>2500</v>
      </c>
      <c r="K8" s="272">
        <f t="shared" si="0"/>
        <v>4.6641791044776122</v>
      </c>
      <c r="L8" s="227">
        <f t="shared" si="0"/>
        <v>2.9069767441860463</v>
      </c>
      <c r="X8" s="1"/>
    </row>
    <row r="9" spans="2:25" ht="15.75" customHeight="1" x14ac:dyDescent="0.25">
      <c r="B9" s="265">
        <v>1</v>
      </c>
      <c r="C9" s="273">
        <v>16.5</v>
      </c>
      <c r="D9" s="267">
        <f>C9*0.0098</f>
        <v>0.16169999999999998</v>
      </c>
      <c r="E9" s="268">
        <v>2260</v>
      </c>
      <c r="F9" s="269">
        <f>E9/536</f>
        <v>4.2164179104477615</v>
      </c>
      <c r="G9" s="220">
        <f>((E9/1000000)/0.86)*1000</f>
        <v>2.6279069767441863</v>
      </c>
      <c r="H9" s="270">
        <v>2.8</v>
      </c>
      <c r="I9" s="267">
        <f>H9*0.0098</f>
        <v>2.7439999999999996E-2</v>
      </c>
      <c r="J9" s="271">
        <v>2500</v>
      </c>
      <c r="K9" s="272">
        <f>J9/536</f>
        <v>4.6641791044776122</v>
      </c>
      <c r="L9" s="227">
        <f>((J9/1000000)/0.86)*1000</f>
        <v>2.9069767441860463</v>
      </c>
      <c r="X9" s="1">
        <v>25</v>
      </c>
    </row>
    <row r="10" spans="2:25" ht="15.75" customHeight="1" x14ac:dyDescent="0.25">
      <c r="B10" s="265">
        <f t="shared" ref="B10:L10" si="1">(B9+B11)/2</f>
        <v>1.5</v>
      </c>
      <c r="C10" s="266">
        <f t="shared" si="1"/>
        <v>24.7</v>
      </c>
      <c r="D10" s="267">
        <f t="shared" si="1"/>
        <v>0.24206</v>
      </c>
      <c r="E10" s="268">
        <f t="shared" si="1"/>
        <v>2255</v>
      </c>
      <c r="F10" s="269">
        <f t="shared" si="1"/>
        <v>4.2070895522388057</v>
      </c>
      <c r="G10" s="220">
        <f t="shared" si="1"/>
        <v>2.6220930232558137</v>
      </c>
      <c r="H10" s="270">
        <f t="shared" si="1"/>
        <v>4.0999999999999996</v>
      </c>
      <c r="I10" s="267">
        <f t="shared" si="1"/>
        <v>4.018E-2</v>
      </c>
      <c r="J10" s="271">
        <f t="shared" si="1"/>
        <v>2500</v>
      </c>
      <c r="K10" s="272">
        <f t="shared" si="1"/>
        <v>4.6641791044776122</v>
      </c>
      <c r="L10" s="227">
        <f t="shared" si="1"/>
        <v>2.9069767441860463</v>
      </c>
      <c r="X10" s="1"/>
    </row>
    <row r="11" spans="2:25" ht="15.75" customHeight="1" x14ac:dyDescent="0.25">
      <c r="B11" s="274">
        <f>B9+1</f>
        <v>2</v>
      </c>
      <c r="C11" s="273">
        <v>32.9</v>
      </c>
      <c r="D11" s="267">
        <f>C11*0.0098</f>
        <v>0.32241999999999998</v>
      </c>
      <c r="E11" s="268">
        <v>2250</v>
      </c>
      <c r="F11" s="269">
        <f>E11/536</f>
        <v>4.1977611940298507</v>
      </c>
      <c r="G11" s="220">
        <f>((E11/1000000)/0.86)*1000</f>
        <v>2.6162790697674416</v>
      </c>
      <c r="H11" s="270">
        <v>5.4</v>
      </c>
      <c r="I11" s="267">
        <f>H11*0.0098</f>
        <v>5.2920000000000002E-2</v>
      </c>
      <c r="J11" s="271">
        <v>2500</v>
      </c>
      <c r="K11" s="272">
        <f>J11/536</f>
        <v>4.6641791044776122</v>
      </c>
      <c r="L11" s="227">
        <f>((J11/1000000)/0.86)*1000</f>
        <v>2.9069767441860463</v>
      </c>
      <c r="X11" s="1">
        <v>50</v>
      </c>
      <c r="Y11" s="1">
        <v>50.27</v>
      </c>
    </row>
    <row r="12" spans="2:25" ht="15.75" customHeight="1" x14ac:dyDescent="0.25">
      <c r="B12" s="265">
        <f t="shared" ref="B12:L12" si="2">(B11+B13)/2</f>
        <v>2.5</v>
      </c>
      <c r="C12" s="266">
        <f t="shared" si="2"/>
        <v>40.450000000000003</v>
      </c>
      <c r="D12" s="267">
        <f t="shared" si="2"/>
        <v>0.39640999999999998</v>
      </c>
      <c r="E12" s="268">
        <f t="shared" si="2"/>
        <v>2245</v>
      </c>
      <c r="F12" s="269">
        <f t="shared" si="2"/>
        <v>4.1884328358208958</v>
      </c>
      <c r="G12" s="220">
        <f t="shared" si="2"/>
        <v>2.6104651162790695</v>
      </c>
      <c r="H12" s="270">
        <f t="shared" si="2"/>
        <v>6.65</v>
      </c>
      <c r="I12" s="267">
        <f t="shared" si="2"/>
        <v>6.5170000000000006E-2</v>
      </c>
      <c r="J12" s="271">
        <f t="shared" si="2"/>
        <v>2500</v>
      </c>
      <c r="K12" s="272">
        <f t="shared" si="2"/>
        <v>4.6641791044776122</v>
      </c>
      <c r="L12" s="227">
        <f t="shared" si="2"/>
        <v>2.9069767441860463</v>
      </c>
      <c r="X12" s="1"/>
    </row>
    <row r="13" spans="2:25" ht="15.75" customHeight="1" x14ac:dyDescent="0.25">
      <c r="B13" s="274">
        <f>B11+1</f>
        <v>3</v>
      </c>
      <c r="C13" s="273">
        <v>48</v>
      </c>
      <c r="D13" s="267">
        <f>C13*0.0098</f>
        <v>0.47039999999999998</v>
      </c>
      <c r="E13" s="268">
        <v>2240</v>
      </c>
      <c r="F13" s="269">
        <f>E13/536</f>
        <v>4.1791044776119399</v>
      </c>
      <c r="G13" s="220">
        <f>((E13/1000000)/0.86)*1000</f>
        <v>2.6046511627906974</v>
      </c>
      <c r="H13" s="270">
        <v>7.9</v>
      </c>
      <c r="I13" s="267">
        <f>H13*0.0098</f>
        <v>7.7420000000000003E-2</v>
      </c>
      <c r="J13" s="271">
        <v>2500</v>
      </c>
      <c r="K13" s="272">
        <f>J13/536</f>
        <v>4.6641791044776122</v>
      </c>
      <c r="L13" s="227">
        <f>((J13/1000000)/0.86)*1000</f>
        <v>2.9069767441860463</v>
      </c>
      <c r="X13" s="1">
        <v>70</v>
      </c>
    </row>
    <row r="14" spans="2:25" ht="15.75" customHeight="1" x14ac:dyDescent="0.25">
      <c r="B14" s="265">
        <f t="shared" ref="B14:L14" si="3">(B13+B15)/2</f>
        <v>3.5</v>
      </c>
      <c r="C14" s="266">
        <f t="shared" si="3"/>
        <v>56.3</v>
      </c>
      <c r="D14" s="267">
        <f t="shared" si="3"/>
        <v>0.55174000000000001</v>
      </c>
      <c r="E14" s="268">
        <f t="shared" si="3"/>
        <v>2235</v>
      </c>
      <c r="F14" s="269">
        <f t="shared" si="3"/>
        <v>4.169776119402985</v>
      </c>
      <c r="G14" s="220">
        <f t="shared" si="3"/>
        <v>2.5988372093023253</v>
      </c>
      <c r="H14" s="270">
        <f t="shared" si="3"/>
        <v>9.15</v>
      </c>
      <c r="I14" s="267">
        <f t="shared" si="3"/>
        <v>8.967E-2</v>
      </c>
      <c r="J14" s="271">
        <f t="shared" si="3"/>
        <v>2505</v>
      </c>
      <c r="K14" s="272">
        <f t="shared" si="3"/>
        <v>4.6735074626865671</v>
      </c>
      <c r="L14" s="227">
        <f t="shared" si="3"/>
        <v>2.9127906976744189</v>
      </c>
      <c r="X14" s="1"/>
      <c r="Y14" s="1"/>
    </row>
    <row r="15" spans="2:25" ht="15.75" customHeight="1" x14ac:dyDescent="0.25">
      <c r="B15" s="274">
        <f>B13+1</f>
        <v>4</v>
      </c>
      <c r="C15" s="273">
        <v>64.599999999999994</v>
      </c>
      <c r="D15" s="267">
        <f>C15*0.0098</f>
        <v>0.63307999999999998</v>
      </c>
      <c r="E15" s="268">
        <v>2230</v>
      </c>
      <c r="F15" s="269">
        <f>E15/536</f>
        <v>4.16044776119403</v>
      </c>
      <c r="G15" s="220">
        <f>((E15/1000000)/0.86)*1000</f>
        <v>2.5930232558139537</v>
      </c>
      <c r="H15" s="270">
        <v>10.4</v>
      </c>
      <c r="I15" s="267">
        <f>H15*0.0098</f>
        <v>0.10192</v>
      </c>
      <c r="J15" s="271">
        <v>2510</v>
      </c>
      <c r="K15" s="272">
        <f>J15/536</f>
        <v>4.6828358208955221</v>
      </c>
      <c r="L15" s="227">
        <f>((J15/1000000)/0.86)*1000</f>
        <v>2.918604651162791</v>
      </c>
      <c r="X15" s="1">
        <v>100</v>
      </c>
      <c r="Y15" s="1">
        <v>78.78</v>
      </c>
    </row>
    <row r="16" spans="2:25" ht="15.75" customHeight="1" x14ac:dyDescent="0.25">
      <c r="B16" s="265">
        <f t="shared" ref="B16:L16" si="4">(B15+B17)/2</f>
        <v>4.5</v>
      </c>
      <c r="C16" s="266">
        <f t="shared" si="4"/>
        <v>73.599999999999994</v>
      </c>
      <c r="D16" s="267">
        <f t="shared" si="4"/>
        <v>0.72127999999999992</v>
      </c>
      <c r="E16" s="268">
        <f t="shared" si="4"/>
        <v>2220</v>
      </c>
      <c r="F16" s="269">
        <f t="shared" si="4"/>
        <v>4.1417910447761201</v>
      </c>
      <c r="G16" s="220">
        <f t="shared" si="4"/>
        <v>2.5813953488372094</v>
      </c>
      <c r="H16" s="270">
        <f t="shared" si="4"/>
        <v>11.8</v>
      </c>
      <c r="I16" s="267">
        <f t="shared" si="4"/>
        <v>0.11563999999999999</v>
      </c>
      <c r="J16" s="271">
        <f t="shared" si="4"/>
        <v>2510</v>
      </c>
      <c r="K16" s="272">
        <f t="shared" si="4"/>
        <v>4.6828358208955221</v>
      </c>
      <c r="L16" s="227">
        <f t="shared" si="4"/>
        <v>2.918604651162791</v>
      </c>
      <c r="X16" s="1"/>
    </row>
    <row r="17" spans="2:24" ht="15.75" customHeight="1" x14ac:dyDescent="0.25">
      <c r="B17" s="274">
        <f>B15+1</f>
        <v>5</v>
      </c>
      <c r="C17" s="273">
        <v>82.6</v>
      </c>
      <c r="D17" s="267">
        <f>C17*0.0098</f>
        <v>0.80947999999999987</v>
      </c>
      <c r="E17" s="268">
        <v>2210</v>
      </c>
      <c r="F17" s="269">
        <f>E17/536</f>
        <v>4.1231343283582094</v>
      </c>
      <c r="G17" s="220">
        <f>((E17/1000000)/0.86)*1000</f>
        <v>2.5697674418604652</v>
      </c>
      <c r="H17" s="270">
        <v>13.2</v>
      </c>
      <c r="I17" s="267">
        <f>H17*0.0098</f>
        <v>0.12935999999999998</v>
      </c>
      <c r="J17" s="271">
        <v>2510</v>
      </c>
      <c r="K17" s="272">
        <f>J17/536</f>
        <v>4.6828358208955221</v>
      </c>
      <c r="L17" s="227">
        <f>((J17/1000000)/0.86)*1000</f>
        <v>2.918604651162791</v>
      </c>
      <c r="X17" s="1">
        <v>125</v>
      </c>
    </row>
    <row r="18" spans="2:24" ht="15.75" customHeight="1" x14ac:dyDescent="0.25">
      <c r="B18" s="265">
        <f t="shared" ref="B18:L18" si="5">(B17+B19)/2</f>
        <v>5.5</v>
      </c>
      <c r="C18" s="266">
        <f t="shared" si="5"/>
        <v>91.6</v>
      </c>
      <c r="D18" s="267">
        <f t="shared" si="5"/>
        <v>0.89767999999999981</v>
      </c>
      <c r="E18" s="268">
        <f t="shared" si="5"/>
        <v>2195</v>
      </c>
      <c r="F18" s="269">
        <f t="shared" si="5"/>
        <v>4.0951492537313436</v>
      </c>
      <c r="G18" s="220">
        <f t="shared" si="5"/>
        <v>2.5523255813953489</v>
      </c>
      <c r="H18" s="270">
        <f t="shared" si="5"/>
        <v>14.65</v>
      </c>
      <c r="I18" s="267">
        <f t="shared" si="5"/>
        <v>0.14356999999999998</v>
      </c>
      <c r="J18" s="271">
        <f t="shared" si="5"/>
        <v>2515</v>
      </c>
      <c r="K18" s="272">
        <f t="shared" si="5"/>
        <v>4.692164179104477</v>
      </c>
      <c r="L18" s="227">
        <f t="shared" si="5"/>
        <v>2.9244186046511631</v>
      </c>
      <c r="X18" s="1"/>
    </row>
    <row r="19" spans="2:24" ht="15.75" customHeight="1" x14ac:dyDescent="0.25">
      <c r="B19" s="274">
        <f>B17+1</f>
        <v>6</v>
      </c>
      <c r="C19" s="273">
        <v>100.6</v>
      </c>
      <c r="D19" s="267">
        <f>C19*0.0098</f>
        <v>0.98587999999999987</v>
      </c>
      <c r="E19" s="268">
        <v>2180</v>
      </c>
      <c r="F19" s="269">
        <f>E19/536</f>
        <v>4.0671641791044779</v>
      </c>
      <c r="G19" s="220">
        <f>((E19/1000000)/0.86)*1000</f>
        <v>2.5348837209302326</v>
      </c>
      <c r="H19" s="270">
        <v>16.100000000000001</v>
      </c>
      <c r="I19" s="267">
        <f>H19*0.0098</f>
        <v>0.15778</v>
      </c>
      <c r="J19" s="271">
        <v>2520</v>
      </c>
      <c r="K19" s="272">
        <f>J19/536</f>
        <v>4.7014925373134329</v>
      </c>
      <c r="L19" s="227">
        <f>((J19/1000000)/0.86)*1000</f>
        <v>2.9302325581395352</v>
      </c>
      <c r="X19" s="1">
        <v>150</v>
      </c>
    </row>
    <row r="20" spans="2:24" ht="15.75" customHeight="1" x14ac:dyDescent="0.25">
      <c r="B20" s="265">
        <f t="shared" ref="B20:L20" si="6">(B19+B21)/2</f>
        <v>6.5</v>
      </c>
      <c r="C20" s="266">
        <f t="shared" si="6"/>
        <v>109.15</v>
      </c>
      <c r="D20" s="267">
        <f t="shared" si="6"/>
        <v>1.0696699999999999</v>
      </c>
      <c r="E20" s="268">
        <f t="shared" si="6"/>
        <v>2170</v>
      </c>
      <c r="F20" s="269">
        <f t="shared" si="6"/>
        <v>4.0485074626865671</v>
      </c>
      <c r="G20" s="220">
        <f t="shared" si="6"/>
        <v>2.5232558139534884</v>
      </c>
      <c r="H20" s="270">
        <f t="shared" si="6"/>
        <v>17.399999999999999</v>
      </c>
      <c r="I20" s="267">
        <f t="shared" si="6"/>
        <v>0.17052</v>
      </c>
      <c r="J20" s="271">
        <f t="shared" si="6"/>
        <v>2520</v>
      </c>
      <c r="K20" s="272">
        <f t="shared" si="6"/>
        <v>4.7014925373134329</v>
      </c>
      <c r="L20" s="227">
        <f t="shared" si="6"/>
        <v>2.9302325581395352</v>
      </c>
    </row>
    <row r="21" spans="2:24" ht="15.75" customHeight="1" x14ac:dyDescent="0.25">
      <c r="B21" s="274">
        <f>B19+1</f>
        <v>7</v>
      </c>
      <c r="C21" s="273">
        <v>117.7</v>
      </c>
      <c r="D21" s="267">
        <f>C21*0.0098</f>
        <v>1.1534599999999999</v>
      </c>
      <c r="E21" s="268">
        <v>2160</v>
      </c>
      <c r="F21" s="269">
        <f>E21/536</f>
        <v>4.0298507462686564</v>
      </c>
      <c r="G21" s="220">
        <f>((E21/1000000)/0.86)*1000</f>
        <v>2.5116279069767442</v>
      </c>
      <c r="H21" s="270">
        <v>18.7</v>
      </c>
      <c r="I21" s="267">
        <f>H21*0.0098</f>
        <v>0.18325999999999998</v>
      </c>
      <c r="J21" s="271">
        <v>2520</v>
      </c>
      <c r="K21" s="272">
        <f>J21/536</f>
        <v>4.7014925373134329</v>
      </c>
      <c r="L21" s="227">
        <f>((J21/1000000)/0.86)*1000</f>
        <v>2.9302325581395352</v>
      </c>
    </row>
    <row r="22" spans="2:24" ht="15.75" customHeight="1" x14ac:dyDescent="0.25">
      <c r="B22" s="265">
        <f t="shared" ref="B22:L22" si="7">(B21+B23)/2</f>
        <v>7.5</v>
      </c>
      <c r="C22" s="266">
        <f t="shared" si="7"/>
        <v>127.30000000000001</v>
      </c>
      <c r="D22" s="267">
        <f t="shared" si="7"/>
        <v>1.2475399999999999</v>
      </c>
      <c r="E22" s="268">
        <f t="shared" si="7"/>
        <v>2140</v>
      </c>
      <c r="F22" s="269">
        <f t="shared" si="7"/>
        <v>3.9925373134328357</v>
      </c>
      <c r="G22" s="220">
        <f t="shared" si="7"/>
        <v>2.4883720930232558</v>
      </c>
      <c r="H22" s="270">
        <f t="shared" si="7"/>
        <v>20.149999999999999</v>
      </c>
      <c r="I22" s="267">
        <f t="shared" si="7"/>
        <v>0.19746999999999998</v>
      </c>
      <c r="J22" s="271">
        <f t="shared" si="7"/>
        <v>2515</v>
      </c>
      <c r="K22" s="272">
        <f t="shared" si="7"/>
        <v>4.692164179104477</v>
      </c>
      <c r="L22" s="227">
        <f t="shared" si="7"/>
        <v>2.9244186046511631</v>
      </c>
    </row>
    <row r="23" spans="2:24" ht="15.75" customHeight="1" x14ac:dyDescent="0.25">
      <c r="B23" s="274">
        <f>B21+1</f>
        <v>8</v>
      </c>
      <c r="C23" s="273">
        <v>136.9</v>
      </c>
      <c r="D23" s="267">
        <f>C23*0.0098</f>
        <v>1.34162</v>
      </c>
      <c r="E23" s="268">
        <v>2120</v>
      </c>
      <c r="F23" s="269">
        <f>E23/536</f>
        <v>3.955223880597015</v>
      </c>
      <c r="G23" s="220">
        <f>((E23/1000000)/0.86)*1000</f>
        <v>2.4651162790697674</v>
      </c>
      <c r="H23" s="270">
        <v>21.6</v>
      </c>
      <c r="I23" s="267">
        <f>H23*0.0098</f>
        <v>0.21168000000000001</v>
      </c>
      <c r="J23" s="271">
        <v>2510</v>
      </c>
      <c r="K23" s="272">
        <f>J23/536</f>
        <v>4.6828358208955221</v>
      </c>
      <c r="L23" s="227">
        <f>((J23/1000000)/0.86)*1000</f>
        <v>2.918604651162791</v>
      </c>
    </row>
    <row r="24" spans="2:24" ht="15.75" customHeight="1" x14ac:dyDescent="0.25">
      <c r="B24" s="265">
        <f t="shared" ref="B24:L24" si="8">(B23+B25)/2</f>
        <v>8.5</v>
      </c>
      <c r="C24" s="266">
        <f t="shared" si="8"/>
        <v>146.75</v>
      </c>
      <c r="D24" s="267">
        <f t="shared" si="8"/>
        <v>1.4381499999999998</v>
      </c>
      <c r="E24" s="268">
        <f t="shared" si="8"/>
        <v>2100</v>
      </c>
      <c r="F24" s="269">
        <f t="shared" si="8"/>
        <v>3.9179104477611943</v>
      </c>
      <c r="G24" s="220">
        <f t="shared" si="8"/>
        <v>2.441860465116279</v>
      </c>
      <c r="H24" s="270">
        <f t="shared" si="8"/>
        <v>23.15</v>
      </c>
      <c r="I24" s="267">
        <f t="shared" si="8"/>
        <v>0.22687000000000002</v>
      </c>
      <c r="J24" s="271">
        <f t="shared" si="8"/>
        <v>2510</v>
      </c>
      <c r="K24" s="272">
        <f t="shared" si="8"/>
        <v>4.6828358208955221</v>
      </c>
      <c r="L24" s="227">
        <f t="shared" si="8"/>
        <v>2.918604651162791</v>
      </c>
    </row>
    <row r="25" spans="2:24" ht="15.75" customHeight="1" x14ac:dyDescent="0.25">
      <c r="B25" s="274">
        <f>B23+1</f>
        <v>9</v>
      </c>
      <c r="C25" s="273">
        <v>156.6</v>
      </c>
      <c r="D25" s="267">
        <f>C25*0.0098</f>
        <v>1.5346799999999998</v>
      </c>
      <c r="E25" s="268">
        <v>2080</v>
      </c>
      <c r="F25" s="269">
        <f>E25/536</f>
        <v>3.8805970149253732</v>
      </c>
      <c r="G25" s="220">
        <f>((E25/1000000)/0.86)*1000</f>
        <v>2.4186046511627906</v>
      </c>
      <c r="H25" s="270">
        <v>24.7</v>
      </c>
      <c r="I25" s="267">
        <f>H25*0.0098</f>
        <v>0.24206</v>
      </c>
      <c r="J25" s="271">
        <v>2510</v>
      </c>
      <c r="K25" s="272">
        <f>J25/536</f>
        <v>4.6828358208955221</v>
      </c>
      <c r="L25" s="227">
        <f>((J25/1000000)/0.86)*1000</f>
        <v>2.918604651162791</v>
      </c>
    </row>
    <row r="26" spans="2:24" ht="15.75" customHeight="1" x14ac:dyDescent="0.25">
      <c r="B26" s="265">
        <f t="shared" ref="B26:L26" si="9">(B25+B27)/2</f>
        <v>9.5</v>
      </c>
      <c r="C26" s="266">
        <f t="shared" si="9"/>
        <v>165.55</v>
      </c>
      <c r="D26" s="267">
        <f t="shared" si="9"/>
        <v>1.6223899999999998</v>
      </c>
      <c r="E26" s="268">
        <f t="shared" si="9"/>
        <v>2060</v>
      </c>
      <c r="F26" s="269">
        <f t="shared" si="9"/>
        <v>3.8432835820895521</v>
      </c>
      <c r="G26" s="220">
        <f t="shared" si="9"/>
        <v>2.3953488372093021</v>
      </c>
      <c r="H26" s="270">
        <f t="shared" si="9"/>
        <v>26.5</v>
      </c>
      <c r="I26" s="267">
        <f t="shared" si="9"/>
        <v>0.25969999999999999</v>
      </c>
      <c r="J26" s="271">
        <f t="shared" si="9"/>
        <v>2510</v>
      </c>
      <c r="K26" s="272">
        <f t="shared" si="9"/>
        <v>4.6828358208955221</v>
      </c>
      <c r="L26" s="227">
        <f t="shared" si="9"/>
        <v>2.918604651162791</v>
      </c>
    </row>
    <row r="27" spans="2:24" ht="15.75" customHeight="1" x14ac:dyDescent="0.25">
      <c r="B27" s="274">
        <f>B25+1</f>
        <v>10</v>
      </c>
      <c r="C27" s="273">
        <v>174.5</v>
      </c>
      <c r="D27" s="267">
        <f>C27*0.0098</f>
        <v>1.7101</v>
      </c>
      <c r="E27" s="268">
        <v>2040</v>
      </c>
      <c r="F27" s="269">
        <f>E27/536</f>
        <v>3.8059701492537314</v>
      </c>
      <c r="G27" s="220">
        <f>((E27/1000000)/0.86)*1000</f>
        <v>2.3720930232558142</v>
      </c>
      <c r="H27" s="270">
        <v>28.3</v>
      </c>
      <c r="I27" s="267">
        <f>H27*0.0098</f>
        <v>0.27733999999999998</v>
      </c>
      <c r="J27" s="271">
        <v>2510</v>
      </c>
      <c r="K27" s="272">
        <f>J27/536</f>
        <v>4.6828358208955221</v>
      </c>
      <c r="L27" s="227">
        <f>((J27/1000000)/0.86)*1000</f>
        <v>2.918604651162791</v>
      </c>
    </row>
    <row r="28" spans="2:24" ht="15.75" customHeight="1" x14ac:dyDescent="0.25">
      <c r="B28" s="265">
        <f t="shared" ref="B28:L28" si="10">(B27+B29)/2</f>
        <v>10.5</v>
      </c>
      <c r="C28" s="266">
        <f t="shared" si="10"/>
        <v>181.9</v>
      </c>
      <c r="D28" s="267">
        <f t="shared" si="10"/>
        <v>1.7826200000000001</v>
      </c>
      <c r="E28" s="268">
        <f t="shared" si="10"/>
        <v>2015</v>
      </c>
      <c r="F28" s="269">
        <f t="shared" si="10"/>
        <v>3.7593283582089549</v>
      </c>
      <c r="G28" s="220">
        <f t="shared" si="10"/>
        <v>2.3430232558139537</v>
      </c>
      <c r="H28" s="270">
        <f t="shared" si="10"/>
        <v>29.65</v>
      </c>
      <c r="I28" s="267">
        <f t="shared" si="10"/>
        <v>0.29056999999999999</v>
      </c>
      <c r="J28" s="271">
        <f t="shared" si="10"/>
        <v>2510</v>
      </c>
      <c r="K28" s="272">
        <f t="shared" si="10"/>
        <v>4.6828358208955221</v>
      </c>
      <c r="L28" s="227">
        <f t="shared" si="10"/>
        <v>2.918604651162791</v>
      </c>
    </row>
    <row r="29" spans="2:24" ht="15.75" customHeight="1" x14ac:dyDescent="0.25">
      <c r="B29" s="274">
        <f>B27+1</f>
        <v>11</v>
      </c>
      <c r="C29" s="273">
        <v>189.3</v>
      </c>
      <c r="D29" s="267">
        <f>C29*0.0098</f>
        <v>1.85514</v>
      </c>
      <c r="E29" s="268">
        <v>1990</v>
      </c>
      <c r="F29" s="269">
        <f>E29/536</f>
        <v>3.7126865671641789</v>
      </c>
      <c r="G29" s="220">
        <f>((E29/1000000)/0.86)*1000</f>
        <v>2.3139534883720927</v>
      </c>
      <c r="H29" s="270">
        <v>31</v>
      </c>
      <c r="I29" s="267">
        <f>H29*0.0098</f>
        <v>0.30380000000000001</v>
      </c>
      <c r="J29" s="271">
        <v>2510</v>
      </c>
      <c r="K29" s="272">
        <f>J29/536</f>
        <v>4.6828358208955221</v>
      </c>
      <c r="L29" s="227">
        <f>((J29/1000000)/0.86)*1000</f>
        <v>2.918604651162791</v>
      </c>
    </row>
    <row r="30" spans="2:24" ht="15.75" customHeight="1" x14ac:dyDescent="0.25">
      <c r="B30" s="265">
        <f t="shared" ref="B30:L30" si="11">(B29+B31)/2</f>
        <v>11.5</v>
      </c>
      <c r="C30" s="266">
        <f t="shared" si="11"/>
        <v>195.7</v>
      </c>
      <c r="D30" s="267">
        <f t="shared" si="11"/>
        <v>1.9178599999999999</v>
      </c>
      <c r="E30" s="268">
        <f t="shared" si="11"/>
        <v>1978.5</v>
      </c>
      <c r="F30" s="269">
        <f t="shared" si="11"/>
        <v>3.6912313432835822</v>
      </c>
      <c r="G30" s="220">
        <f t="shared" si="11"/>
        <v>2.300581395348837</v>
      </c>
      <c r="H30" s="270">
        <f t="shared" si="11"/>
        <v>32.9</v>
      </c>
      <c r="I30" s="267">
        <f t="shared" si="11"/>
        <v>0.32241999999999998</v>
      </c>
      <c r="J30" s="271">
        <f t="shared" si="11"/>
        <v>2505</v>
      </c>
      <c r="K30" s="272">
        <f t="shared" si="11"/>
        <v>4.6735074626865671</v>
      </c>
      <c r="L30" s="227">
        <f t="shared" si="11"/>
        <v>2.9127906976744189</v>
      </c>
    </row>
    <row r="31" spans="2:24" ht="15.75" customHeight="1" x14ac:dyDescent="0.25">
      <c r="B31" s="274">
        <f>B29+1</f>
        <v>12</v>
      </c>
      <c r="C31" s="273">
        <v>202.1</v>
      </c>
      <c r="D31" s="267">
        <f>C31*0.0098</f>
        <v>1.9805799999999998</v>
      </c>
      <c r="E31" s="268">
        <v>1967</v>
      </c>
      <c r="F31" s="269">
        <f>E31/536</f>
        <v>3.669776119402985</v>
      </c>
      <c r="G31" s="220">
        <f>((E31/1000000)/0.86)*1000</f>
        <v>2.2872093023255813</v>
      </c>
      <c r="H31" s="270">
        <v>34.799999999999997</v>
      </c>
      <c r="I31" s="267">
        <f>H31*0.0098</f>
        <v>0.34103999999999995</v>
      </c>
      <c r="J31" s="271">
        <v>2500</v>
      </c>
      <c r="K31" s="272">
        <f>J31/536</f>
        <v>4.6641791044776122</v>
      </c>
      <c r="L31" s="227">
        <f>((J31/1000000)/0.86)*1000</f>
        <v>2.9069767441860463</v>
      </c>
    </row>
    <row r="32" spans="2:24" ht="15.75" customHeight="1" x14ac:dyDescent="0.25">
      <c r="B32" s="265">
        <f t="shared" ref="B32:L32" si="12">(B31+B33)/2</f>
        <v>12.5</v>
      </c>
      <c r="C32" s="266">
        <f t="shared" si="12"/>
        <v>206.85</v>
      </c>
      <c r="D32" s="267">
        <f t="shared" si="12"/>
        <v>2.0271299999999997</v>
      </c>
      <c r="E32" s="268">
        <f t="shared" si="12"/>
        <v>1935</v>
      </c>
      <c r="F32" s="269">
        <f t="shared" si="12"/>
        <v>3.6100746268656714</v>
      </c>
      <c r="G32" s="220">
        <f t="shared" si="12"/>
        <v>2.25</v>
      </c>
      <c r="H32" s="270">
        <f t="shared" si="12"/>
        <v>36.599999999999994</v>
      </c>
      <c r="I32" s="267">
        <f t="shared" si="12"/>
        <v>0.35868</v>
      </c>
      <c r="J32" s="271">
        <f t="shared" si="12"/>
        <v>2500</v>
      </c>
      <c r="K32" s="272">
        <f t="shared" si="12"/>
        <v>4.6641791044776122</v>
      </c>
      <c r="L32" s="227">
        <f t="shared" si="12"/>
        <v>2.9069767441860463</v>
      </c>
    </row>
    <row r="33" spans="2:12" ht="15.75" customHeight="1" x14ac:dyDescent="0.25">
      <c r="B33" s="274">
        <f>B31+1</f>
        <v>13</v>
      </c>
      <c r="C33" s="273">
        <v>211.6</v>
      </c>
      <c r="D33" s="267">
        <f>C33*0.0098</f>
        <v>2.07368</v>
      </c>
      <c r="E33" s="268">
        <v>1903</v>
      </c>
      <c r="F33" s="269">
        <f>E33/536</f>
        <v>3.5503731343283582</v>
      </c>
      <c r="G33" s="220">
        <f>((E33/1000000)/0.86)*1000</f>
        <v>2.2127906976744187</v>
      </c>
      <c r="H33" s="270">
        <v>38.4</v>
      </c>
      <c r="I33" s="267">
        <f>H33*0.0098</f>
        <v>0.37631999999999999</v>
      </c>
      <c r="J33" s="271">
        <v>2500</v>
      </c>
      <c r="K33" s="272">
        <f>J33/536</f>
        <v>4.6641791044776122</v>
      </c>
      <c r="L33" s="227">
        <f>((J33/1000000)/0.86)*1000</f>
        <v>2.9069767441860463</v>
      </c>
    </row>
    <row r="34" spans="2:12" ht="15.75" customHeight="1" x14ac:dyDescent="0.25">
      <c r="B34" s="265">
        <f t="shared" ref="B34:L34" si="13">(B33+B35)/2</f>
        <v>13.5</v>
      </c>
      <c r="C34" s="266">
        <f t="shared" si="13"/>
        <v>214.89999999999998</v>
      </c>
      <c r="D34" s="267">
        <f t="shared" si="13"/>
        <v>2.10602</v>
      </c>
      <c r="E34" s="268">
        <f t="shared" si="13"/>
        <v>1870.5</v>
      </c>
      <c r="F34" s="269">
        <f t="shared" si="13"/>
        <v>3.4897388059701493</v>
      </c>
      <c r="G34" s="220">
        <f t="shared" si="13"/>
        <v>2.1749999999999998</v>
      </c>
      <c r="H34" s="270">
        <f t="shared" si="13"/>
        <v>40.25</v>
      </c>
      <c r="I34" s="267">
        <f t="shared" si="13"/>
        <v>0.39444999999999997</v>
      </c>
      <c r="J34" s="271">
        <f t="shared" si="13"/>
        <v>2500</v>
      </c>
      <c r="K34" s="272">
        <f t="shared" si="13"/>
        <v>4.6641791044776122</v>
      </c>
      <c r="L34" s="227">
        <f t="shared" si="13"/>
        <v>2.9069767441860463</v>
      </c>
    </row>
    <row r="35" spans="2:12" ht="15.75" customHeight="1" x14ac:dyDescent="0.25">
      <c r="B35" s="274">
        <f>B33+1</f>
        <v>14</v>
      </c>
      <c r="C35" s="273">
        <v>218.2</v>
      </c>
      <c r="D35" s="267">
        <f>C35*0.0098</f>
        <v>2.13836</v>
      </c>
      <c r="E35" s="268">
        <v>1838</v>
      </c>
      <c r="F35" s="269">
        <f>E35/536</f>
        <v>3.4291044776119404</v>
      </c>
      <c r="G35" s="220">
        <f>((E35/1000000)/0.86)*1000</f>
        <v>2.1372093023255814</v>
      </c>
      <c r="H35" s="270">
        <v>42.1</v>
      </c>
      <c r="I35" s="267">
        <f>H35*0.0098</f>
        <v>0.41258</v>
      </c>
      <c r="J35" s="271">
        <v>2500</v>
      </c>
      <c r="K35" s="272">
        <f>J35/536</f>
        <v>4.6641791044776122</v>
      </c>
      <c r="L35" s="227">
        <f>((J35/1000000)/0.86)*1000</f>
        <v>2.9069767441860463</v>
      </c>
    </row>
    <row r="36" spans="2:12" ht="15.75" customHeight="1" x14ac:dyDescent="0.25">
      <c r="B36" s="265">
        <f t="shared" ref="B36:L36" si="14">(B35+B37)/2</f>
        <v>14.5</v>
      </c>
      <c r="C36" s="266">
        <f t="shared" si="14"/>
        <v>219.1</v>
      </c>
      <c r="D36" s="267">
        <f t="shared" si="14"/>
        <v>2.1471800000000001</v>
      </c>
      <c r="E36" s="268">
        <f t="shared" si="14"/>
        <v>1805.5</v>
      </c>
      <c r="F36" s="269">
        <f t="shared" si="14"/>
        <v>3.3684701492537314</v>
      </c>
      <c r="G36" s="220">
        <f t="shared" si="14"/>
        <v>2.0994186046511629</v>
      </c>
      <c r="H36" s="270">
        <f t="shared" si="14"/>
        <v>43.95</v>
      </c>
      <c r="I36" s="267">
        <f t="shared" si="14"/>
        <v>0.43070999999999998</v>
      </c>
      <c r="J36" s="271">
        <f t="shared" si="14"/>
        <v>2500</v>
      </c>
      <c r="K36" s="272">
        <f t="shared" si="14"/>
        <v>4.6641791044776122</v>
      </c>
      <c r="L36" s="227">
        <f t="shared" si="14"/>
        <v>2.9069767441860463</v>
      </c>
    </row>
    <row r="37" spans="2:12" ht="12.5" x14ac:dyDescent="0.25">
      <c r="B37" s="274">
        <f>B35+1</f>
        <v>15</v>
      </c>
      <c r="C37" s="273">
        <v>220</v>
      </c>
      <c r="D37" s="267">
        <f>C37*0.0098</f>
        <v>2.1560000000000001</v>
      </c>
      <c r="E37" s="268">
        <v>1773</v>
      </c>
      <c r="F37" s="269">
        <f>E37/536</f>
        <v>3.3078358208955225</v>
      </c>
      <c r="G37" s="220">
        <f>((E37/1000000)/0.86)*1000</f>
        <v>2.0616279069767445</v>
      </c>
      <c r="H37" s="270">
        <v>45.8</v>
      </c>
      <c r="I37" s="267">
        <f>H37*0.0098</f>
        <v>0.44883999999999996</v>
      </c>
      <c r="J37" s="271">
        <v>2500</v>
      </c>
      <c r="K37" s="272">
        <f>J37/536</f>
        <v>4.6641791044776122</v>
      </c>
      <c r="L37" s="227">
        <f>((J37/1000000)/0.86)*1000</f>
        <v>2.9069767441860463</v>
      </c>
    </row>
    <row r="38" spans="2:12" ht="12.5" x14ac:dyDescent="0.25">
      <c r="B38" s="265">
        <f t="shared" ref="B38:L38" si="15">(B37+B39)/2</f>
        <v>15.5</v>
      </c>
      <c r="C38" s="266">
        <f t="shared" si="15"/>
        <v>221.65</v>
      </c>
      <c r="D38" s="267">
        <f t="shared" si="15"/>
        <v>2.1721700000000004</v>
      </c>
      <c r="E38" s="268">
        <f t="shared" si="15"/>
        <v>1737</v>
      </c>
      <c r="F38" s="269">
        <f t="shared" si="15"/>
        <v>3.2406716417910451</v>
      </c>
      <c r="G38" s="220">
        <f t="shared" si="15"/>
        <v>2.0197674418604654</v>
      </c>
      <c r="H38" s="270">
        <f t="shared" si="15"/>
        <v>47.9</v>
      </c>
      <c r="I38" s="267">
        <f t="shared" si="15"/>
        <v>0.46941999999999995</v>
      </c>
      <c r="J38" s="271">
        <f t="shared" si="15"/>
        <v>2500</v>
      </c>
      <c r="K38" s="272">
        <f t="shared" si="15"/>
        <v>4.6641791044776122</v>
      </c>
      <c r="L38" s="227">
        <f t="shared" si="15"/>
        <v>2.9069767441860463</v>
      </c>
    </row>
    <row r="39" spans="2:12" ht="12.5" x14ac:dyDescent="0.25">
      <c r="B39" s="274">
        <f>B37+1</f>
        <v>16</v>
      </c>
      <c r="C39" s="273">
        <v>223.3</v>
      </c>
      <c r="D39" s="267">
        <f>C39*0.0098</f>
        <v>2.1883400000000002</v>
      </c>
      <c r="E39" s="268">
        <v>1701</v>
      </c>
      <c r="F39" s="269">
        <f>E39/536</f>
        <v>3.1735074626865671</v>
      </c>
      <c r="G39" s="220">
        <f>((E39/1000000)/0.86)*1000</f>
        <v>1.9779069767441861</v>
      </c>
      <c r="H39" s="270">
        <v>50</v>
      </c>
      <c r="I39" s="267">
        <f>H39*0.0098</f>
        <v>0.49</v>
      </c>
      <c r="J39" s="271">
        <v>2500</v>
      </c>
      <c r="K39" s="272">
        <f>J39/536</f>
        <v>4.6641791044776122</v>
      </c>
      <c r="L39" s="227">
        <f>((J39/1000000)/0.86)*1000</f>
        <v>2.9069767441860463</v>
      </c>
    </row>
    <row r="40" spans="2:12" ht="12.5" x14ac:dyDescent="0.25">
      <c r="B40" s="265">
        <f t="shared" ref="B40:L40" si="16">(B39+B41)/2</f>
        <v>16.5</v>
      </c>
      <c r="C40" s="266">
        <f t="shared" si="16"/>
        <v>222.8</v>
      </c>
      <c r="D40" s="267">
        <f t="shared" si="16"/>
        <v>2.18344</v>
      </c>
      <c r="E40" s="268">
        <f t="shared" si="16"/>
        <v>1663.5</v>
      </c>
      <c r="F40" s="269">
        <f t="shared" si="16"/>
        <v>3.1035447761194028</v>
      </c>
      <c r="G40" s="220">
        <f t="shared" si="16"/>
        <v>1.9343023255813954</v>
      </c>
      <c r="H40" s="270">
        <f t="shared" si="16"/>
        <v>52.4</v>
      </c>
      <c r="I40" s="267">
        <f t="shared" si="16"/>
        <v>0.51351999999999998</v>
      </c>
      <c r="J40" s="271">
        <f t="shared" si="16"/>
        <v>2495</v>
      </c>
      <c r="K40" s="272">
        <f t="shared" si="16"/>
        <v>4.6548507462686572</v>
      </c>
      <c r="L40" s="227">
        <f t="shared" si="16"/>
        <v>2.9011627906976747</v>
      </c>
    </row>
    <row r="41" spans="2:12" ht="12.5" x14ac:dyDescent="0.25">
      <c r="B41" s="274">
        <f>B39+1</f>
        <v>17</v>
      </c>
      <c r="C41" s="273">
        <v>222.3</v>
      </c>
      <c r="D41" s="267">
        <f>C41*0.0098</f>
        <v>2.1785399999999999</v>
      </c>
      <c r="E41" s="268">
        <v>1626</v>
      </c>
      <c r="F41" s="269">
        <f>E41/536</f>
        <v>3.033582089552239</v>
      </c>
      <c r="G41" s="220">
        <f>((E41/1000000)/0.86)*1000</f>
        <v>1.8906976744186048</v>
      </c>
      <c r="H41" s="270">
        <v>54.8</v>
      </c>
      <c r="I41" s="267">
        <f>H41*0.0098</f>
        <v>0.53703999999999996</v>
      </c>
      <c r="J41" s="271">
        <v>2490</v>
      </c>
      <c r="K41" s="272">
        <f>J41/536</f>
        <v>4.6455223880597014</v>
      </c>
      <c r="L41" s="227">
        <f>((J41/1000000)/0.86)*1000</f>
        <v>2.8953488372093026</v>
      </c>
    </row>
    <row r="42" spans="2:12" ht="12.5" x14ac:dyDescent="0.25">
      <c r="B42" s="265">
        <f t="shared" ref="B42:L42" si="17">(B41+B43)/2</f>
        <v>17.5</v>
      </c>
      <c r="C42" s="266">
        <f t="shared" si="17"/>
        <v>220.65</v>
      </c>
      <c r="D42" s="267">
        <f t="shared" si="17"/>
        <v>2.1623700000000001</v>
      </c>
      <c r="E42" s="268">
        <f t="shared" si="17"/>
        <v>1590</v>
      </c>
      <c r="F42" s="269">
        <f t="shared" si="17"/>
        <v>2.9664179104477615</v>
      </c>
      <c r="G42" s="220">
        <f t="shared" si="17"/>
        <v>1.8488372093023258</v>
      </c>
      <c r="H42" s="270">
        <f t="shared" si="17"/>
        <v>57.15</v>
      </c>
      <c r="I42" s="267">
        <f t="shared" si="17"/>
        <v>0.56006999999999996</v>
      </c>
      <c r="J42" s="271">
        <f t="shared" si="17"/>
        <v>2490</v>
      </c>
      <c r="K42" s="272">
        <f t="shared" si="17"/>
        <v>4.6455223880597014</v>
      </c>
      <c r="L42" s="227">
        <f t="shared" si="17"/>
        <v>2.8953488372093026</v>
      </c>
    </row>
    <row r="43" spans="2:12" ht="12.5" x14ac:dyDescent="0.25">
      <c r="B43" s="274">
        <f>B41+1</f>
        <v>18</v>
      </c>
      <c r="C43" s="273">
        <v>219</v>
      </c>
      <c r="D43" s="267">
        <f>C43*0.0098</f>
        <v>2.1461999999999999</v>
      </c>
      <c r="E43" s="268">
        <v>1554</v>
      </c>
      <c r="F43" s="269">
        <f>E43/536</f>
        <v>2.8992537313432836</v>
      </c>
      <c r="G43" s="220">
        <f>((E43/1000000)/0.86)*1000</f>
        <v>1.8069767441860467</v>
      </c>
      <c r="H43" s="270">
        <v>59.5</v>
      </c>
      <c r="I43" s="267">
        <f>H43*0.0098</f>
        <v>0.58309999999999995</v>
      </c>
      <c r="J43" s="271">
        <v>2490</v>
      </c>
      <c r="K43" s="272">
        <f>J43/536</f>
        <v>4.6455223880597014</v>
      </c>
      <c r="L43" s="227">
        <f>((J43/1000000)/0.86)*1000</f>
        <v>2.8953488372093026</v>
      </c>
    </row>
    <row r="44" spans="2:12" ht="12.5" x14ac:dyDescent="0.25">
      <c r="B44" s="265">
        <f t="shared" ref="B44:L44" si="18">(B43+B45)/2</f>
        <v>18.5</v>
      </c>
      <c r="C44" s="266">
        <f t="shared" si="18"/>
        <v>216.65</v>
      </c>
      <c r="D44" s="267">
        <f t="shared" si="18"/>
        <v>2.12317</v>
      </c>
      <c r="E44" s="268">
        <f t="shared" si="18"/>
        <v>1520</v>
      </c>
      <c r="F44" s="269">
        <f t="shared" si="18"/>
        <v>2.8358208955223878</v>
      </c>
      <c r="G44" s="220">
        <f t="shared" si="18"/>
        <v>1.7674418604651163</v>
      </c>
      <c r="H44" s="270">
        <f t="shared" si="18"/>
        <v>61.85</v>
      </c>
      <c r="I44" s="267">
        <f t="shared" si="18"/>
        <v>0.60613000000000006</v>
      </c>
      <c r="J44" s="271">
        <f t="shared" si="18"/>
        <v>2485</v>
      </c>
      <c r="K44" s="272">
        <f t="shared" si="18"/>
        <v>4.6361940298507456</v>
      </c>
      <c r="L44" s="227">
        <f t="shared" si="18"/>
        <v>2.8895348837209305</v>
      </c>
    </row>
    <row r="45" spans="2:12" ht="12.5" x14ac:dyDescent="0.25">
      <c r="B45" s="274">
        <f>B43+1</f>
        <v>19</v>
      </c>
      <c r="C45" s="273">
        <v>214.3</v>
      </c>
      <c r="D45" s="267">
        <f>C45*0.0098</f>
        <v>2.1001400000000001</v>
      </c>
      <c r="E45" s="268">
        <v>1486</v>
      </c>
      <c r="F45" s="269">
        <f>E45/536</f>
        <v>2.7723880597014925</v>
      </c>
      <c r="G45" s="220">
        <f>((E45/1000000)/0.86)*1000</f>
        <v>1.7279069767441859</v>
      </c>
      <c r="H45" s="270">
        <v>64.2</v>
      </c>
      <c r="I45" s="267">
        <f>H45*0.0098</f>
        <v>0.62916000000000005</v>
      </c>
      <c r="J45" s="271">
        <v>2480</v>
      </c>
      <c r="K45" s="272">
        <f>J45/536</f>
        <v>4.6268656716417906</v>
      </c>
      <c r="L45" s="227">
        <f>((J45/1000000)/0.86)*1000</f>
        <v>2.8837209302325584</v>
      </c>
    </row>
    <row r="46" spans="2:12" ht="12.5" x14ac:dyDescent="0.25">
      <c r="B46" s="265">
        <f t="shared" ref="B46:L46" si="19">(B45+B47)/2</f>
        <v>19.5</v>
      </c>
      <c r="C46" s="266">
        <f t="shared" si="19"/>
        <v>211.25</v>
      </c>
      <c r="D46" s="267">
        <f t="shared" si="19"/>
        <v>2.0702499999999997</v>
      </c>
      <c r="E46" s="268">
        <f t="shared" si="19"/>
        <v>1450</v>
      </c>
      <c r="F46" s="269">
        <f t="shared" si="19"/>
        <v>2.705223880597015</v>
      </c>
      <c r="G46" s="220">
        <f t="shared" si="19"/>
        <v>1.6860465116279069</v>
      </c>
      <c r="H46" s="270">
        <f t="shared" si="19"/>
        <v>66.550000000000011</v>
      </c>
      <c r="I46" s="267">
        <f t="shared" si="19"/>
        <v>0.65219000000000005</v>
      </c>
      <c r="J46" s="271">
        <f t="shared" si="19"/>
        <v>2480</v>
      </c>
      <c r="K46" s="272">
        <f t="shared" si="19"/>
        <v>4.6268656716417906</v>
      </c>
      <c r="L46" s="227">
        <f t="shared" si="19"/>
        <v>2.8837209302325584</v>
      </c>
    </row>
    <row r="47" spans="2:12" ht="12.5" x14ac:dyDescent="0.25">
      <c r="B47" s="274">
        <f>B45+1</f>
        <v>20</v>
      </c>
      <c r="C47" s="273">
        <v>208.2</v>
      </c>
      <c r="D47" s="267">
        <f>C47*0.0098</f>
        <v>2.0403599999999997</v>
      </c>
      <c r="E47" s="268">
        <v>1414</v>
      </c>
      <c r="F47" s="269">
        <f>E47/536</f>
        <v>2.6380597014925371</v>
      </c>
      <c r="G47" s="220">
        <f>((E47/1000000)/0.86)*1000</f>
        <v>1.6441860465116278</v>
      </c>
      <c r="H47" s="270">
        <v>68.900000000000006</v>
      </c>
      <c r="I47" s="267">
        <f>H47*0.0098</f>
        <v>0.67522000000000004</v>
      </c>
      <c r="J47" s="271">
        <v>2480</v>
      </c>
      <c r="K47" s="272">
        <f>J47/536</f>
        <v>4.6268656716417906</v>
      </c>
      <c r="L47" s="227">
        <f>((J47/1000000)/0.86)*1000</f>
        <v>2.8837209302325584</v>
      </c>
    </row>
    <row r="48" spans="2:12" ht="12.5" x14ac:dyDescent="0.25">
      <c r="B48" s="265">
        <f t="shared" ref="B48:L48" si="20">(B47+B49)/2</f>
        <v>20.5</v>
      </c>
      <c r="C48" s="266">
        <f t="shared" si="20"/>
        <v>204.1</v>
      </c>
      <c r="D48" s="267">
        <f t="shared" si="20"/>
        <v>2.0001799999999998</v>
      </c>
      <c r="E48" s="268">
        <f t="shared" si="20"/>
        <v>1375.5</v>
      </c>
      <c r="F48" s="269">
        <f t="shared" si="20"/>
        <v>2.5662313432835822</v>
      </c>
      <c r="G48" s="220">
        <f t="shared" si="20"/>
        <v>1.5994186046511629</v>
      </c>
      <c r="H48" s="270">
        <f t="shared" si="20"/>
        <v>71.95</v>
      </c>
      <c r="I48" s="267">
        <f t="shared" si="20"/>
        <v>0.70511000000000001</v>
      </c>
      <c r="J48" s="271">
        <f t="shared" si="20"/>
        <v>2475</v>
      </c>
      <c r="K48" s="272">
        <f t="shared" si="20"/>
        <v>4.6175373134328357</v>
      </c>
      <c r="L48" s="227">
        <f t="shared" si="20"/>
        <v>2.8779069767441863</v>
      </c>
    </row>
    <row r="49" spans="2:12" ht="12.5" x14ac:dyDescent="0.25">
      <c r="B49" s="274">
        <f>B47+1</f>
        <v>21</v>
      </c>
      <c r="C49" s="273">
        <v>200</v>
      </c>
      <c r="D49" s="267">
        <f>C49*0.0098</f>
        <v>1.96</v>
      </c>
      <c r="E49" s="268">
        <v>1337</v>
      </c>
      <c r="F49" s="269">
        <f>E49/536</f>
        <v>2.4944029850746268</v>
      </c>
      <c r="G49" s="220">
        <f>((E49/1000000)/0.86)*1000</f>
        <v>1.5546511627906978</v>
      </c>
      <c r="H49" s="270">
        <v>75</v>
      </c>
      <c r="I49" s="267">
        <f>H49*0.0098</f>
        <v>0.73499999999999999</v>
      </c>
      <c r="J49" s="271">
        <v>2470</v>
      </c>
      <c r="K49" s="272">
        <f>J49/536</f>
        <v>4.6082089552238807</v>
      </c>
      <c r="L49" s="227">
        <f>((J49/1000000)/0.86)*1000</f>
        <v>2.8720930232558142</v>
      </c>
    </row>
    <row r="50" spans="2:12" ht="12.5" x14ac:dyDescent="0.25">
      <c r="B50" s="265">
        <f t="shared" ref="B50:L50" si="21">(B49+B51)/2</f>
        <v>21.5</v>
      </c>
      <c r="C50" s="266">
        <f t="shared" si="21"/>
        <v>195.7</v>
      </c>
      <c r="D50" s="267">
        <f t="shared" si="21"/>
        <v>1.9178600000000001</v>
      </c>
      <c r="E50" s="268">
        <f t="shared" si="21"/>
        <v>1301.5</v>
      </c>
      <c r="F50" s="269">
        <f t="shared" si="21"/>
        <v>2.4281716417910451</v>
      </c>
      <c r="G50" s="220">
        <f t="shared" si="21"/>
        <v>1.5133720930232559</v>
      </c>
      <c r="H50" s="270">
        <f t="shared" si="21"/>
        <v>78.150000000000006</v>
      </c>
      <c r="I50" s="267">
        <f t="shared" si="21"/>
        <v>0.76586999999999994</v>
      </c>
      <c r="J50" s="271">
        <f t="shared" si="21"/>
        <v>2470</v>
      </c>
      <c r="K50" s="272">
        <f t="shared" si="21"/>
        <v>4.6082089552238807</v>
      </c>
      <c r="L50" s="227">
        <f t="shared" si="21"/>
        <v>2.8720930232558142</v>
      </c>
    </row>
    <row r="51" spans="2:12" ht="12.5" x14ac:dyDescent="0.25">
      <c r="B51" s="274">
        <f>B49+1</f>
        <v>22</v>
      </c>
      <c r="C51" s="273">
        <v>191.4</v>
      </c>
      <c r="D51" s="267">
        <f>C51*0.0098</f>
        <v>1.8757200000000001</v>
      </c>
      <c r="E51" s="268">
        <v>1266</v>
      </c>
      <c r="F51" s="269">
        <f>E51/536</f>
        <v>2.3619402985074629</v>
      </c>
      <c r="G51" s="220">
        <f>((E51/1000000)/0.86)*1000</f>
        <v>1.472093023255814</v>
      </c>
      <c r="H51" s="270">
        <v>81.3</v>
      </c>
      <c r="I51" s="267">
        <f>H51*0.0098</f>
        <v>0.79673999999999989</v>
      </c>
      <c r="J51" s="271">
        <v>2470</v>
      </c>
      <c r="K51" s="272">
        <f>J51/536</f>
        <v>4.6082089552238807</v>
      </c>
      <c r="L51" s="227">
        <f>((J51/1000000)/0.86)*1000</f>
        <v>2.8720930232558142</v>
      </c>
    </row>
    <row r="52" spans="2:12" ht="12.5" x14ac:dyDescent="0.25">
      <c r="B52" s="265">
        <f t="shared" ref="B52:L52" si="22">(B51+B53)/2</f>
        <v>22.5</v>
      </c>
      <c r="C52" s="266">
        <f t="shared" si="22"/>
        <v>186.9</v>
      </c>
      <c r="D52" s="267">
        <f t="shared" si="22"/>
        <v>1.83162</v>
      </c>
      <c r="E52" s="268">
        <f t="shared" si="22"/>
        <v>1235.5</v>
      </c>
      <c r="F52" s="269">
        <f t="shared" si="22"/>
        <v>2.3050373134328357</v>
      </c>
      <c r="G52" s="220">
        <f t="shared" si="22"/>
        <v>1.436627906976744</v>
      </c>
      <c r="H52" s="270">
        <f t="shared" si="22"/>
        <v>84.55</v>
      </c>
      <c r="I52" s="267">
        <f t="shared" si="22"/>
        <v>0.82858999999999994</v>
      </c>
      <c r="J52" s="271">
        <f t="shared" si="22"/>
        <v>2460</v>
      </c>
      <c r="K52" s="272">
        <f t="shared" si="22"/>
        <v>4.58955223880597</v>
      </c>
      <c r="L52" s="227">
        <f t="shared" si="22"/>
        <v>2.8604651162790695</v>
      </c>
    </row>
    <row r="53" spans="2:12" ht="12.5" x14ac:dyDescent="0.25">
      <c r="B53" s="274">
        <f>B51+1</f>
        <v>23</v>
      </c>
      <c r="C53" s="273">
        <v>182.4</v>
      </c>
      <c r="D53" s="267">
        <f>C53*0.0098</f>
        <v>1.78752</v>
      </c>
      <c r="E53" s="268">
        <v>1205</v>
      </c>
      <c r="F53" s="269">
        <f>E53/536</f>
        <v>2.2481343283582089</v>
      </c>
      <c r="G53" s="220">
        <f>((E53/1000000)/0.86)*1000</f>
        <v>1.4011627906976742</v>
      </c>
      <c r="H53" s="270">
        <v>87.8</v>
      </c>
      <c r="I53" s="267">
        <f>H53*0.0098</f>
        <v>0.86043999999999998</v>
      </c>
      <c r="J53" s="271">
        <v>2450</v>
      </c>
      <c r="K53" s="272">
        <f>J53/536</f>
        <v>4.5708955223880601</v>
      </c>
      <c r="L53" s="227">
        <f>((J53/1000000)/0.86)*1000</f>
        <v>2.8488372093023253</v>
      </c>
    </row>
    <row r="54" spans="2:12" ht="12.5" x14ac:dyDescent="0.25">
      <c r="B54" s="265">
        <f t="shared" ref="B54:L54" si="23">(B53+B55)/2</f>
        <v>23.5</v>
      </c>
      <c r="C54" s="266">
        <f t="shared" si="23"/>
        <v>177.55</v>
      </c>
      <c r="D54" s="267">
        <f t="shared" si="23"/>
        <v>1.7399899999999999</v>
      </c>
      <c r="E54" s="268">
        <f t="shared" si="23"/>
        <v>1171.5</v>
      </c>
      <c r="F54" s="269">
        <f t="shared" si="23"/>
        <v>2.1856343283582089</v>
      </c>
      <c r="G54" s="220">
        <f t="shared" si="23"/>
        <v>1.3622093023255812</v>
      </c>
      <c r="H54" s="270">
        <f t="shared" si="23"/>
        <v>91.5</v>
      </c>
      <c r="I54" s="267">
        <f t="shared" si="23"/>
        <v>0.89670000000000005</v>
      </c>
      <c r="J54" s="271">
        <f t="shared" si="23"/>
        <v>2445</v>
      </c>
      <c r="K54" s="272">
        <f t="shared" si="23"/>
        <v>4.5615671641791042</v>
      </c>
      <c r="L54" s="227">
        <f t="shared" si="23"/>
        <v>2.8430232558139537</v>
      </c>
    </row>
    <row r="55" spans="2:12" ht="12.5" x14ac:dyDescent="0.25">
      <c r="B55" s="274">
        <f>B53+1</f>
        <v>24</v>
      </c>
      <c r="C55" s="273">
        <v>172.7</v>
      </c>
      <c r="D55" s="267">
        <f>C55*0.0098</f>
        <v>1.6924599999999999</v>
      </c>
      <c r="E55" s="268">
        <v>1138</v>
      </c>
      <c r="F55" s="269">
        <f>E55/536</f>
        <v>2.1231343283582089</v>
      </c>
      <c r="G55" s="220">
        <f>((E55/1000000)/0.86)*1000</f>
        <v>1.3232558139534882</v>
      </c>
      <c r="H55" s="270">
        <v>95.2</v>
      </c>
      <c r="I55" s="267">
        <f>H55*0.0098</f>
        <v>0.93296000000000001</v>
      </c>
      <c r="J55" s="271">
        <v>2440</v>
      </c>
      <c r="K55" s="272">
        <f>J55/536</f>
        <v>4.5522388059701493</v>
      </c>
      <c r="L55" s="227">
        <f>((J55/1000000)/0.86)*1000</f>
        <v>2.8372093023255816</v>
      </c>
    </row>
    <row r="56" spans="2:12" ht="12.5" x14ac:dyDescent="0.25">
      <c r="B56" s="265">
        <f t="shared" ref="B56:L56" si="24">(B55+B57)/2</f>
        <v>24.5</v>
      </c>
      <c r="C56" s="266">
        <f t="shared" si="24"/>
        <v>167.1</v>
      </c>
      <c r="D56" s="267">
        <f t="shared" si="24"/>
        <v>1.6375799999999998</v>
      </c>
      <c r="E56" s="268">
        <f t="shared" si="24"/>
        <v>1106</v>
      </c>
      <c r="F56" s="269">
        <f t="shared" si="24"/>
        <v>2.0634328358208958</v>
      </c>
      <c r="G56" s="220">
        <f t="shared" si="24"/>
        <v>1.286046511627907</v>
      </c>
      <c r="H56" s="270">
        <f t="shared" si="24"/>
        <v>99.95</v>
      </c>
      <c r="I56" s="267">
        <f t="shared" si="24"/>
        <v>0.97950999999999999</v>
      </c>
      <c r="J56" s="271">
        <f t="shared" si="24"/>
        <v>2430</v>
      </c>
      <c r="K56" s="272">
        <f t="shared" si="24"/>
        <v>4.5335820895522385</v>
      </c>
      <c r="L56" s="227">
        <f t="shared" si="24"/>
        <v>2.8255813953488369</v>
      </c>
    </row>
    <row r="57" spans="2:12" ht="12.5" x14ac:dyDescent="0.25">
      <c r="B57" s="274">
        <f>B55+1</f>
        <v>25</v>
      </c>
      <c r="C57" s="273">
        <v>161.5</v>
      </c>
      <c r="D57" s="267">
        <f>C57*0.0098</f>
        <v>1.5827</v>
      </c>
      <c r="E57" s="268">
        <v>1074</v>
      </c>
      <c r="F57" s="269">
        <f>E57/536</f>
        <v>2.0037313432835822</v>
      </c>
      <c r="G57" s="220">
        <f>((E57/1000000)/0.86)*1000</f>
        <v>1.2488372093023257</v>
      </c>
      <c r="H57" s="270">
        <v>104.7</v>
      </c>
      <c r="I57" s="267">
        <f>H57*0.0098</f>
        <v>1.02606</v>
      </c>
      <c r="J57" s="271">
        <v>2420</v>
      </c>
      <c r="K57" s="272">
        <f>J57/536</f>
        <v>4.5149253731343286</v>
      </c>
      <c r="L57" s="227">
        <f>((J57/1000000)/0.86)*1000</f>
        <v>2.8139534883720927</v>
      </c>
    </row>
    <row r="58" spans="2:12" ht="12.5" x14ac:dyDescent="0.25">
      <c r="B58" s="265">
        <f t="shared" ref="B58:L58" si="25">(B57+B59)/2</f>
        <v>25.5</v>
      </c>
      <c r="C58" s="266">
        <f t="shared" si="25"/>
        <v>156.25</v>
      </c>
      <c r="D58" s="267">
        <f t="shared" si="25"/>
        <v>1.53125</v>
      </c>
      <c r="E58" s="268">
        <f t="shared" si="25"/>
        <v>1043.5</v>
      </c>
      <c r="F58" s="269">
        <f t="shared" si="25"/>
        <v>1.9468283582089554</v>
      </c>
      <c r="G58" s="220">
        <f t="shared" si="25"/>
        <v>1.2133720930232559</v>
      </c>
      <c r="H58" s="270">
        <f t="shared" si="25"/>
        <v>109.25</v>
      </c>
      <c r="I58" s="267">
        <f t="shared" si="25"/>
        <v>1.0706500000000001</v>
      </c>
      <c r="J58" s="271">
        <f t="shared" si="25"/>
        <v>2420</v>
      </c>
      <c r="K58" s="272">
        <f t="shared" si="25"/>
        <v>4.5149253731343286</v>
      </c>
      <c r="L58" s="227">
        <f t="shared" si="25"/>
        <v>2.8139534883720927</v>
      </c>
    </row>
    <row r="59" spans="2:12" ht="12.5" x14ac:dyDescent="0.25">
      <c r="B59" s="274">
        <f>B57+1</f>
        <v>26</v>
      </c>
      <c r="C59" s="273">
        <v>151</v>
      </c>
      <c r="D59" s="267">
        <f>C59*0.0098</f>
        <v>1.4798</v>
      </c>
      <c r="E59" s="268">
        <v>1013</v>
      </c>
      <c r="F59" s="269">
        <f>E59/536</f>
        <v>1.8899253731343284</v>
      </c>
      <c r="G59" s="220">
        <f>((E59/1000000)/0.86)*1000</f>
        <v>1.1779069767441861</v>
      </c>
      <c r="H59" s="270">
        <v>113.8</v>
      </c>
      <c r="I59" s="267">
        <f>H59*0.0098</f>
        <v>1.11524</v>
      </c>
      <c r="J59" s="271">
        <v>2420</v>
      </c>
      <c r="K59" s="272">
        <f>J59/536</f>
        <v>4.5149253731343286</v>
      </c>
      <c r="L59" s="227">
        <f>((J59/1000000)/0.86)*1000</f>
        <v>2.8139534883720927</v>
      </c>
    </row>
    <row r="60" spans="2:12" ht="12.5" x14ac:dyDescent="0.25">
      <c r="B60" s="265">
        <f t="shared" ref="B60:L60" si="26">(B59+B61)/2</f>
        <v>26.5</v>
      </c>
      <c r="C60" s="266">
        <f t="shared" si="26"/>
        <v>145.75</v>
      </c>
      <c r="D60" s="267">
        <f t="shared" si="26"/>
        <v>1.42835</v>
      </c>
      <c r="E60" s="268">
        <f t="shared" si="26"/>
        <v>986.5</v>
      </c>
      <c r="F60" s="269">
        <f t="shared" si="26"/>
        <v>1.8404850746268657</v>
      </c>
      <c r="G60" s="220">
        <f t="shared" si="26"/>
        <v>1.1470930232558141</v>
      </c>
      <c r="H60" s="270">
        <f t="shared" si="26"/>
        <v>118.25</v>
      </c>
      <c r="I60" s="267">
        <f t="shared" si="26"/>
        <v>1.1588500000000002</v>
      </c>
      <c r="J60" s="271">
        <f t="shared" si="26"/>
        <v>2405</v>
      </c>
      <c r="K60" s="272">
        <f t="shared" si="26"/>
        <v>4.4869402985074629</v>
      </c>
      <c r="L60" s="227">
        <f t="shared" si="26"/>
        <v>2.7965116279069768</v>
      </c>
    </row>
    <row r="61" spans="2:12" ht="12.5" x14ac:dyDescent="0.25">
      <c r="B61" s="274">
        <f>B59+1</f>
        <v>27</v>
      </c>
      <c r="C61" s="273">
        <v>140.5</v>
      </c>
      <c r="D61" s="267">
        <f>C61*0.0098</f>
        <v>1.3769</v>
      </c>
      <c r="E61" s="268">
        <v>960</v>
      </c>
      <c r="F61" s="269">
        <f>E61/536</f>
        <v>1.791044776119403</v>
      </c>
      <c r="G61" s="220">
        <f>((E61/1000000)/0.86)*1000</f>
        <v>1.1162790697674421</v>
      </c>
      <c r="H61" s="270">
        <v>122.7</v>
      </c>
      <c r="I61" s="267">
        <f>H61*0.0098</f>
        <v>1.2024600000000001</v>
      </c>
      <c r="J61" s="271">
        <v>2390</v>
      </c>
      <c r="K61" s="272">
        <f>J61/536</f>
        <v>4.4589552238805972</v>
      </c>
      <c r="L61" s="227">
        <f>((J61/1000000)/0.86)*1000</f>
        <v>2.779069767441861</v>
      </c>
    </row>
    <row r="62" spans="2:12" ht="12.5" x14ac:dyDescent="0.25">
      <c r="B62" s="265">
        <f t="shared" ref="B62:L62" si="27">(B61+B63)/2</f>
        <v>27.5</v>
      </c>
      <c r="C62" s="266">
        <f t="shared" si="27"/>
        <v>134.75</v>
      </c>
      <c r="D62" s="267">
        <f t="shared" si="27"/>
        <v>1.3205499999999999</v>
      </c>
      <c r="E62" s="268">
        <f t="shared" si="27"/>
        <v>933</v>
      </c>
      <c r="F62" s="269">
        <f t="shared" si="27"/>
        <v>1.7406716417910448</v>
      </c>
      <c r="G62" s="220">
        <f t="shared" si="27"/>
        <v>1.0848837209302327</v>
      </c>
      <c r="H62" s="270">
        <f t="shared" si="27"/>
        <v>127.69999999999999</v>
      </c>
      <c r="I62" s="267">
        <f t="shared" si="27"/>
        <v>1.25146</v>
      </c>
      <c r="J62" s="271">
        <f t="shared" si="27"/>
        <v>2385</v>
      </c>
      <c r="K62" s="272">
        <f t="shared" si="27"/>
        <v>4.4496268656716413</v>
      </c>
      <c r="L62" s="227">
        <f t="shared" si="27"/>
        <v>2.7732558139534884</v>
      </c>
    </row>
    <row r="63" spans="2:12" ht="12.5" x14ac:dyDescent="0.25">
      <c r="B63" s="274">
        <f>B61+1</f>
        <v>28</v>
      </c>
      <c r="C63" s="273">
        <v>129</v>
      </c>
      <c r="D63" s="267">
        <f>C63*0.0098</f>
        <v>1.2642</v>
      </c>
      <c r="E63" s="268">
        <v>906</v>
      </c>
      <c r="F63" s="269">
        <f>E63/536</f>
        <v>1.6902985074626866</v>
      </c>
      <c r="G63" s="220">
        <f>((E63/1000000)/0.86)*1000</f>
        <v>1.0534883720930233</v>
      </c>
      <c r="H63" s="270">
        <v>132.69999999999999</v>
      </c>
      <c r="I63" s="267">
        <f>H63*0.0098</f>
        <v>1.3004599999999999</v>
      </c>
      <c r="J63" s="271">
        <v>2380</v>
      </c>
      <c r="K63" s="272">
        <f>J63/536</f>
        <v>4.4402985074626864</v>
      </c>
      <c r="L63" s="227">
        <f>((J63/1000000)/0.86)*1000</f>
        <v>2.7674418604651163</v>
      </c>
    </row>
    <row r="64" spans="2:12" ht="12.5" x14ac:dyDescent="0.25">
      <c r="B64" s="265">
        <f t="shared" ref="B64:L64" si="28">(B63+B65)/2</f>
        <v>28.5</v>
      </c>
      <c r="C64" s="266">
        <f t="shared" si="28"/>
        <v>122.95</v>
      </c>
      <c r="D64" s="267">
        <f t="shared" si="28"/>
        <v>1.2049099999999999</v>
      </c>
      <c r="E64" s="268">
        <f t="shared" si="28"/>
        <v>879.5</v>
      </c>
      <c r="F64" s="269">
        <f t="shared" si="28"/>
        <v>1.6408582089552239</v>
      </c>
      <c r="G64" s="220">
        <f t="shared" si="28"/>
        <v>1.0226744186046512</v>
      </c>
      <c r="H64" s="270">
        <f t="shared" si="28"/>
        <v>139.14999999999998</v>
      </c>
      <c r="I64" s="267">
        <f t="shared" si="28"/>
        <v>1.3636699999999999</v>
      </c>
      <c r="J64" s="271">
        <f t="shared" si="28"/>
        <v>2360</v>
      </c>
      <c r="K64" s="272">
        <f t="shared" si="28"/>
        <v>4.4029850746268657</v>
      </c>
      <c r="L64" s="227">
        <f t="shared" si="28"/>
        <v>2.7441860465116283</v>
      </c>
    </row>
    <row r="65" spans="2:12" ht="12.5" x14ac:dyDescent="0.25">
      <c r="B65" s="274">
        <f>B63+1</f>
        <v>29</v>
      </c>
      <c r="C65" s="273">
        <v>116.9</v>
      </c>
      <c r="D65" s="267">
        <f>C65*0.0098</f>
        <v>1.1456200000000001</v>
      </c>
      <c r="E65" s="268">
        <v>853</v>
      </c>
      <c r="F65" s="269">
        <f>E65/536</f>
        <v>1.5914179104477613</v>
      </c>
      <c r="G65" s="220">
        <f>((E65/1000000)/0.86)*1000</f>
        <v>0.99186046511627901</v>
      </c>
      <c r="H65" s="270">
        <v>145.6</v>
      </c>
      <c r="I65" s="267">
        <f>H65*0.0098</f>
        <v>1.4268799999999999</v>
      </c>
      <c r="J65" s="271">
        <v>2340</v>
      </c>
      <c r="K65" s="272">
        <f>J65/536</f>
        <v>4.3656716417910451</v>
      </c>
      <c r="L65" s="227">
        <f>((J65/1000000)/0.86)*1000</f>
        <v>2.7209302325581399</v>
      </c>
    </row>
    <row r="66" spans="2:12" ht="12.5" x14ac:dyDescent="0.25">
      <c r="B66" s="265">
        <f t="shared" ref="B66:L66" si="29">(B65+B67)/2</f>
        <v>29.5</v>
      </c>
      <c r="C66" s="266">
        <f t="shared" si="29"/>
        <v>110.95</v>
      </c>
      <c r="D66" s="267">
        <f t="shared" si="29"/>
        <v>1.08731</v>
      </c>
      <c r="E66" s="268">
        <f t="shared" si="29"/>
        <v>829.5</v>
      </c>
      <c r="F66" s="269">
        <f t="shared" si="29"/>
        <v>1.5475746268656718</v>
      </c>
      <c r="G66" s="220">
        <f t="shared" si="29"/>
        <v>0.96453488372093021</v>
      </c>
      <c r="H66" s="270">
        <f t="shared" si="29"/>
        <v>151.94999999999999</v>
      </c>
      <c r="I66" s="267">
        <f t="shared" si="29"/>
        <v>1.4891100000000002</v>
      </c>
      <c r="J66" s="271">
        <f t="shared" si="29"/>
        <v>2330</v>
      </c>
      <c r="K66" s="272">
        <f t="shared" si="29"/>
        <v>4.3470149253731343</v>
      </c>
      <c r="L66" s="227">
        <f t="shared" si="29"/>
        <v>2.7093023255813957</v>
      </c>
    </row>
    <row r="67" spans="2:12" ht="12.5" x14ac:dyDescent="0.25">
      <c r="B67" s="274">
        <f>B65+1</f>
        <v>30</v>
      </c>
      <c r="C67" s="273">
        <v>105</v>
      </c>
      <c r="D67" s="267">
        <f>C67*0.0098</f>
        <v>1.0289999999999999</v>
      </c>
      <c r="E67" s="268">
        <v>806</v>
      </c>
      <c r="F67" s="269">
        <f>E67/536</f>
        <v>1.5037313432835822</v>
      </c>
      <c r="G67" s="220">
        <f>((E67/1000000)/0.86)*1000</f>
        <v>0.93720930232558142</v>
      </c>
      <c r="H67" s="270">
        <v>158.30000000000001</v>
      </c>
      <c r="I67" s="267">
        <f>H67*0.0098</f>
        <v>1.5513400000000002</v>
      </c>
      <c r="J67" s="271">
        <v>2320</v>
      </c>
      <c r="K67" s="272">
        <f>J67/536</f>
        <v>4.3283582089552235</v>
      </c>
      <c r="L67" s="227">
        <f>((J67/1000000)/0.86)*1000</f>
        <v>2.6976744186046511</v>
      </c>
    </row>
    <row r="68" spans="2:12" ht="12.5" x14ac:dyDescent="0.25">
      <c r="B68" s="265">
        <f t="shared" ref="B68:L68" si="30">(B67+B69)/2</f>
        <v>30.5</v>
      </c>
      <c r="C68" s="266">
        <f t="shared" si="30"/>
        <v>99.45</v>
      </c>
      <c r="D68" s="267">
        <f t="shared" si="30"/>
        <v>0.97460999999999998</v>
      </c>
      <c r="E68" s="268">
        <f t="shared" si="30"/>
        <v>785.5</v>
      </c>
      <c r="F68" s="269">
        <f t="shared" si="30"/>
        <v>1.4654850746268657</v>
      </c>
      <c r="G68" s="220">
        <f t="shared" si="30"/>
        <v>0.91337209302325584</v>
      </c>
      <c r="H68" s="270">
        <f t="shared" si="30"/>
        <v>164.95</v>
      </c>
      <c r="I68" s="267">
        <f t="shared" si="30"/>
        <v>1.6165099999999999</v>
      </c>
      <c r="J68" s="271">
        <f t="shared" si="30"/>
        <v>2305</v>
      </c>
      <c r="K68" s="272">
        <f t="shared" si="30"/>
        <v>4.3003731343283587</v>
      </c>
      <c r="L68" s="227">
        <f t="shared" si="30"/>
        <v>2.6802325581395348</v>
      </c>
    </row>
    <row r="69" spans="2:12" ht="12.5" x14ac:dyDescent="0.25">
      <c r="B69" s="274">
        <f>B67+1</f>
        <v>31</v>
      </c>
      <c r="C69" s="273">
        <v>93.9</v>
      </c>
      <c r="D69" s="267">
        <f>C69*0.0098</f>
        <v>0.92022000000000004</v>
      </c>
      <c r="E69" s="268">
        <v>765</v>
      </c>
      <c r="F69" s="269">
        <f>E69/536</f>
        <v>1.4272388059701493</v>
      </c>
      <c r="G69" s="220">
        <f>((E69/1000000)/0.86)*1000</f>
        <v>0.88953488372093015</v>
      </c>
      <c r="H69" s="270">
        <v>171.6</v>
      </c>
      <c r="I69" s="267">
        <f>H69*0.0098</f>
        <v>1.6816799999999998</v>
      </c>
      <c r="J69" s="271">
        <v>2290</v>
      </c>
      <c r="K69" s="272">
        <f>J69/536</f>
        <v>4.2723880597014929</v>
      </c>
      <c r="L69" s="227">
        <f>((J69/1000000)/0.86)*1000</f>
        <v>2.6627906976744184</v>
      </c>
    </row>
    <row r="70" spans="2:12" ht="12.5" x14ac:dyDescent="0.25">
      <c r="B70" s="265">
        <f t="shared" ref="B70:L70" si="31">(B69+B71)/2</f>
        <v>31.5</v>
      </c>
      <c r="C70" s="266">
        <f t="shared" si="31"/>
        <v>88.25</v>
      </c>
      <c r="D70" s="267">
        <f t="shared" si="31"/>
        <v>0.8648499999999999</v>
      </c>
      <c r="E70" s="268">
        <f t="shared" si="31"/>
        <v>745.5</v>
      </c>
      <c r="F70" s="269">
        <f t="shared" si="31"/>
        <v>1.3908582089552239</v>
      </c>
      <c r="G70" s="220">
        <f t="shared" si="31"/>
        <v>0.86686046511627901</v>
      </c>
      <c r="H70" s="270">
        <f t="shared" si="31"/>
        <v>179.14999999999998</v>
      </c>
      <c r="I70" s="267">
        <f t="shared" si="31"/>
        <v>1.7556699999999998</v>
      </c>
      <c r="J70" s="271">
        <f t="shared" si="31"/>
        <v>2270</v>
      </c>
      <c r="K70" s="272">
        <f t="shared" si="31"/>
        <v>4.2350746268656714</v>
      </c>
      <c r="L70" s="227">
        <f t="shared" si="31"/>
        <v>2.63953488372093</v>
      </c>
    </row>
    <row r="71" spans="2:12" ht="12.5" x14ac:dyDescent="0.25">
      <c r="B71" s="274">
        <f>B69+1</f>
        <v>32</v>
      </c>
      <c r="C71" s="273">
        <v>82.6</v>
      </c>
      <c r="D71" s="267">
        <f>C71*0.0098</f>
        <v>0.80947999999999987</v>
      </c>
      <c r="E71" s="268">
        <v>726</v>
      </c>
      <c r="F71" s="269">
        <f>E71/536</f>
        <v>1.3544776119402986</v>
      </c>
      <c r="G71" s="220">
        <f>((E71/1000000)/0.86)*1000</f>
        <v>0.84418604651162787</v>
      </c>
      <c r="H71" s="270">
        <v>186.7</v>
      </c>
      <c r="I71" s="267">
        <f>H71*0.0098</f>
        <v>1.8296599999999998</v>
      </c>
      <c r="J71" s="271">
        <v>2250</v>
      </c>
      <c r="K71" s="272">
        <f>J71/536</f>
        <v>4.1977611940298507</v>
      </c>
      <c r="L71" s="227">
        <f>((J71/1000000)/0.86)*1000</f>
        <v>2.6162790697674416</v>
      </c>
    </row>
    <row r="72" spans="2:12" ht="12.5" x14ac:dyDescent="0.25">
      <c r="B72" s="265">
        <f t="shared" ref="B72:L72" si="32">(B71+B73)/2</f>
        <v>32.5</v>
      </c>
      <c r="C72" s="266">
        <f t="shared" si="32"/>
        <v>77.099999999999994</v>
      </c>
      <c r="D72" s="267">
        <f t="shared" si="32"/>
        <v>0.75557999999999992</v>
      </c>
      <c r="E72" s="268">
        <f t="shared" si="32"/>
        <v>707.5</v>
      </c>
      <c r="F72" s="269">
        <f t="shared" si="32"/>
        <v>1.3199626865671643</v>
      </c>
      <c r="G72" s="220">
        <f t="shared" si="32"/>
        <v>0.82267441860465118</v>
      </c>
      <c r="H72" s="270">
        <f t="shared" si="32"/>
        <v>195.6</v>
      </c>
      <c r="I72" s="267">
        <f t="shared" si="32"/>
        <v>1.9168799999999999</v>
      </c>
      <c r="J72" s="271">
        <f t="shared" si="32"/>
        <v>2235</v>
      </c>
      <c r="K72" s="272">
        <f t="shared" si="32"/>
        <v>4.169776119402985</v>
      </c>
      <c r="L72" s="227">
        <f t="shared" si="32"/>
        <v>2.5988372093023258</v>
      </c>
    </row>
    <row r="73" spans="2:12" ht="12.5" x14ac:dyDescent="0.25">
      <c r="B73" s="274">
        <f>B71+1</f>
        <v>33</v>
      </c>
      <c r="C73" s="273">
        <v>71.599999999999994</v>
      </c>
      <c r="D73" s="267">
        <f>C73*0.0098</f>
        <v>0.70167999999999997</v>
      </c>
      <c r="E73" s="268">
        <v>689</v>
      </c>
      <c r="F73" s="269">
        <f>E73/536</f>
        <v>1.2854477611940298</v>
      </c>
      <c r="G73" s="220">
        <f>((E73/1000000)/0.86)*1000</f>
        <v>0.80116279069767449</v>
      </c>
      <c r="H73" s="270">
        <v>204.5</v>
      </c>
      <c r="I73" s="267">
        <f>H73*0.0098</f>
        <v>2.0040999999999998</v>
      </c>
      <c r="J73" s="271">
        <v>2220</v>
      </c>
      <c r="K73" s="272">
        <f>J73/536</f>
        <v>4.1417910447761193</v>
      </c>
      <c r="L73" s="227">
        <f>((J73/1000000)/0.86)*1000</f>
        <v>2.5813953488372099</v>
      </c>
    </row>
    <row r="74" spans="2:12" ht="12.5" x14ac:dyDescent="0.25">
      <c r="B74" s="265">
        <f t="shared" ref="B74:L74" si="33">(B73+B75)/2</f>
        <v>33.5</v>
      </c>
      <c r="C74" s="266">
        <f t="shared" si="33"/>
        <v>65.8</v>
      </c>
      <c r="D74" s="267">
        <f t="shared" si="33"/>
        <v>0.64483999999999997</v>
      </c>
      <c r="E74" s="268">
        <f t="shared" si="33"/>
        <v>673.5</v>
      </c>
      <c r="F74" s="269">
        <f t="shared" si="33"/>
        <v>1.2565298507462686</v>
      </c>
      <c r="G74" s="220">
        <f t="shared" si="33"/>
        <v>0.7831395348837209</v>
      </c>
      <c r="H74" s="270">
        <f t="shared" si="33"/>
        <v>212.85</v>
      </c>
      <c r="I74" s="267">
        <f t="shared" si="33"/>
        <v>2.0859299999999998</v>
      </c>
      <c r="J74" s="271">
        <f t="shared" si="33"/>
        <v>2200</v>
      </c>
      <c r="K74" s="272">
        <f t="shared" si="33"/>
        <v>4.1044776119402986</v>
      </c>
      <c r="L74" s="227">
        <f t="shared" si="33"/>
        <v>2.558139534883721</v>
      </c>
    </row>
    <row r="75" spans="2:12" ht="12.5" x14ac:dyDescent="0.25">
      <c r="B75" s="274">
        <f>B73+1</f>
        <v>34</v>
      </c>
      <c r="C75" s="273">
        <v>60</v>
      </c>
      <c r="D75" s="267">
        <f>C75*0.0098</f>
        <v>0.58799999999999997</v>
      </c>
      <c r="E75" s="268">
        <v>658</v>
      </c>
      <c r="F75" s="269">
        <f>E75/536</f>
        <v>1.2276119402985075</v>
      </c>
      <c r="G75" s="220">
        <f>((E75/1000000)/0.86)*1000</f>
        <v>0.76511627906976742</v>
      </c>
      <c r="H75" s="270">
        <v>221.2</v>
      </c>
      <c r="I75" s="267">
        <f>H75*0.0098</f>
        <v>2.1677599999999999</v>
      </c>
      <c r="J75" s="271">
        <v>2180</v>
      </c>
      <c r="K75" s="272">
        <f>J75/536</f>
        <v>4.0671641791044779</v>
      </c>
      <c r="L75" s="227">
        <f>((J75/1000000)/0.86)*1000</f>
        <v>2.5348837209302326</v>
      </c>
    </row>
    <row r="76" spans="2:12" ht="12.5" x14ac:dyDescent="0.25">
      <c r="B76" s="265">
        <f t="shared" ref="B76:L76" si="34">(B75+B77)/2</f>
        <v>34.5</v>
      </c>
      <c r="C76" s="266">
        <f t="shared" si="34"/>
        <v>55</v>
      </c>
      <c r="D76" s="267">
        <f t="shared" si="34"/>
        <v>0.53899999999999992</v>
      </c>
      <c r="E76" s="268">
        <f t="shared" si="34"/>
        <v>645</v>
      </c>
      <c r="F76" s="269">
        <f t="shared" si="34"/>
        <v>1.2033582089552239</v>
      </c>
      <c r="G76" s="220">
        <f t="shared" si="34"/>
        <v>0.75</v>
      </c>
      <c r="H76" s="270">
        <f t="shared" si="34"/>
        <v>228.75</v>
      </c>
      <c r="I76" s="267">
        <f t="shared" si="34"/>
        <v>2.2417499999999997</v>
      </c>
      <c r="J76" s="271">
        <f t="shared" si="34"/>
        <v>2150</v>
      </c>
      <c r="K76" s="272">
        <f t="shared" si="34"/>
        <v>4.0111940298507465</v>
      </c>
      <c r="L76" s="227">
        <f t="shared" si="34"/>
        <v>2.5</v>
      </c>
    </row>
    <row r="77" spans="2:12" ht="12.5" x14ac:dyDescent="0.25">
      <c r="B77" s="274">
        <f>B75+1</f>
        <v>35</v>
      </c>
      <c r="C77" s="273">
        <v>50</v>
      </c>
      <c r="D77" s="267">
        <f>C77*0.0098</f>
        <v>0.49</v>
      </c>
      <c r="E77" s="268">
        <v>632</v>
      </c>
      <c r="F77" s="269">
        <f>E77/536</f>
        <v>1.1791044776119404</v>
      </c>
      <c r="G77" s="220">
        <f>((E77/1000000)/0.86)*1000</f>
        <v>0.73488372093023246</v>
      </c>
      <c r="H77" s="270">
        <v>236.3</v>
      </c>
      <c r="I77" s="267">
        <f>H77*0.0098</f>
        <v>2.3157399999999999</v>
      </c>
      <c r="J77" s="271">
        <v>2120</v>
      </c>
      <c r="K77" s="272">
        <f>J77/536</f>
        <v>3.955223880597015</v>
      </c>
      <c r="L77" s="227">
        <f>((J77/1000000)/0.86)*1000</f>
        <v>2.4651162790697674</v>
      </c>
    </row>
    <row r="78" spans="2:12" ht="12.5" x14ac:dyDescent="0.25">
      <c r="B78" s="265">
        <f t="shared" ref="B78:L78" si="35">(B77+B79)/2</f>
        <v>35.5</v>
      </c>
      <c r="C78" s="266">
        <f t="shared" si="35"/>
        <v>45</v>
      </c>
      <c r="D78" s="267">
        <f t="shared" si="35"/>
        <v>0.441</v>
      </c>
      <c r="E78" s="268">
        <f t="shared" si="35"/>
        <v>620.5</v>
      </c>
      <c r="F78" s="269">
        <f t="shared" si="35"/>
        <v>1.1576492537313432</v>
      </c>
      <c r="G78" s="220">
        <f t="shared" si="35"/>
        <v>0.72151162790697665</v>
      </c>
      <c r="H78" s="270">
        <f t="shared" si="35"/>
        <v>243.55</v>
      </c>
      <c r="I78" s="267">
        <f t="shared" si="35"/>
        <v>2.38679</v>
      </c>
      <c r="J78" s="271">
        <f t="shared" si="35"/>
        <v>2090</v>
      </c>
      <c r="K78" s="272">
        <f t="shared" si="35"/>
        <v>3.8992537313432836</v>
      </c>
      <c r="L78" s="227">
        <f t="shared" si="35"/>
        <v>2.4302325581395348</v>
      </c>
    </row>
    <row r="79" spans="2:12" ht="12.5" x14ac:dyDescent="0.25">
      <c r="B79" s="274">
        <f>B77+1</f>
        <v>36</v>
      </c>
      <c r="C79" s="273">
        <v>40</v>
      </c>
      <c r="D79" s="267">
        <f>C79*0.0098</f>
        <v>0.39200000000000002</v>
      </c>
      <c r="E79" s="268">
        <v>609</v>
      </c>
      <c r="F79" s="269">
        <f>E79/536</f>
        <v>1.1361940298507462</v>
      </c>
      <c r="G79" s="220">
        <f>((E79/1000000)/0.86)*1000</f>
        <v>0.70813953488372083</v>
      </c>
      <c r="H79" s="270">
        <v>250.8</v>
      </c>
      <c r="I79" s="267">
        <f>H79*0.0098</f>
        <v>2.45784</v>
      </c>
      <c r="J79" s="271">
        <v>2060</v>
      </c>
      <c r="K79" s="272">
        <f>J79/536</f>
        <v>3.8432835820895521</v>
      </c>
      <c r="L79" s="227">
        <f>((J79/1000000)/0.86)*1000</f>
        <v>2.3953488372093026</v>
      </c>
    </row>
    <row r="80" spans="2:12" ht="12.5" x14ac:dyDescent="0.25">
      <c r="B80" s="265">
        <f t="shared" ref="B80:L80" si="36">(B79+B81)/2</f>
        <v>36.5</v>
      </c>
      <c r="C80" s="266">
        <f t="shared" si="36"/>
        <v>35.6</v>
      </c>
      <c r="D80" s="267">
        <f t="shared" si="36"/>
        <v>0.34887999999999997</v>
      </c>
      <c r="E80" s="268">
        <f t="shared" si="36"/>
        <v>599.5</v>
      </c>
      <c r="F80" s="269">
        <f t="shared" si="36"/>
        <v>1.1184701492537314</v>
      </c>
      <c r="G80" s="220">
        <f t="shared" si="36"/>
        <v>0.6970930232558139</v>
      </c>
      <c r="H80" s="270">
        <f t="shared" si="36"/>
        <v>257.39999999999998</v>
      </c>
      <c r="I80" s="267">
        <f t="shared" si="36"/>
        <v>2.5225200000000001</v>
      </c>
      <c r="J80" s="271">
        <f t="shared" si="36"/>
        <v>2025</v>
      </c>
      <c r="K80" s="272">
        <f t="shared" si="36"/>
        <v>3.7779850746268657</v>
      </c>
      <c r="L80" s="227">
        <f t="shared" si="36"/>
        <v>2.3546511627906979</v>
      </c>
    </row>
    <row r="81" spans="2:12" ht="12.5" x14ac:dyDescent="0.25">
      <c r="B81" s="274">
        <f>B79+1</f>
        <v>37</v>
      </c>
      <c r="C81" s="273">
        <v>31.2</v>
      </c>
      <c r="D81" s="267">
        <f>C81*0.0098</f>
        <v>0.30575999999999998</v>
      </c>
      <c r="E81" s="268">
        <v>590</v>
      </c>
      <c r="F81" s="269">
        <f>E81/536</f>
        <v>1.1007462686567164</v>
      </c>
      <c r="G81" s="220">
        <f>((E81/1000000)/0.86)*1000</f>
        <v>0.68604651162790697</v>
      </c>
      <c r="H81" s="270">
        <v>264</v>
      </c>
      <c r="I81" s="267">
        <f>H81*0.0098</f>
        <v>2.5871999999999997</v>
      </c>
      <c r="J81" s="271">
        <v>1990</v>
      </c>
      <c r="K81" s="272">
        <f>J81/536</f>
        <v>3.7126865671641789</v>
      </c>
      <c r="L81" s="227">
        <f>((J81/1000000)/0.86)*1000</f>
        <v>2.3139534883720927</v>
      </c>
    </row>
    <row r="82" spans="2:12" ht="12.5" x14ac:dyDescent="0.25">
      <c r="B82" s="265">
        <f t="shared" ref="B82:L82" si="37">(B81+B83)/2</f>
        <v>37.5</v>
      </c>
      <c r="C82" s="266">
        <f t="shared" si="37"/>
        <v>27.45</v>
      </c>
      <c r="D82" s="267">
        <f t="shared" si="37"/>
        <v>0.26900999999999997</v>
      </c>
      <c r="E82" s="268">
        <f t="shared" si="37"/>
        <v>583</v>
      </c>
      <c r="F82" s="269">
        <f t="shared" si="37"/>
        <v>1.0876865671641791</v>
      </c>
      <c r="G82" s="220">
        <f t="shared" si="37"/>
        <v>0.6779069767441861</v>
      </c>
      <c r="H82" s="270">
        <f t="shared" si="37"/>
        <v>268.25</v>
      </c>
      <c r="I82" s="267">
        <f t="shared" si="37"/>
        <v>2.6288499999999999</v>
      </c>
      <c r="J82" s="271">
        <f t="shared" si="37"/>
        <v>1973.5</v>
      </c>
      <c r="K82" s="272">
        <f t="shared" si="37"/>
        <v>3.6819029850746268</v>
      </c>
      <c r="L82" s="227">
        <f t="shared" si="37"/>
        <v>2.2947674418604649</v>
      </c>
    </row>
    <row r="83" spans="2:12" ht="12.5" x14ac:dyDescent="0.25">
      <c r="B83" s="274">
        <f>B81+1</f>
        <v>38</v>
      </c>
      <c r="C83" s="273">
        <v>23.7</v>
      </c>
      <c r="D83" s="267">
        <f>C83*0.0098</f>
        <v>0.23225999999999999</v>
      </c>
      <c r="E83" s="268">
        <v>576</v>
      </c>
      <c r="F83" s="269">
        <f>E83/536</f>
        <v>1.0746268656716418</v>
      </c>
      <c r="G83" s="220">
        <f>((E83/1000000)/0.86)*1000</f>
        <v>0.66976744186046511</v>
      </c>
      <c r="H83" s="270">
        <v>272.5</v>
      </c>
      <c r="I83" s="267">
        <f>H83*0.0098</f>
        <v>2.6705000000000001</v>
      </c>
      <c r="J83" s="271">
        <v>1957</v>
      </c>
      <c r="K83" s="272">
        <f>J83/536</f>
        <v>3.6511194029850746</v>
      </c>
      <c r="L83" s="227">
        <f>((J83/1000000)/0.86)*1000</f>
        <v>2.2755813953488371</v>
      </c>
    </row>
    <row r="84" spans="2:12" ht="12.5" x14ac:dyDescent="0.25">
      <c r="B84" s="265">
        <f t="shared" ref="B84:L84" si="38">(B83+B85)/2</f>
        <v>38.5</v>
      </c>
      <c r="C84" s="266">
        <f t="shared" si="38"/>
        <v>20.7</v>
      </c>
      <c r="D84" s="267">
        <f t="shared" si="38"/>
        <v>0.20285999999999998</v>
      </c>
      <c r="E84" s="268">
        <f t="shared" si="38"/>
        <v>570.5</v>
      </c>
      <c r="F84" s="269">
        <f t="shared" si="38"/>
        <v>1.0643656716417911</v>
      </c>
      <c r="G84" s="220">
        <f t="shared" si="38"/>
        <v>0.66337209302325584</v>
      </c>
      <c r="H84" s="270">
        <f t="shared" si="38"/>
        <v>275</v>
      </c>
      <c r="I84" s="267">
        <f t="shared" si="38"/>
        <v>2.6950000000000003</v>
      </c>
      <c r="J84" s="271">
        <f t="shared" si="38"/>
        <v>1927.5</v>
      </c>
      <c r="K84" s="272">
        <f t="shared" si="38"/>
        <v>3.5960820895522385</v>
      </c>
      <c r="L84" s="227">
        <f t="shared" si="38"/>
        <v>2.2412790697674416</v>
      </c>
    </row>
    <row r="85" spans="2:12" ht="12.5" x14ac:dyDescent="0.25">
      <c r="B85" s="274">
        <f>B83+1</f>
        <v>39</v>
      </c>
      <c r="C85" s="273">
        <v>17.7</v>
      </c>
      <c r="D85" s="267">
        <f>C85*0.0098</f>
        <v>0.17345999999999998</v>
      </c>
      <c r="E85" s="268">
        <v>565</v>
      </c>
      <c r="F85" s="269">
        <f>E85/536</f>
        <v>1.0541044776119404</v>
      </c>
      <c r="G85" s="220">
        <f>((E85/1000000)/0.86)*1000</f>
        <v>0.65697674418604657</v>
      </c>
      <c r="H85" s="270">
        <v>277.5</v>
      </c>
      <c r="I85" s="267">
        <f>H85*0.0098</f>
        <v>2.7195</v>
      </c>
      <c r="J85" s="271">
        <v>1898</v>
      </c>
      <c r="K85" s="272">
        <f>J85/536</f>
        <v>3.5410447761194028</v>
      </c>
      <c r="L85" s="227">
        <f>((J85/1000000)/0.86)*1000</f>
        <v>2.2069767441860462</v>
      </c>
    </row>
    <row r="86" spans="2:12" ht="12.5" x14ac:dyDescent="0.25">
      <c r="B86" s="265">
        <f t="shared" ref="B86:L86" si="39">(B85+B87)/2</f>
        <v>39.5</v>
      </c>
      <c r="C86" s="266">
        <f t="shared" si="39"/>
        <v>15.25</v>
      </c>
      <c r="D86" s="267">
        <f t="shared" si="39"/>
        <v>0.14944999999999997</v>
      </c>
      <c r="E86" s="268">
        <f t="shared" si="39"/>
        <v>561.5</v>
      </c>
      <c r="F86" s="269">
        <f t="shared" si="39"/>
        <v>1.0475746268656718</v>
      </c>
      <c r="G86" s="220">
        <f t="shared" si="39"/>
        <v>0.65290697674418607</v>
      </c>
      <c r="H86" s="270">
        <f t="shared" si="39"/>
        <v>279.14999999999998</v>
      </c>
      <c r="I86" s="267">
        <f t="shared" si="39"/>
        <v>2.7356699999999998</v>
      </c>
      <c r="J86" s="271">
        <f t="shared" si="39"/>
        <v>1857</v>
      </c>
      <c r="K86" s="272">
        <f t="shared" si="39"/>
        <v>3.46455223880597</v>
      </c>
      <c r="L86" s="227">
        <f t="shared" si="39"/>
        <v>2.159302325581395</v>
      </c>
    </row>
    <row r="87" spans="2:12" ht="12.5" x14ac:dyDescent="0.25">
      <c r="B87" s="274">
        <f>B85+1</f>
        <v>40</v>
      </c>
      <c r="C87" s="273">
        <v>12.8</v>
      </c>
      <c r="D87" s="267">
        <f>C87*0.0098</f>
        <v>0.12544</v>
      </c>
      <c r="E87" s="268">
        <v>558</v>
      </c>
      <c r="F87" s="269">
        <f>E87/536</f>
        <v>1.041044776119403</v>
      </c>
      <c r="G87" s="220">
        <f>((E87/1000000)/0.86)*1000</f>
        <v>0.64883720930232558</v>
      </c>
      <c r="H87" s="270">
        <v>280.8</v>
      </c>
      <c r="I87" s="267">
        <f>H87*0.0098</f>
        <v>2.7518400000000001</v>
      </c>
      <c r="J87" s="271">
        <v>1816</v>
      </c>
      <c r="K87" s="272">
        <f>J87/536</f>
        <v>3.3880597014925371</v>
      </c>
      <c r="L87" s="227">
        <f>((J87/1000000)/0.86)*1000</f>
        <v>2.1116279069767443</v>
      </c>
    </row>
    <row r="88" spans="2:12" ht="12.5" x14ac:dyDescent="0.25">
      <c r="B88" s="265">
        <f t="shared" ref="B88:L88" si="40">(B87+B89)/2</f>
        <v>40.5</v>
      </c>
      <c r="C88" s="266">
        <f t="shared" si="40"/>
        <v>10.9</v>
      </c>
      <c r="D88" s="267">
        <f t="shared" si="40"/>
        <v>0.10682</v>
      </c>
      <c r="E88" s="268">
        <f t="shared" si="40"/>
        <v>555</v>
      </c>
      <c r="F88" s="269">
        <f t="shared" si="40"/>
        <v>1.03544776119403</v>
      </c>
      <c r="G88" s="220">
        <f t="shared" si="40"/>
        <v>0.64534883720930236</v>
      </c>
      <c r="H88" s="270">
        <f t="shared" si="40"/>
        <v>281.89999999999998</v>
      </c>
      <c r="I88" s="267">
        <f t="shared" si="40"/>
        <v>2.7626200000000001</v>
      </c>
      <c r="J88" s="271">
        <f t="shared" si="40"/>
        <v>1782.5</v>
      </c>
      <c r="K88" s="272">
        <f t="shared" si="40"/>
        <v>3.3255597014925371</v>
      </c>
      <c r="L88" s="227">
        <f t="shared" si="40"/>
        <v>2.0726744186046515</v>
      </c>
    </row>
    <row r="89" spans="2:12" ht="12.5" x14ac:dyDescent="0.25">
      <c r="B89" s="274">
        <f>B87+1</f>
        <v>41</v>
      </c>
      <c r="C89" s="273">
        <v>9</v>
      </c>
      <c r="D89" s="267">
        <f>C89*0.0098</f>
        <v>8.8200000000000001E-2</v>
      </c>
      <c r="E89" s="268">
        <v>552</v>
      </c>
      <c r="F89" s="269">
        <f>E89/536</f>
        <v>1.0298507462686568</v>
      </c>
      <c r="G89" s="220">
        <f>((E89/1000000)/0.86)*1000</f>
        <v>0.64186046511627903</v>
      </c>
      <c r="H89" s="270">
        <v>283</v>
      </c>
      <c r="I89" s="267">
        <f>H89*0.0098</f>
        <v>2.7734000000000001</v>
      </c>
      <c r="J89" s="271">
        <v>1749</v>
      </c>
      <c r="K89" s="272">
        <f>J89/536</f>
        <v>3.2630597014925371</v>
      </c>
      <c r="L89" s="227">
        <f>((J89/1000000)/0.86)*1000</f>
        <v>2.0337209302325583</v>
      </c>
    </row>
    <row r="90" spans="2:12" ht="12.5" x14ac:dyDescent="0.25">
      <c r="B90" s="265">
        <f t="shared" ref="B90:L90" si="41">(B89+B91)/2</f>
        <v>41.5</v>
      </c>
      <c r="C90" s="266">
        <f t="shared" si="41"/>
        <v>7.75</v>
      </c>
      <c r="D90" s="267">
        <f t="shared" si="41"/>
        <v>7.594999999999999E-2</v>
      </c>
      <c r="E90" s="268">
        <f t="shared" si="41"/>
        <v>550</v>
      </c>
      <c r="F90" s="269">
        <f t="shared" si="41"/>
        <v>1.0261194029850746</v>
      </c>
      <c r="G90" s="220">
        <f t="shared" si="41"/>
        <v>0.63953488372093026</v>
      </c>
      <c r="H90" s="270">
        <f t="shared" si="41"/>
        <v>281.35000000000002</v>
      </c>
      <c r="I90" s="267">
        <f t="shared" si="41"/>
        <v>2.7572299999999998</v>
      </c>
      <c r="J90" s="271">
        <f t="shared" si="41"/>
        <v>1715.5</v>
      </c>
      <c r="K90" s="272">
        <f t="shared" si="41"/>
        <v>3.2005597014925371</v>
      </c>
      <c r="L90" s="227">
        <f t="shared" si="41"/>
        <v>1.9947674418604651</v>
      </c>
    </row>
    <row r="91" spans="2:12" ht="12.5" x14ac:dyDescent="0.25">
      <c r="B91" s="274">
        <f>B89+1</f>
        <v>42</v>
      </c>
      <c r="C91" s="273">
        <v>6.5</v>
      </c>
      <c r="D91" s="267">
        <f>C91*0.0098</f>
        <v>6.3699999999999993E-2</v>
      </c>
      <c r="E91" s="268">
        <v>548</v>
      </c>
      <c r="F91" s="269">
        <f>E91/536</f>
        <v>1.0223880597014925</v>
      </c>
      <c r="G91" s="220">
        <f>((E91/1000000)/0.86)*1000</f>
        <v>0.63720930232558137</v>
      </c>
      <c r="H91" s="270">
        <v>279.7</v>
      </c>
      <c r="I91" s="267">
        <f>H91*0.0098</f>
        <v>2.7410599999999996</v>
      </c>
      <c r="J91" s="271">
        <v>1682</v>
      </c>
      <c r="K91" s="272">
        <f>J91/536</f>
        <v>3.1380597014925371</v>
      </c>
      <c r="L91" s="227">
        <f>((J91/1000000)/0.86)*1000</f>
        <v>1.9558139534883718</v>
      </c>
    </row>
    <row r="92" spans="2:12" ht="12.5" x14ac:dyDescent="0.25">
      <c r="B92" s="265">
        <f t="shared" ref="B92:L92" si="42">(B91+B93)/2</f>
        <v>42.5</v>
      </c>
      <c r="C92" s="266">
        <f t="shared" si="42"/>
        <v>5.6</v>
      </c>
      <c r="D92" s="267">
        <f t="shared" si="42"/>
        <v>5.4879999999999998E-2</v>
      </c>
      <c r="E92" s="268">
        <f t="shared" si="42"/>
        <v>547</v>
      </c>
      <c r="F92" s="269">
        <f t="shared" si="42"/>
        <v>1.0205223880597014</v>
      </c>
      <c r="G92" s="220">
        <f t="shared" si="42"/>
        <v>0.63604651162790704</v>
      </c>
      <c r="H92" s="270">
        <f t="shared" si="42"/>
        <v>277.54999999999995</v>
      </c>
      <c r="I92" s="267">
        <f t="shared" si="42"/>
        <v>2.7199899999999997</v>
      </c>
      <c r="J92" s="271">
        <f t="shared" si="42"/>
        <v>1643</v>
      </c>
      <c r="K92" s="272">
        <f t="shared" si="42"/>
        <v>3.0652985074626864</v>
      </c>
      <c r="L92" s="227">
        <f t="shared" si="42"/>
        <v>1.9104651162790698</v>
      </c>
    </row>
    <row r="93" spans="2:12" ht="12.5" x14ac:dyDescent="0.25">
      <c r="B93" s="274">
        <f>B91+1</f>
        <v>43</v>
      </c>
      <c r="C93" s="273">
        <v>4.7</v>
      </c>
      <c r="D93" s="267">
        <f>C93*0.0098</f>
        <v>4.6060000000000004E-2</v>
      </c>
      <c r="E93" s="268">
        <v>546</v>
      </c>
      <c r="F93" s="269">
        <f>E93/536</f>
        <v>1.0186567164179106</v>
      </c>
      <c r="G93" s="220">
        <f>((E93/1000000)/0.86)*1000</f>
        <v>0.6348837209302326</v>
      </c>
      <c r="H93" s="270">
        <v>275.39999999999998</v>
      </c>
      <c r="I93" s="267">
        <f>H93*0.0098</f>
        <v>2.6989199999999998</v>
      </c>
      <c r="J93" s="271">
        <v>1604</v>
      </c>
      <c r="K93" s="272">
        <f>J93/536</f>
        <v>2.9925373134328357</v>
      </c>
      <c r="L93" s="227">
        <f>((J93/1000000)/0.86)*1000</f>
        <v>1.8651162790697675</v>
      </c>
    </row>
    <row r="94" spans="2:12" ht="12.5" x14ac:dyDescent="0.25">
      <c r="B94" s="265">
        <f t="shared" ref="B94:L94" si="43">(B93+B95)/2</f>
        <v>43.5</v>
      </c>
      <c r="C94" s="266">
        <f t="shared" si="43"/>
        <v>4.0999999999999996</v>
      </c>
      <c r="D94" s="267">
        <f t="shared" si="43"/>
        <v>4.018E-2</v>
      </c>
      <c r="E94" s="268">
        <f t="shared" si="43"/>
        <v>545</v>
      </c>
      <c r="F94" s="269">
        <f t="shared" si="43"/>
        <v>1.0167910447761195</v>
      </c>
      <c r="G94" s="220">
        <f t="shared" si="43"/>
        <v>0.63372093023255816</v>
      </c>
      <c r="H94" s="270">
        <f t="shared" si="43"/>
        <v>272.29999999999995</v>
      </c>
      <c r="I94" s="267">
        <f t="shared" si="43"/>
        <v>2.6685399999999997</v>
      </c>
      <c r="J94" s="271">
        <f t="shared" si="43"/>
        <v>1562</v>
      </c>
      <c r="K94" s="272">
        <f t="shared" si="43"/>
        <v>2.9141791044776122</v>
      </c>
      <c r="L94" s="227">
        <f t="shared" si="43"/>
        <v>1.816279069767442</v>
      </c>
    </row>
    <row r="95" spans="2:12" ht="12.5" x14ac:dyDescent="0.25">
      <c r="B95" s="274">
        <f>B93+1</f>
        <v>44</v>
      </c>
      <c r="C95" s="266">
        <v>3.5</v>
      </c>
      <c r="D95" s="267">
        <f>C95*0.0098</f>
        <v>3.4299999999999997E-2</v>
      </c>
      <c r="E95" s="268">
        <v>544</v>
      </c>
      <c r="F95" s="269">
        <f>E95/536</f>
        <v>1.0149253731343284</v>
      </c>
      <c r="G95" s="220">
        <f>((E95/1000000)/0.86)*1000</f>
        <v>0.63255813953488371</v>
      </c>
      <c r="H95" s="270">
        <v>269.2</v>
      </c>
      <c r="I95" s="267">
        <f>H95*0.0098</f>
        <v>2.6381599999999996</v>
      </c>
      <c r="J95" s="271">
        <v>1520</v>
      </c>
      <c r="K95" s="272">
        <f>J95/536</f>
        <v>2.8358208955223883</v>
      </c>
      <c r="L95" s="227">
        <f>((J95/1000000)/0.86)*1000</f>
        <v>1.7674418604651165</v>
      </c>
    </row>
    <row r="96" spans="2:12" ht="12.5" x14ac:dyDescent="0.25">
      <c r="B96" s="265">
        <f t="shared" ref="B96:L96" si="44">(B95+B97)/2</f>
        <v>44.5</v>
      </c>
      <c r="C96" s="266">
        <f t="shared" si="44"/>
        <v>3.05</v>
      </c>
      <c r="D96" s="267">
        <f t="shared" si="44"/>
        <v>2.989E-2</v>
      </c>
      <c r="E96" s="268">
        <f t="shared" si="44"/>
        <v>543.5</v>
      </c>
      <c r="F96" s="269">
        <f t="shared" si="44"/>
        <v>1.0139925373134329</v>
      </c>
      <c r="G96" s="220">
        <f t="shared" si="44"/>
        <v>0.63197674418604644</v>
      </c>
      <c r="H96" s="270">
        <f t="shared" si="44"/>
        <v>265.14999999999998</v>
      </c>
      <c r="I96" s="267">
        <f t="shared" si="44"/>
        <v>2.5984699999999998</v>
      </c>
      <c r="J96" s="271">
        <f t="shared" si="44"/>
        <v>1481</v>
      </c>
      <c r="K96" s="272">
        <f t="shared" si="44"/>
        <v>2.7630597014925371</v>
      </c>
      <c r="L96" s="227">
        <f t="shared" si="44"/>
        <v>1.722093023255814</v>
      </c>
    </row>
    <row r="97" spans="2:12" ht="12.5" x14ac:dyDescent="0.25">
      <c r="B97" s="274">
        <f>B95+1</f>
        <v>45</v>
      </c>
      <c r="C97" s="266">
        <v>2.6</v>
      </c>
      <c r="D97" s="267">
        <f>C97*0.0098</f>
        <v>2.5479999999999999E-2</v>
      </c>
      <c r="E97" s="268">
        <v>543</v>
      </c>
      <c r="F97" s="269">
        <f>E97/536</f>
        <v>1.0130597014925373</v>
      </c>
      <c r="G97" s="220">
        <f>((E97/1000000)/0.86)*1000</f>
        <v>0.63139534883720927</v>
      </c>
      <c r="H97" s="270">
        <v>261.10000000000002</v>
      </c>
      <c r="I97" s="267">
        <f>H97*0.0098</f>
        <v>2.5587800000000001</v>
      </c>
      <c r="J97" s="271">
        <v>1442</v>
      </c>
      <c r="K97" s="272">
        <f>J97/536</f>
        <v>2.6902985074626864</v>
      </c>
      <c r="L97" s="227">
        <f>((J97/1000000)/0.86)*1000</f>
        <v>1.6767441860465115</v>
      </c>
    </row>
    <row r="98" spans="2:12" ht="12.5" x14ac:dyDescent="0.25">
      <c r="B98" s="265">
        <f t="shared" ref="B98:L98" si="45">(B97+B99)/2</f>
        <v>45.5</v>
      </c>
      <c r="C98" s="266">
        <f t="shared" si="45"/>
        <v>2.2999999999999998</v>
      </c>
      <c r="D98" s="267">
        <f t="shared" si="45"/>
        <v>2.2539999999999998E-2</v>
      </c>
      <c r="E98" s="268">
        <f t="shared" si="45"/>
        <v>542.5</v>
      </c>
      <c r="F98" s="269">
        <f t="shared" si="45"/>
        <v>1.0121268656716418</v>
      </c>
      <c r="G98" s="220">
        <f t="shared" si="45"/>
        <v>0.6308139534883721</v>
      </c>
      <c r="H98" s="270">
        <f t="shared" si="45"/>
        <v>256.20000000000005</v>
      </c>
      <c r="I98" s="267">
        <f t="shared" si="45"/>
        <v>2.5107600000000003</v>
      </c>
      <c r="J98" s="271">
        <f t="shared" si="45"/>
        <v>1406</v>
      </c>
      <c r="K98" s="272">
        <f t="shared" si="45"/>
        <v>2.6231343283582089</v>
      </c>
      <c r="L98" s="227">
        <f t="shared" si="45"/>
        <v>1.6348837209302325</v>
      </c>
    </row>
    <row r="99" spans="2:12" ht="12.5" x14ac:dyDescent="0.25">
      <c r="B99" s="274">
        <f>B97+1</f>
        <v>46</v>
      </c>
      <c r="C99" s="266">
        <v>2</v>
      </c>
      <c r="D99" s="267">
        <f>C99*0.0098</f>
        <v>1.9599999999999999E-2</v>
      </c>
      <c r="E99" s="268">
        <v>542</v>
      </c>
      <c r="F99" s="269">
        <f>E99/536</f>
        <v>1.0111940298507462</v>
      </c>
      <c r="G99" s="220">
        <f>((E99/1000000)/0.86)*1000</f>
        <v>0.63023255813953483</v>
      </c>
      <c r="H99" s="270">
        <v>251.3</v>
      </c>
      <c r="I99" s="267">
        <f>H99*0.0098</f>
        <v>2.4627400000000002</v>
      </c>
      <c r="J99" s="271">
        <v>1370</v>
      </c>
      <c r="K99" s="272">
        <f>J99/536</f>
        <v>2.5559701492537314</v>
      </c>
      <c r="L99" s="227">
        <f>((J99/1000000)/0.86)*1000</f>
        <v>1.5930232558139534</v>
      </c>
    </row>
    <row r="100" spans="2:12" ht="12.5" x14ac:dyDescent="0.25">
      <c r="B100" s="265">
        <f t="shared" ref="B100:L100" si="46">(B99+B101)/2</f>
        <v>46.5</v>
      </c>
      <c r="C100" s="266">
        <f t="shared" si="46"/>
        <v>1.8</v>
      </c>
      <c r="D100" s="267">
        <f t="shared" si="46"/>
        <v>1.7639999999999999E-2</v>
      </c>
      <c r="E100" s="268">
        <f t="shared" si="46"/>
        <v>541.5</v>
      </c>
      <c r="F100" s="269">
        <f t="shared" si="46"/>
        <v>1.0102611940298507</v>
      </c>
      <c r="G100" s="220">
        <f t="shared" si="46"/>
        <v>0.62965116279069766</v>
      </c>
      <c r="H100" s="270">
        <f t="shared" si="46"/>
        <v>245.55</v>
      </c>
      <c r="I100" s="267">
        <f t="shared" si="46"/>
        <v>2.40639</v>
      </c>
      <c r="J100" s="271">
        <f t="shared" si="46"/>
        <v>1337.5</v>
      </c>
      <c r="K100" s="272">
        <f t="shared" si="46"/>
        <v>2.4953358208955225</v>
      </c>
      <c r="L100" s="227">
        <f t="shared" si="46"/>
        <v>1.5552325581395348</v>
      </c>
    </row>
    <row r="101" spans="2:12" ht="12.5" x14ac:dyDescent="0.25">
      <c r="B101" s="274">
        <f>B99+1</f>
        <v>47</v>
      </c>
      <c r="C101" s="266">
        <v>1.6</v>
      </c>
      <c r="D101" s="267">
        <f>C101*0.0098</f>
        <v>1.5679999999999999E-2</v>
      </c>
      <c r="E101" s="268">
        <v>541</v>
      </c>
      <c r="F101" s="269">
        <f>E101/536</f>
        <v>1.0093283582089552</v>
      </c>
      <c r="G101" s="220">
        <f>((E101/1000000)/0.86)*1000</f>
        <v>0.62906976744186049</v>
      </c>
      <c r="H101" s="270">
        <v>239.8</v>
      </c>
      <c r="I101" s="267">
        <f>H101*0.0098</f>
        <v>2.3500399999999999</v>
      </c>
      <c r="J101" s="271">
        <v>1305</v>
      </c>
      <c r="K101" s="272">
        <f>J101/536</f>
        <v>2.4347014925373136</v>
      </c>
      <c r="L101" s="227">
        <f>((J101/1000000)/0.86)*1000</f>
        <v>1.5174418604651163</v>
      </c>
    </row>
    <row r="102" spans="2:12" ht="12.5" x14ac:dyDescent="0.25">
      <c r="B102" s="265">
        <f t="shared" ref="B102:L102" si="47">(B101+B103)/2</f>
        <v>47.5</v>
      </c>
      <c r="C102" s="266">
        <f t="shared" si="47"/>
        <v>1.4500000000000002</v>
      </c>
      <c r="D102" s="267">
        <f t="shared" si="47"/>
        <v>1.421E-2</v>
      </c>
      <c r="E102" s="268">
        <f t="shared" si="47"/>
        <v>540.5</v>
      </c>
      <c r="F102" s="269">
        <f t="shared" si="47"/>
        <v>1.0083955223880596</v>
      </c>
      <c r="G102" s="220">
        <f t="shared" si="47"/>
        <v>0.62848837209302322</v>
      </c>
      <c r="H102" s="270">
        <f t="shared" si="47"/>
        <v>233.10000000000002</v>
      </c>
      <c r="I102" s="267">
        <f t="shared" si="47"/>
        <v>2.2843799999999996</v>
      </c>
      <c r="J102" s="271">
        <f t="shared" si="47"/>
        <v>1273.5</v>
      </c>
      <c r="K102" s="272">
        <f t="shared" si="47"/>
        <v>2.3759328358208958</v>
      </c>
      <c r="L102" s="227">
        <f t="shared" si="47"/>
        <v>1.4808139534883722</v>
      </c>
    </row>
    <row r="103" spans="2:12" ht="12.5" x14ac:dyDescent="0.25">
      <c r="B103" s="274">
        <f>B101+1</f>
        <v>48</v>
      </c>
      <c r="C103" s="266">
        <v>1.3</v>
      </c>
      <c r="D103" s="267">
        <f>C103*0.0098</f>
        <v>1.274E-2</v>
      </c>
      <c r="E103" s="268">
        <v>540</v>
      </c>
      <c r="F103" s="269">
        <f>E103/536</f>
        <v>1.0074626865671641</v>
      </c>
      <c r="G103" s="220">
        <f>((E103/1000000)/0.86)*1000</f>
        <v>0.62790697674418605</v>
      </c>
      <c r="H103" s="270">
        <v>226.4</v>
      </c>
      <c r="I103" s="267">
        <f>H103*0.0098</f>
        <v>2.2187199999999998</v>
      </c>
      <c r="J103" s="271">
        <v>1242</v>
      </c>
      <c r="K103" s="272">
        <f>J103/536</f>
        <v>2.3171641791044775</v>
      </c>
      <c r="L103" s="227">
        <f>((J103/1000000)/0.86)*1000</f>
        <v>1.4441860465116281</v>
      </c>
    </row>
    <row r="104" spans="2:12" ht="12.5" x14ac:dyDescent="0.25">
      <c r="B104" s="265">
        <f t="shared" ref="B104:L104" si="48">(B103+B105)/2</f>
        <v>48.5</v>
      </c>
      <c r="C104" s="266">
        <f t="shared" si="48"/>
        <v>1.1499999999999999</v>
      </c>
      <c r="D104" s="267">
        <f t="shared" si="48"/>
        <v>1.1269999999999999E-2</v>
      </c>
      <c r="E104" s="268">
        <f t="shared" si="48"/>
        <v>540</v>
      </c>
      <c r="F104" s="269">
        <f t="shared" si="48"/>
        <v>1.0074626865671641</v>
      </c>
      <c r="G104" s="220">
        <f t="shared" si="48"/>
        <v>0.62790697674418605</v>
      </c>
      <c r="H104" s="270">
        <f t="shared" si="48"/>
        <v>219.05</v>
      </c>
      <c r="I104" s="267">
        <f t="shared" si="48"/>
        <v>2.1466899999999995</v>
      </c>
      <c r="J104" s="271">
        <f t="shared" si="48"/>
        <v>1207</v>
      </c>
      <c r="K104" s="272">
        <f t="shared" si="48"/>
        <v>2.2518656716417911</v>
      </c>
      <c r="L104" s="227">
        <f t="shared" si="48"/>
        <v>1.4034883720930234</v>
      </c>
    </row>
    <row r="105" spans="2:12" ht="12.5" x14ac:dyDescent="0.25">
      <c r="B105" s="274">
        <f>B103+1</f>
        <v>49</v>
      </c>
      <c r="C105" s="266">
        <v>1</v>
      </c>
      <c r="D105" s="267">
        <f>C105*0.0098</f>
        <v>9.7999999999999997E-3</v>
      </c>
      <c r="E105" s="268">
        <v>540</v>
      </c>
      <c r="F105" s="269">
        <f>E105/536</f>
        <v>1.0074626865671641</v>
      </c>
      <c r="G105" s="220">
        <f>((E105/1000000)/0.86)*1000</f>
        <v>0.62790697674418605</v>
      </c>
      <c r="H105" s="270">
        <v>211.7</v>
      </c>
      <c r="I105" s="267">
        <f>H105*0.0098</f>
        <v>2.0746599999999997</v>
      </c>
      <c r="J105" s="271">
        <v>1172</v>
      </c>
      <c r="K105" s="272">
        <f>J105/536</f>
        <v>2.1865671641791047</v>
      </c>
      <c r="L105" s="227">
        <f>((J105/1000000)/0.86)*1000</f>
        <v>1.3627906976744186</v>
      </c>
    </row>
    <row r="106" spans="2:12" ht="12.5" x14ac:dyDescent="0.25">
      <c r="B106" s="265">
        <f t="shared" ref="B106:L106" si="49">(B105+B107)/2</f>
        <v>49.5</v>
      </c>
      <c r="C106" s="266">
        <f t="shared" si="49"/>
        <v>0.9</v>
      </c>
      <c r="D106" s="267">
        <f t="shared" si="49"/>
        <v>8.8199999999999997E-3</v>
      </c>
      <c r="E106" s="268">
        <f t="shared" si="49"/>
        <v>540</v>
      </c>
      <c r="F106" s="269">
        <f t="shared" si="49"/>
        <v>1.0074626865671641</v>
      </c>
      <c r="G106" s="220">
        <f t="shared" si="49"/>
        <v>0.62790697674418605</v>
      </c>
      <c r="H106" s="270">
        <f t="shared" si="49"/>
        <v>203.85</v>
      </c>
      <c r="I106" s="267">
        <f t="shared" si="49"/>
        <v>1.9977299999999998</v>
      </c>
      <c r="J106" s="271">
        <f t="shared" si="49"/>
        <v>1139</v>
      </c>
      <c r="K106" s="272">
        <f t="shared" si="49"/>
        <v>2.125</v>
      </c>
      <c r="L106" s="227">
        <f t="shared" si="49"/>
        <v>1.3244186046511628</v>
      </c>
    </row>
    <row r="107" spans="2:12" ht="12.5" x14ac:dyDescent="0.25">
      <c r="B107" s="274">
        <f>B105+1</f>
        <v>50</v>
      </c>
      <c r="C107" s="266">
        <v>0.8</v>
      </c>
      <c r="D107" s="267">
        <f>C107*0.0098</f>
        <v>7.8399999999999997E-3</v>
      </c>
      <c r="E107" s="268">
        <v>540</v>
      </c>
      <c r="F107" s="269">
        <f>E107/536</f>
        <v>1.0074626865671641</v>
      </c>
      <c r="G107" s="220">
        <f>((E107/1000000)/0.86)*1000</f>
        <v>0.62790697674418605</v>
      </c>
      <c r="H107" s="270">
        <v>196</v>
      </c>
      <c r="I107" s="267">
        <f>H107*0.0098</f>
        <v>1.9207999999999998</v>
      </c>
      <c r="J107" s="271">
        <v>1106</v>
      </c>
      <c r="K107" s="272">
        <f>J107/536</f>
        <v>2.0634328358208953</v>
      </c>
      <c r="L107" s="227">
        <f>((J107/1000000)/0.86)*1000</f>
        <v>1.286046511627907</v>
      </c>
    </row>
    <row r="108" spans="2:12" ht="12.5" x14ac:dyDescent="0.25">
      <c r="B108" s="265">
        <f t="shared" ref="B108:L108" si="50">(B107+B109)/2</f>
        <v>50.5</v>
      </c>
      <c r="C108" s="266">
        <f t="shared" si="50"/>
        <v>0.7</v>
      </c>
      <c r="D108" s="267">
        <f t="shared" si="50"/>
        <v>6.8599999999999998E-3</v>
      </c>
      <c r="E108" s="268">
        <f t="shared" si="50"/>
        <v>539.5</v>
      </c>
      <c r="F108" s="269">
        <f t="shared" si="50"/>
        <v>1.0065298507462686</v>
      </c>
      <c r="G108" s="220">
        <f t="shared" si="50"/>
        <v>0.62732558139534889</v>
      </c>
      <c r="H108" s="270">
        <f t="shared" si="50"/>
        <v>190.4</v>
      </c>
      <c r="I108" s="267">
        <f t="shared" si="50"/>
        <v>1.86592</v>
      </c>
      <c r="J108" s="271">
        <f t="shared" si="50"/>
        <v>1081</v>
      </c>
      <c r="K108" s="272">
        <f t="shared" si="50"/>
        <v>2.0167910447761193</v>
      </c>
      <c r="L108" s="227">
        <f t="shared" si="50"/>
        <v>1.2569767441860464</v>
      </c>
    </row>
    <row r="109" spans="2:12" ht="12.5" x14ac:dyDescent="0.25">
      <c r="B109" s="274">
        <f>B107+1</f>
        <v>51</v>
      </c>
      <c r="C109" s="266">
        <v>0.6</v>
      </c>
      <c r="D109" s="267">
        <f>C109*0.0098</f>
        <v>5.8799999999999998E-3</v>
      </c>
      <c r="E109" s="268">
        <v>539</v>
      </c>
      <c r="F109" s="269">
        <f>E109/536</f>
        <v>1.0055970149253732</v>
      </c>
      <c r="G109" s="220">
        <f>((E109/1000000)/0.86)*1000</f>
        <v>0.62674418604651161</v>
      </c>
      <c r="H109" s="270">
        <v>184.8</v>
      </c>
      <c r="I109" s="267">
        <f>H109*0.0098</f>
        <v>1.81104</v>
      </c>
      <c r="J109" s="271">
        <v>1056</v>
      </c>
      <c r="K109" s="272">
        <f>J109/536</f>
        <v>1.9701492537313432</v>
      </c>
      <c r="L109" s="227">
        <f>((J109/1000000)/0.86)*1000</f>
        <v>1.2279069767441861</v>
      </c>
    </row>
    <row r="110" spans="2:12" ht="12.5" x14ac:dyDescent="0.25">
      <c r="B110" s="265">
        <f t="shared" ref="B110:L110" si="51">(B109+B111)/2</f>
        <v>51.5</v>
      </c>
      <c r="C110" s="266">
        <f t="shared" si="51"/>
        <v>0.6</v>
      </c>
      <c r="D110" s="267">
        <f t="shared" si="51"/>
        <v>5.8799999999999998E-3</v>
      </c>
      <c r="E110" s="268">
        <f t="shared" si="51"/>
        <v>539</v>
      </c>
      <c r="F110" s="269">
        <f t="shared" si="51"/>
        <v>1.0055970149253732</v>
      </c>
      <c r="G110" s="220">
        <f t="shared" si="51"/>
        <v>0.62674418604651161</v>
      </c>
      <c r="H110" s="270">
        <f t="shared" si="51"/>
        <v>176.10000000000002</v>
      </c>
      <c r="I110" s="267">
        <f t="shared" si="51"/>
        <v>1.7257799999999999</v>
      </c>
      <c r="J110" s="271">
        <f t="shared" si="51"/>
        <v>1023</v>
      </c>
      <c r="K110" s="272">
        <f t="shared" si="51"/>
        <v>1.9085820895522387</v>
      </c>
      <c r="L110" s="227">
        <f t="shared" si="51"/>
        <v>1.1895348837209303</v>
      </c>
    </row>
    <row r="111" spans="2:12" ht="12.5" x14ac:dyDescent="0.25">
      <c r="B111" s="274">
        <f>B109+1</f>
        <v>52</v>
      </c>
      <c r="C111" s="266">
        <v>0.6</v>
      </c>
      <c r="D111" s="267">
        <f>C111*0.0098</f>
        <v>5.8799999999999998E-3</v>
      </c>
      <c r="E111" s="268">
        <v>539</v>
      </c>
      <c r="F111" s="269">
        <f>E111/536</f>
        <v>1.0055970149253732</v>
      </c>
      <c r="G111" s="220">
        <f>((E111/1000000)/0.86)*1000</f>
        <v>0.62674418604651161</v>
      </c>
      <c r="H111" s="270">
        <v>167.4</v>
      </c>
      <c r="I111" s="267">
        <f>H111*0.0098</f>
        <v>1.64052</v>
      </c>
      <c r="J111" s="271">
        <v>990</v>
      </c>
      <c r="K111" s="272">
        <f>J111/536</f>
        <v>1.8470149253731343</v>
      </c>
      <c r="L111" s="227">
        <f>((J111/1000000)/0.86)*1000</f>
        <v>1.1511627906976745</v>
      </c>
    </row>
    <row r="112" spans="2:12" ht="12.5" x14ac:dyDescent="0.25">
      <c r="B112" s="265">
        <f t="shared" ref="B112:L112" si="52">(B111+B113)/2</f>
        <v>52.5</v>
      </c>
      <c r="C112" s="266">
        <f t="shared" si="52"/>
        <v>0.55000000000000004</v>
      </c>
      <c r="D112" s="267">
        <f t="shared" si="52"/>
        <v>5.3899999999999998E-3</v>
      </c>
      <c r="E112" s="268">
        <f t="shared" si="52"/>
        <v>538.5</v>
      </c>
      <c r="F112" s="269">
        <f t="shared" si="52"/>
        <v>1.0046641791044777</v>
      </c>
      <c r="G112" s="220">
        <f t="shared" si="52"/>
        <v>0.62616279069767433</v>
      </c>
      <c r="H112" s="270">
        <f t="shared" si="52"/>
        <v>160.4</v>
      </c>
      <c r="I112" s="267">
        <f t="shared" si="52"/>
        <v>1.57192</v>
      </c>
      <c r="J112" s="271">
        <f t="shared" si="52"/>
        <v>958.5</v>
      </c>
      <c r="K112" s="272">
        <f t="shared" si="52"/>
        <v>1.7882462686567164</v>
      </c>
      <c r="L112" s="227">
        <f t="shared" si="52"/>
        <v>1.1145348837209301</v>
      </c>
    </row>
    <row r="113" spans="2:12" ht="12.5" x14ac:dyDescent="0.25">
      <c r="B113" s="274">
        <f>B111+1</f>
        <v>53</v>
      </c>
      <c r="C113" s="266">
        <v>0.5</v>
      </c>
      <c r="D113" s="267">
        <f>C113*0.0098</f>
        <v>4.8999999999999998E-3</v>
      </c>
      <c r="E113" s="268">
        <v>538</v>
      </c>
      <c r="F113" s="269">
        <f>E113/536</f>
        <v>1.0037313432835822</v>
      </c>
      <c r="G113" s="220">
        <f>((E113/1000000)/0.86)*1000</f>
        <v>0.62558139534883717</v>
      </c>
      <c r="H113" s="270">
        <v>153.4</v>
      </c>
      <c r="I113" s="267">
        <f>H113*0.0098</f>
        <v>1.50332</v>
      </c>
      <c r="J113" s="271">
        <v>927</v>
      </c>
      <c r="K113" s="272">
        <f>J113/536</f>
        <v>1.7294776119402986</v>
      </c>
      <c r="L113" s="227">
        <f>((J113/1000000)/0.86)*1000</f>
        <v>1.077906976744186</v>
      </c>
    </row>
    <row r="114" spans="2:12" ht="12.5" x14ac:dyDescent="0.25">
      <c r="B114" s="265">
        <f t="shared" ref="B114:L114" si="53">(B113+B115)/2</f>
        <v>53.5</v>
      </c>
      <c r="C114" s="266">
        <f t="shared" si="53"/>
        <v>0.45</v>
      </c>
      <c r="D114" s="267">
        <f t="shared" si="53"/>
        <v>4.4099999999999999E-3</v>
      </c>
      <c r="E114" s="268">
        <f t="shared" si="53"/>
        <v>538</v>
      </c>
      <c r="F114" s="269">
        <f t="shared" si="53"/>
        <v>1.0037313432835822</v>
      </c>
      <c r="G114" s="220">
        <f t="shared" si="53"/>
        <v>0.62558139534883717</v>
      </c>
      <c r="H114" s="270">
        <f t="shared" si="53"/>
        <v>145.75</v>
      </c>
      <c r="I114" s="267">
        <f t="shared" si="53"/>
        <v>1.42835</v>
      </c>
      <c r="J114" s="271">
        <f t="shared" si="53"/>
        <v>901</v>
      </c>
      <c r="K114" s="272">
        <f t="shared" si="53"/>
        <v>1.6809701492537314</v>
      </c>
      <c r="L114" s="227">
        <f t="shared" si="53"/>
        <v>1.0476744186046512</v>
      </c>
    </row>
    <row r="115" spans="2:12" ht="12.5" x14ac:dyDescent="0.25">
      <c r="B115" s="274">
        <f>B113+1</f>
        <v>54</v>
      </c>
      <c r="C115" s="266">
        <v>0.4</v>
      </c>
      <c r="D115" s="267">
        <f>C115*0.0098</f>
        <v>3.9199999999999999E-3</v>
      </c>
      <c r="E115" s="268">
        <v>538</v>
      </c>
      <c r="F115" s="269">
        <f>E115/536</f>
        <v>1.0037313432835822</v>
      </c>
      <c r="G115" s="220">
        <f>((E115/1000000)/0.86)*1000</f>
        <v>0.62558139534883717</v>
      </c>
      <c r="H115" s="270">
        <v>138.1</v>
      </c>
      <c r="I115" s="267">
        <f>H115*0.0098</f>
        <v>1.3533799999999998</v>
      </c>
      <c r="J115" s="271">
        <v>875</v>
      </c>
      <c r="K115" s="272">
        <f>J115/536</f>
        <v>1.6324626865671641</v>
      </c>
      <c r="L115" s="227">
        <f>((J115/1000000)/0.86)*1000</f>
        <v>1.0174418604651163</v>
      </c>
    </row>
    <row r="116" spans="2:12" ht="12.5" x14ac:dyDescent="0.25">
      <c r="B116" s="265">
        <f t="shared" ref="B116:L116" si="54">(B115+B117)/2</f>
        <v>54.5</v>
      </c>
      <c r="C116" s="266">
        <f t="shared" si="54"/>
        <v>0.35</v>
      </c>
      <c r="D116" s="267">
        <f t="shared" si="54"/>
        <v>3.4299999999999999E-3</v>
      </c>
      <c r="E116" s="268">
        <f t="shared" si="54"/>
        <v>537.5</v>
      </c>
      <c r="F116" s="269">
        <f t="shared" si="54"/>
        <v>1.0027985074626866</v>
      </c>
      <c r="G116" s="220">
        <f t="shared" si="54"/>
        <v>0.625</v>
      </c>
      <c r="H116" s="270">
        <f t="shared" si="54"/>
        <v>130.94999999999999</v>
      </c>
      <c r="I116" s="267">
        <f t="shared" si="54"/>
        <v>1.2833099999999997</v>
      </c>
      <c r="J116" s="271">
        <f t="shared" si="54"/>
        <v>854.5</v>
      </c>
      <c r="K116" s="272">
        <f t="shared" si="54"/>
        <v>1.5942164179104479</v>
      </c>
      <c r="L116" s="227">
        <f t="shared" si="54"/>
        <v>0.99360465116279073</v>
      </c>
    </row>
    <row r="117" spans="2:12" ht="12.5" x14ac:dyDescent="0.25">
      <c r="B117" s="274">
        <f>B115+1</f>
        <v>55</v>
      </c>
      <c r="C117" s="266">
        <v>0.3</v>
      </c>
      <c r="D117" s="267">
        <f>C117*0.0098</f>
        <v>2.9399999999999999E-3</v>
      </c>
      <c r="E117" s="268">
        <v>537</v>
      </c>
      <c r="F117" s="269">
        <f>E117/536</f>
        <v>1.0018656716417911</v>
      </c>
      <c r="G117" s="220">
        <f>((E117/1000000)/0.86)*1000</f>
        <v>0.62441860465116283</v>
      </c>
      <c r="H117" s="270">
        <v>123.8</v>
      </c>
      <c r="I117" s="267">
        <f>H117*0.0098</f>
        <v>1.2132399999999999</v>
      </c>
      <c r="J117" s="271">
        <v>834</v>
      </c>
      <c r="K117" s="272">
        <f>J117/536</f>
        <v>1.5559701492537314</v>
      </c>
      <c r="L117" s="227">
        <f>((J117/1000000)/0.86)*1000</f>
        <v>0.96976744186046515</v>
      </c>
    </row>
    <row r="118" spans="2:12" ht="12.5" x14ac:dyDescent="0.25">
      <c r="B118" s="265">
        <f t="shared" ref="B118:L118" si="55">(B117+B119)/2</f>
        <v>55.5</v>
      </c>
      <c r="C118" s="266">
        <f t="shared" si="55"/>
        <v>0.3</v>
      </c>
      <c r="D118" s="267">
        <f t="shared" si="55"/>
        <v>2.9399999999999999E-3</v>
      </c>
      <c r="E118" s="268">
        <f t="shared" si="55"/>
        <v>537</v>
      </c>
      <c r="F118" s="269">
        <f t="shared" si="55"/>
        <v>1.0018656716417911</v>
      </c>
      <c r="G118" s="220">
        <f t="shared" si="55"/>
        <v>0.62441860465116283</v>
      </c>
      <c r="H118" s="270">
        <f t="shared" si="55"/>
        <v>117.25</v>
      </c>
      <c r="I118" s="267">
        <f t="shared" si="55"/>
        <v>1.1490499999999999</v>
      </c>
      <c r="J118" s="271">
        <f t="shared" si="55"/>
        <v>809.5</v>
      </c>
      <c r="K118" s="272">
        <f t="shared" si="55"/>
        <v>1.5102611940298507</v>
      </c>
      <c r="L118" s="227">
        <f t="shared" si="55"/>
        <v>0.9412790697674418</v>
      </c>
    </row>
    <row r="119" spans="2:12" ht="12.5" x14ac:dyDescent="0.25">
      <c r="B119" s="274">
        <f>B117+1</f>
        <v>56</v>
      </c>
      <c r="C119" s="266">
        <v>0.3</v>
      </c>
      <c r="D119" s="267">
        <f>C119*0.0098</f>
        <v>2.9399999999999999E-3</v>
      </c>
      <c r="E119" s="268">
        <v>537</v>
      </c>
      <c r="F119" s="269">
        <f>E119/536</f>
        <v>1.0018656716417911</v>
      </c>
      <c r="G119" s="220">
        <f>((E119/1000000)/0.86)*1000</f>
        <v>0.62441860465116283</v>
      </c>
      <c r="H119" s="270">
        <v>110.7</v>
      </c>
      <c r="I119" s="267">
        <f>H119*0.0098</f>
        <v>1.0848599999999999</v>
      </c>
      <c r="J119" s="271">
        <v>785</v>
      </c>
      <c r="K119" s="272">
        <f>J119/536</f>
        <v>1.4645522388059702</v>
      </c>
      <c r="L119" s="227">
        <f>((J119/1000000)/0.86)*1000</f>
        <v>0.91279069767441856</v>
      </c>
    </row>
    <row r="120" spans="2:12" ht="12.5" x14ac:dyDescent="0.25">
      <c r="B120" s="265">
        <f t="shared" ref="B120:L120" si="56">(B119+B121)/2</f>
        <v>56.5</v>
      </c>
      <c r="C120" s="266">
        <f t="shared" si="56"/>
        <v>0.3</v>
      </c>
      <c r="D120" s="267">
        <f t="shared" si="56"/>
        <v>2.9399999999999999E-3</v>
      </c>
      <c r="E120" s="268">
        <f t="shared" si="56"/>
        <v>536.5</v>
      </c>
      <c r="F120" s="269">
        <f t="shared" si="56"/>
        <v>1.0009328358208955</v>
      </c>
      <c r="G120" s="220">
        <f t="shared" si="56"/>
        <v>0.62383720930232567</v>
      </c>
      <c r="H120" s="270">
        <f t="shared" si="56"/>
        <v>103.9</v>
      </c>
      <c r="I120" s="267">
        <f t="shared" si="56"/>
        <v>1.0182199999999999</v>
      </c>
      <c r="J120" s="271">
        <f t="shared" si="56"/>
        <v>763</v>
      </c>
      <c r="K120" s="272">
        <f t="shared" si="56"/>
        <v>1.4235074626865671</v>
      </c>
      <c r="L120" s="227">
        <f t="shared" si="56"/>
        <v>0.88720930232558137</v>
      </c>
    </row>
    <row r="121" spans="2:12" ht="12.5" x14ac:dyDescent="0.25">
      <c r="B121" s="274">
        <f>B119+1</f>
        <v>57</v>
      </c>
      <c r="C121" s="266">
        <v>0.3</v>
      </c>
      <c r="D121" s="267">
        <f>C121*0.0098</f>
        <v>2.9399999999999999E-3</v>
      </c>
      <c r="E121" s="268">
        <v>536</v>
      </c>
      <c r="F121" s="269">
        <f>E121/536</f>
        <v>1</v>
      </c>
      <c r="G121" s="220">
        <f>((E121/1000000)/0.86)*1000</f>
        <v>0.6232558139534885</v>
      </c>
      <c r="H121" s="270">
        <v>97.1</v>
      </c>
      <c r="I121" s="267">
        <f>H121*0.0098</f>
        <v>0.95157999999999987</v>
      </c>
      <c r="J121" s="271">
        <v>741</v>
      </c>
      <c r="K121" s="272">
        <f>J121/536</f>
        <v>1.3824626865671641</v>
      </c>
      <c r="L121" s="227">
        <f>((J121/1000000)/0.86)*1000</f>
        <v>0.8616279069767443</v>
      </c>
    </row>
    <row r="122" spans="2:12" ht="12.5" x14ac:dyDescent="0.25">
      <c r="B122" s="265">
        <f t="shared" ref="B122:L122" si="57">(B121+B123)/2</f>
        <v>57.5</v>
      </c>
      <c r="C122" s="266">
        <f t="shared" si="57"/>
        <v>0.15</v>
      </c>
      <c r="D122" s="267">
        <f t="shared" si="57"/>
        <v>1.47E-3</v>
      </c>
      <c r="E122" s="268">
        <f t="shared" si="57"/>
        <v>536</v>
      </c>
      <c r="F122" s="269">
        <f t="shared" si="57"/>
        <v>1</v>
      </c>
      <c r="G122" s="220">
        <f t="shared" si="57"/>
        <v>0.6232558139534885</v>
      </c>
      <c r="H122" s="270">
        <f t="shared" si="57"/>
        <v>91.1</v>
      </c>
      <c r="I122" s="267">
        <f t="shared" si="57"/>
        <v>0.89277999999999991</v>
      </c>
      <c r="J122" s="271">
        <f t="shared" si="57"/>
        <v>722.5</v>
      </c>
      <c r="K122" s="272">
        <f t="shared" si="57"/>
        <v>1.3479477611940298</v>
      </c>
      <c r="L122" s="227">
        <f t="shared" si="57"/>
        <v>0.84011627906976749</v>
      </c>
    </row>
    <row r="123" spans="2:12" ht="12.5" x14ac:dyDescent="0.25">
      <c r="B123" s="274">
        <f>B121+1</f>
        <v>58</v>
      </c>
      <c r="C123" s="266">
        <v>0</v>
      </c>
      <c r="D123" s="267">
        <f>C123*0.0098</f>
        <v>0</v>
      </c>
      <c r="E123" s="268">
        <v>536</v>
      </c>
      <c r="F123" s="269">
        <f>E123/536</f>
        <v>1</v>
      </c>
      <c r="G123" s="220">
        <f>((E123/1000000)/0.86)*1000</f>
        <v>0.6232558139534885</v>
      </c>
      <c r="H123" s="270">
        <v>85.1</v>
      </c>
      <c r="I123" s="267">
        <f>H123*0.0098</f>
        <v>0.83397999999999994</v>
      </c>
      <c r="J123" s="271">
        <v>704</v>
      </c>
      <c r="K123" s="272">
        <f>J123/536</f>
        <v>1.3134328358208955</v>
      </c>
      <c r="L123" s="227">
        <f>((J123/1000000)/0.86)*1000</f>
        <v>0.81860465116279069</v>
      </c>
    </row>
    <row r="124" spans="2:12" ht="12.5" x14ac:dyDescent="0.25">
      <c r="B124" s="265">
        <f t="shared" ref="B124:L124" si="58">(B123+B125)/2</f>
        <v>58.5</v>
      </c>
      <c r="C124" s="266">
        <f t="shared" si="58"/>
        <v>0</v>
      </c>
      <c r="D124" s="267">
        <f t="shared" si="58"/>
        <v>0</v>
      </c>
      <c r="E124" s="268">
        <f t="shared" si="58"/>
        <v>536</v>
      </c>
      <c r="F124" s="269">
        <f t="shared" si="58"/>
        <v>1</v>
      </c>
      <c r="G124" s="220">
        <f t="shared" si="58"/>
        <v>0.6232558139534885</v>
      </c>
      <c r="H124" s="270">
        <f t="shared" si="58"/>
        <v>80.099999999999994</v>
      </c>
      <c r="I124" s="267">
        <f t="shared" si="58"/>
        <v>0.78498000000000001</v>
      </c>
      <c r="J124" s="271">
        <f t="shared" si="58"/>
        <v>688.5</v>
      </c>
      <c r="K124" s="272">
        <f t="shared" si="58"/>
        <v>1.2845149253731343</v>
      </c>
      <c r="L124" s="227">
        <f t="shared" si="58"/>
        <v>0.80058139534883721</v>
      </c>
    </row>
    <row r="125" spans="2:12" ht="12.5" x14ac:dyDescent="0.25">
      <c r="B125" s="274">
        <f>B123+1</f>
        <v>59</v>
      </c>
      <c r="C125" s="266">
        <v>0</v>
      </c>
      <c r="D125" s="267">
        <f>C125*0.0098</f>
        <v>0</v>
      </c>
      <c r="E125" s="268">
        <v>536</v>
      </c>
      <c r="F125" s="269">
        <f>E125/536</f>
        <v>1</v>
      </c>
      <c r="G125" s="220">
        <f>((E125/1000000)/0.86)*1000</f>
        <v>0.6232558139534885</v>
      </c>
      <c r="H125" s="270">
        <v>75.099999999999994</v>
      </c>
      <c r="I125" s="267">
        <f>H125*0.0098</f>
        <v>0.73597999999999997</v>
      </c>
      <c r="J125" s="271">
        <v>673</v>
      </c>
      <c r="K125" s="272">
        <f>J125/536</f>
        <v>1.2555970149253732</v>
      </c>
      <c r="L125" s="227">
        <f>((J125/1000000)/0.86)*1000</f>
        <v>0.78255813953488373</v>
      </c>
    </row>
    <row r="126" spans="2:12" ht="12.5" x14ac:dyDescent="0.25">
      <c r="B126" s="265">
        <f t="shared" ref="B126:L126" si="59">(B125+B127)/2</f>
        <v>59.5</v>
      </c>
      <c r="C126" s="266">
        <f t="shared" si="59"/>
        <v>0</v>
      </c>
      <c r="D126" s="267">
        <f t="shared" si="59"/>
        <v>0</v>
      </c>
      <c r="E126" s="268">
        <f t="shared" si="59"/>
        <v>536</v>
      </c>
      <c r="F126" s="269">
        <f t="shared" si="59"/>
        <v>1</v>
      </c>
      <c r="G126" s="220">
        <f t="shared" si="59"/>
        <v>0.6232558139534885</v>
      </c>
      <c r="H126" s="270">
        <f t="shared" si="59"/>
        <v>68.650000000000006</v>
      </c>
      <c r="I126" s="267">
        <f t="shared" si="59"/>
        <v>0.67276999999999998</v>
      </c>
      <c r="J126" s="271">
        <f t="shared" si="59"/>
        <v>659.5</v>
      </c>
      <c r="K126" s="272">
        <f t="shared" si="59"/>
        <v>1.2304104477611941</v>
      </c>
      <c r="L126" s="227">
        <f t="shared" si="59"/>
        <v>0.76686046511627914</v>
      </c>
    </row>
    <row r="127" spans="2:12" ht="12.5" x14ac:dyDescent="0.25">
      <c r="B127" s="274">
        <f>B125+1</f>
        <v>60</v>
      </c>
      <c r="C127" s="266">
        <v>0</v>
      </c>
      <c r="D127" s="267">
        <f>C127*0.0098</f>
        <v>0</v>
      </c>
      <c r="E127" s="268">
        <v>536</v>
      </c>
      <c r="F127" s="269">
        <f>E127/536</f>
        <v>1</v>
      </c>
      <c r="G127" s="220">
        <f>((E127/1000000)/0.86)*1000</f>
        <v>0.6232558139534885</v>
      </c>
      <c r="H127" s="270">
        <v>62.2</v>
      </c>
      <c r="I127" s="267">
        <f>H127*0.0098</f>
        <v>0.60955999999999999</v>
      </c>
      <c r="J127" s="271">
        <v>646</v>
      </c>
      <c r="K127" s="272">
        <f>J127/536</f>
        <v>1.205223880597015</v>
      </c>
      <c r="L127" s="227">
        <f>((J127/1000000)/0.86)*1000</f>
        <v>0.75116279069767444</v>
      </c>
    </row>
    <row r="128" spans="2:12" ht="12.5" x14ac:dyDescent="0.25">
      <c r="B128" s="265">
        <f t="shared" ref="B128:L128" si="60">(B127+B129)/2</f>
        <v>60.5</v>
      </c>
      <c r="C128" s="266">
        <f t="shared" si="60"/>
        <v>0</v>
      </c>
      <c r="D128" s="267">
        <f t="shared" si="60"/>
        <v>0</v>
      </c>
      <c r="E128" s="268">
        <f t="shared" si="60"/>
        <v>536</v>
      </c>
      <c r="F128" s="269">
        <f t="shared" si="60"/>
        <v>1</v>
      </c>
      <c r="G128" s="220">
        <f t="shared" si="60"/>
        <v>0.6232558139534885</v>
      </c>
      <c r="H128" s="270">
        <f t="shared" si="60"/>
        <v>56.650000000000006</v>
      </c>
      <c r="I128" s="267">
        <f t="shared" si="60"/>
        <v>0.55516999999999994</v>
      </c>
      <c r="J128" s="271">
        <f t="shared" si="60"/>
        <v>633.5</v>
      </c>
      <c r="K128" s="272">
        <f t="shared" si="60"/>
        <v>1.1819029850746268</v>
      </c>
      <c r="L128" s="227">
        <f t="shared" si="60"/>
        <v>0.7366279069767443</v>
      </c>
    </row>
    <row r="129" spans="2:12" ht="12.5" x14ac:dyDescent="0.25">
      <c r="B129" s="274">
        <f>B127+1</f>
        <v>61</v>
      </c>
      <c r="C129" s="266">
        <v>0</v>
      </c>
      <c r="D129" s="267">
        <f>C129*0.0098</f>
        <v>0</v>
      </c>
      <c r="E129" s="268">
        <v>536</v>
      </c>
      <c r="F129" s="269">
        <f>E129/536</f>
        <v>1</v>
      </c>
      <c r="G129" s="220">
        <f>((E129/1000000)/0.86)*1000</f>
        <v>0.6232558139534885</v>
      </c>
      <c r="H129" s="270">
        <v>51.1</v>
      </c>
      <c r="I129" s="267">
        <f>H129*0.0098</f>
        <v>0.50078</v>
      </c>
      <c r="J129" s="271">
        <v>621</v>
      </c>
      <c r="K129" s="272">
        <f>J129/536</f>
        <v>1.1585820895522387</v>
      </c>
      <c r="L129" s="227">
        <f>((J129/1000000)/0.86)*1000</f>
        <v>0.72209302325581404</v>
      </c>
    </row>
    <row r="130" spans="2:12" ht="12.5" x14ac:dyDescent="0.25">
      <c r="B130" s="265">
        <f t="shared" ref="B130:L130" si="61">(B129+B131)/2</f>
        <v>61.5</v>
      </c>
      <c r="C130" s="266">
        <f t="shared" si="61"/>
        <v>0</v>
      </c>
      <c r="D130" s="267">
        <f t="shared" si="61"/>
        <v>0</v>
      </c>
      <c r="E130" s="268">
        <f t="shared" si="61"/>
        <v>536</v>
      </c>
      <c r="F130" s="269">
        <f t="shared" si="61"/>
        <v>1</v>
      </c>
      <c r="G130" s="220">
        <f t="shared" si="61"/>
        <v>0.6232558139534885</v>
      </c>
      <c r="H130" s="270">
        <f t="shared" si="61"/>
        <v>46.25</v>
      </c>
      <c r="I130" s="267">
        <f t="shared" si="61"/>
        <v>0.45324999999999999</v>
      </c>
      <c r="J130" s="271">
        <f t="shared" si="61"/>
        <v>611</v>
      </c>
      <c r="K130" s="272">
        <f t="shared" si="61"/>
        <v>1.1399253731343282</v>
      </c>
      <c r="L130" s="227">
        <f t="shared" si="61"/>
        <v>0.71046511627906983</v>
      </c>
    </row>
    <row r="131" spans="2:12" ht="12.5" x14ac:dyDescent="0.25">
      <c r="B131" s="274">
        <f>B129+1</f>
        <v>62</v>
      </c>
      <c r="C131" s="266">
        <v>0</v>
      </c>
      <c r="D131" s="267">
        <f>C131*0.0098</f>
        <v>0</v>
      </c>
      <c r="E131" s="268">
        <v>536</v>
      </c>
      <c r="F131" s="269">
        <f>E131/536</f>
        <v>1</v>
      </c>
      <c r="G131" s="220">
        <f>((E131/1000000)/0.86)*1000</f>
        <v>0.6232558139534885</v>
      </c>
      <c r="H131" s="270">
        <v>41.4</v>
      </c>
      <c r="I131" s="267">
        <f>H131*0.0098</f>
        <v>0.40571999999999997</v>
      </c>
      <c r="J131" s="271">
        <v>601</v>
      </c>
      <c r="K131" s="272">
        <f>J131/536</f>
        <v>1.1212686567164178</v>
      </c>
      <c r="L131" s="227">
        <f>((J131/1000000)/0.86)*1000</f>
        <v>0.69883720930232562</v>
      </c>
    </row>
    <row r="132" spans="2:12" ht="12.5" x14ac:dyDescent="0.25">
      <c r="B132" s="265">
        <f t="shared" ref="B132:L132" si="62">(B131+B133)/2</f>
        <v>62.5</v>
      </c>
      <c r="C132" s="266">
        <f t="shared" si="62"/>
        <v>0</v>
      </c>
      <c r="D132" s="267">
        <f t="shared" si="62"/>
        <v>0</v>
      </c>
      <c r="E132" s="268">
        <f t="shared" si="62"/>
        <v>536</v>
      </c>
      <c r="F132" s="269">
        <f t="shared" si="62"/>
        <v>1</v>
      </c>
      <c r="G132" s="220">
        <f t="shared" si="62"/>
        <v>0.6232558139534885</v>
      </c>
      <c r="H132" s="270">
        <f t="shared" si="62"/>
        <v>37.15</v>
      </c>
      <c r="I132" s="267">
        <f t="shared" si="62"/>
        <v>0.36407</v>
      </c>
      <c r="J132" s="271">
        <f t="shared" si="62"/>
        <v>593</v>
      </c>
      <c r="K132" s="272">
        <f t="shared" si="62"/>
        <v>1.1063432835820897</v>
      </c>
      <c r="L132" s="227">
        <f t="shared" si="62"/>
        <v>0.6895348837209303</v>
      </c>
    </row>
    <row r="133" spans="2:12" ht="12.5" x14ac:dyDescent="0.25">
      <c r="B133" s="274">
        <f>B131+1</f>
        <v>63</v>
      </c>
      <c r="C133" s="266">
        <v>0</v>
      </c>
      <c r="D133" s="267">
        <f>C133*0.0098</f>
        <v>0</v>
      </c>
      <c r="E133" s="268">
        <v>536</v>
      </c>
      <c r="F133" s="269">
        <f>E133/536</f>
        <v>1</v>
      </c>
      <c r="G133" s="220">
        <f>((E133/1000000)/0.86)*1000</f>
        <v>0.6232558139534885</v>
      </c>
      <c r="H133" s="270">
        <v>32.9</v>
      </c>
      <c r="I133" s="267">
        <f>H133*0.0098</f>
        <v>0.32241999999999998</v>
      </c>
      <c r="J133" s="271">
        <v>585</v>
      </c>
      <c r="K133" s="272">
        <f>J133/536</f>
        <v>1.0914179104477613</v>
      </c>
      <c r="L133" s="227">
        <f>((J133/1000000)/0.86)*1000</f>
        <v>0.68023255813953498</v>
      </c>
    </row>
    <row r="134" spans="2:12" ht="12.5" x14ac:dyDescent="0.25">
      <c r="B134" s="265">
        <f t="shared" ref="B134:L134" si="63">(B133+B135)/2</f>
        <v>63.5</v>
      </c>
      <c r="C134" s="266">
        <f t="shared" si="63"/>
        <v>0</v>
      </c>
      <c r="D134" s="267">
        <f t="shared" si="63"/>
        <v>0</v>
      </c>
      <c r="E134" s="268">
        <f t="shared" si="63"/>
        <v>536</v>
      </c>
      <c r="F134" s="269">
        <f t="shared" si="63"/>
        <v>1</v>
      </c>
      <c r="G134" s="220">
        <f t="shared" si="63"/>
        <v>0.6232558139534885</v>
      </c>
      <c r="H134" s="270">
        <f t="shared" si="63"/>
        <v>29.1</v>
      </c>
      <c r="I134" s="267">
        <f t="shared" si="63"/>
        <v>0.28517999999999999</v>
      </c>
      <c r="J134" s="271">
        <f t="shared" si="63"/>
        <v>579</v>
      </c>
      <c r="K134" s="272">
        <f t="shared" si="63"/>
        <v>1.080223880597015</v>
      </c>
      <c r="L134" s="227">
        <f t="shared" si="63"/>
        <v>0.67325581395348844</v>
      </c>
    </row>
    <row r="135" spans="2:12" ht="12.5" x14ac:dyDescent="0.25">
      <c r="B135" s="274">
        <f>B133+1</f>
        <v>64</v>
      </c>
      <c r="C135" s="266">
        <v>0</v>
      </c>
      <c r="D135" s="267">
        <f>C135*0.0098</f>
        <v>0</v>
      </c>
      <c r="E135" s="268">
        <v>536</v>
      </c>
      <c r="F135" s="269">
        <f>E135/536</f>
        <v>1</v>
      </c>
      <c r="G135" s="220">
        <f>((E135/1000000)/0.86)*1000</f>
        <v>0.6232558139534885</v>
      </c>
      <c r="H135" s="270">
        <v>25.3</v>
      </c>
      <c r="I135" s="267">
        <f>H135*0.0098</f>
        <v>0.24793999999999999</v>
      </c>
      <c r="J135" s="271">
        <v>573</v>
      </c>
      <c r="K135" s="272">
        <f>J135/536</f>
        <v>1.0690298507462686</v>
      </c>
      <c r="L135" s="227">
        <f>((J135/1000000)/0.86)*1000</f>
        <v>0.66627906976744189</v>
      </c>
    </row>
    <row r="136" spans="2:12" ht="12.5" x14ac:dyDescent="0.25">
      <c r="B136" s="265">
        <f t="shared" ref="B136:L136" si="64">(B135+B137)/2</f>
        <v>64.5</v>
      </c>
      <c r="C136" s="266">
        <f t="shared" si="64"/>
        <v>0</v>
      </c>
      <c r="D136" s="267">
        <f t="shared" si="64"/>
        <v>0</v>
      </c>
      <c r="E136" s="268">
        <f t="shared" si="64"/>
        <v>536</v>
      </c>
      <c r="F136" s="269">
        <f t="shared" si="64"/>
        <v>1</v>
      </c>
      <c r="G136" s="220">
        <f t="shared" si="64"/>
        <v>0.6232558139534885</v>
      </c>
      <c r="H136" s="270">
        <f t="shared" si="64"/>
        <v>22.05</v>
      </c>
      <c r="I136" s="267">
        <f t="shared" si="64"/>
        <v>0.21609</v>
      </c>
      <c r="J136" s="271">
        <f t="shared" si="64"/>
        <v>568</v>
      </c>
      <c r="K136" s="272">
        <f t="shared" si="64"/>
        <v>1.0597014925373134</v>
      </c>
      <c r="L136" s="227">
        <f t="shared" si="64"/>
        <v>0.66046511627906979</v>
      </c>
    </row>
    <row r="137" spans="2:12" ht="12.5" x14ac:dyDescent="0.25">
      <c r="B137" s="274">
        <f>B135+1</f>
        <v>65</v>
      </c>
      <c r="C137" s="266">
        <v>0</v>
      </c>
      <c r="D137" s="267">
        <f>C137*0.0098</f>
        <v>0</v>
      </c>
      <c r="E137" s="268">
        <v>536</v>
      </c>
      <c r="F137" s="269">
        <f>E137/536</f>
        <v>1</v>
      </c>
      <c r="G137" s="220">
        <f>((E137/1000000)/0.86)*1000</f>
        <v>0.6232558139534885</v>
      </c>
      <c r="H137" s="270">
        <v>18.8</v>
      </c>
      <c r="I137" s="267">
        <f>H137*0.0098</f>
        <v>0.18424000000000001</v>
      </c>
      <c r="J137" s="271">
        <v>563</v>
      </c>
      <c r="K137" s="272">
        <f>J137/536</f>
        <v>1.0503731343283582</v>
      </c>
      <c r="L137" s="227">
        <f>((J137/1000000)/0.86)*1000</f>
        <v>0.65465116279069768</v>
      </c>
    </row>
    <row r="138" spans="2:12" ht="12.5" x14ac:dyDescent="0.25">
      <c r="B138" s="265">
        <f t="shared" ref="B138:L138" si="65">(B137+B139)/2</f>
        <v>65.5</v>
      </c>
      <c r="C138" s="266">
        <f t="shared" si="65"/>
        <v>0</v>
      </c>
      <c r="D138" s="267">
        <f t="shared" si="65"/>
        <v>0</v>
      </c>
      <c r="E138" s="268">
        <f t="shared" si="65"/>
        <v>536</v>
      </c>
      <c r="F138" s="269">
        <f t="shared" si="65"/>
        <v>1</v>
      </c>
      <c r="G138" s="220">
        <f t="shared" si="65"/>
        <v>0.6232558139534885</v>
      </c>
      <c r="H138" s="270">
        <f t="shared" si="65"/>
        <v>16.25</v>
      </c>
      <c r="I138" s="267">
        <f t="shared" si="65"/>
        <v>0.15925</v>
      </c>
      <c r="J138" s="271">
        <f t="shared" si="65"/>
        <v>559.5</v>
      </c>
      <c r="K138" s="272">
        <f t="shared" si="65"/>
        <v>1.0438432835820897</v>
      </c>
      <c r="L138" s="227">
        <f t="shared" si="65"/>
        <v>0.65058139534883719</v>
      </c>
    </row>
    <row r="139" spans="2:12" ht="12.5" x14ac:dyDescent="0.25">
      <c r="B139" s="274">
        <f>B137+1</f>
        <v>66</v>
      </c>
      <c r="C139" s="266">
        <v>0</v>
      </c>
      <c r="D139" s="267">
        <f>C139*0.0098</f>
        <v>0</v>
      </c>
      <c r="E139" s="268">
        <v>536</v>
      </c>
      <c r="F139" s="269">
        <f>E139/536</f>
        <v>1</v>
      </c>
      <c r="G139" s="220">
        <f>((E139/1000000)/0.86)*1000</f>
        <v>0.6232558139534885</v>
      </c>
      <c r="H139" s="270">
        <v>13.7</v>
      </c>
      <c r="I139" s="267">
        <f>H139*0.0098</f>
        <v>0.13425999999999999</v>
      </c>
      <c r="J139" s="271">
        <v>556</v>
      </c>
      <c r="K139" s="272">
        <f>J139/536</f>
        <v>1.0373134328358209</v>
      </c>
      <c r="L139" s="227">
        <f>((J139/1000000)/0.86)*1000</f>
        <v>0.64651162790697669</v>
      </c>
    </row>
    <row r="140" spans="2:12" ht="12.5" x14ac:dyDescent="0.25">
      <c r="B140" s="265">
        <f t="shared" ref="B140:L140" si="66">(B139+B141)/2</f>
        <v>66.5</v>
      </c>
      <c r="C140" s="266">
        <f t="shared" si="66"/>
        <v>0</v>
      </c>
      <c r="D140" s="267">
        <f t="shared" si="66"/>
        <v>0</v>
      </c>
      <c r="E140" s="268">
        <f t="shared" si="66"/>
        <v>536</v>
      </c>
      <c r="F140" s="269">
        <f t="shared" si="66"/>
        <v>1</v>
      </c>
      <c r="G140" s="220">
        <f t="shared" si="66"/>
        <v>0.6232558139534885</v>
      </c>
      <c r="H140" s="270">
        <f t="shared" si="66"/>
        <v>12.05</v>
      </c>
      <c r="I140" s="267">
        <f t="shared" si="66"/>
        <v>0.11809</v>
      </c>
      <c r="J140" s="271">
        <f t="shared" si="66"/>
        <v>554</v>
      </c>
      <c r="K140" s="272">
        <f t="shared" si="66"/>
        <v>1.033582089552239</v>
      </c>
      <c r="L140" s="227">
        <f t="shared" si="66"/>
        <v>0.64418604651162781</v>
      </c>
    </row>
    <row r="141" spans="2:12" ht="12.5" x14ac:dyDescent="0.25">
      <c r="B141" s="274">
        <f>B139+1</f>
        <v>67</v>
      </c>
      <c r="C141" s="266">
        <v>0</v>
      </c>
      <c r="D141" s="267">
        <f>C141*0.0098</f>
        <v>0</v>
      </c>
      <c r="E141" s="268">
        <v>536</v>
      </c>
      <c r="F141" s="269">
        <f>E141/536</f>
        <v>1</v>
      </c>
      <c r="G141" s="220">
        <f>((E141/1000000)/0.86)*1000</f>
        <v>0.6232558139534885</v>
      </c>
      <c r="H141" s="270">
        <v>10.4</v>
      </c>
      <c r="I141" s="267">
        <f>H141*0.0098</f>
        <v>0.10192</v>
      </c>
      <c r="J141" s="271">
        <v>552</v>
      </c>
      <c r="K141" s="272">
        <f>J141/536</f>
        <v>1.0298507462686568</v>
      </c>
      <c r="L141" s="227">
        <f>((J141/1000000)/0.86)*1000</f>
        <v>0.64186046511627903</v>
      </c>
    </row>
    <row r="142" spans="2:12" ht="12.5" x14ac:dyDescent="0.25">
      <c r="B142" s="265">
        <f t="shared" ref="B142:L142" si="67">(B141+B143)/2</f>
        <v>67.5</v>
      </c>
      <c r="C142" s="266">
        <f t="shared" si="67"/>
        <v>0</v>
      </c>
      <c r="D142" s="267">
        <f t="shared" si="67"/>
        <v>0</v>
      </c>
      <c r="E142" s="268">
        <f t="shared" si="67"/>
        <v>536</v>
      </c>
      <c r="F142" s="269">
        <f t="shared" si="67"/>
        <v>1</v>
      </c>
      <c r="G142" s="220">
        <f t="shared" si="67"/>
        <v>0.6232558139534885</v>
      </c>
      <c r="H142" s="270">
        <f t="shared" si="67"/>
        <v>9</v>
      </c>
      <c r="I142" s="267">
        <f t="shared" si="67"/>
        <v>8.8200000000000001E-2</v>
      </c>
      <c r="J142" s="271">
        <f t="shared" si="67"/>
        <v>550.5</v>
      </c>
      <c r="K142" s="272">
        <f t="shared" si="67"/>
        <v>1.0270522388059702</v>
      </c>
      <c r="L142" s="227">
        <f t="shared" si="67"/>
        <v>0.64011627906976742</v>
      </c>
    </row>
    <row r="143" spans="2:12" ht="12.5" x14ac:dyDescent="0.25">
      <c r="B143" s="274">
        <f>B141+1</f>
        <v>68</v>
      </c>
      <c r="C143" s="266">
        <v>0</v>
      </c>
      <c r="D143" s="267">
        <f>C143*0.0098</f>
        <v>0</v>
      </c>
      <c r="E143" s="268">
        <v>536</v>
      </c>
      <c r="F143" s="269">
        <f>E143/536</f>
        <v>1</v>
      </c>
      <c r="G143" s="220">
        <f>((E143/1000000)/0.86)*1000</f>
        <v>0.6232558139534885</v>
      </c>
      <c r="H143" s="270">
        <v>7.6</v>
      </c>
      <c r="I143" s="267">
        <f>H143*0.0098</f>
        <v>7.4479999999999991E-2</v>
      </c>
      <c r="J143" s="271">
        <v>549</v>
      </c>
      <c r="K143" s="272">
        <f>J143/536</f>
        <v>1.0242537313432836</v>
      </c>
      <c r="L143" s="227">
        <f>((J143/1000000)/0.86)*1000</f>
        <v>0.63837209302325593</v>
      </c>
    </row>
    <row r="144" spans="2:12" ht="12.5" x14ac:dyDescent="0.25">
      <c r="B144" s="265">
        <f t="shared" ref="B144:L144" si="68">(B143+B145)/2</f>
        <v>68.5</v>
      </c>
      <c r="C144" s="266">
        <f t="shared" si="68"/>
        <v>0</v>
      </c>
      <c r="D144" s="267">
        <f t="shared" si="68"/>
        <v>0</v>
      </c>
      <c r="E144" s="268">
        <f t="shared" si="68"/>
        <v>536</v>
      </c>
      <c r="F144" s="269">
        <f t="shared" si="68"/>
        <v>1</v>
      </c>
      <c r="G144" s="220">
        <f t="shared" si="68"/>
        <v>0.6232558139534885</v>
      </c>
      <c r="H144" s="270">
        <f t="shared" si="68"/>
        <v>6.65</v>
      </c>
      <c r="I144" s="267">
        <f t="shared" si="68"/>
        <v>6.5169999999999992E-2</v>
      </c>
      <c r="J144" s="271">
        <f t="shared" si="68"/>
        <v>547.5</v>
      </c>
      <c r="K144" s="272">
        <f t="shared" si="68"/>
        <v>1.0214552238805972</v>
      </c>
      <c r="L144" s="227">
        <f t="shared" si="68"/>
        <v>0.63662790697674421</v>
      </c>
    </row>
    <row r="145" spans="2:12" ht="12.5" x14ac:dyDescent="0.25">
      <c r="B145" s="274">
        <f>B143+1</f>
        <v>69</v>
      </c>
      <c r="C145" s="266">
        <v>0</v>
      </c>
      <c r="D145" s="267">
        <f>C145*0.0098</f>
        <v>0</v>
      </c>
      <c r="E145" s="268">
        <v>536</v>
      </c>
      <c r="F145" s="269">
        <f>E145/536</f>
        <v>1</v>
      </c>
      <c r="G145" s="220">
        <f>((E145/1000000)/0.86)*1000</f>
        <v>0.6232558139534885</v>
      </c>
      <c r="H145" s="270">
        <v>5.7</v>
      </c>
      <c r="I145" s="267">
        <f>H145*0.0098</f>
        <v>5.586E-2</v>
      </c>
      <c r="J145" s="271">
        <v>546</v>
      </c>
      <c r="K145" s="272">
        <f>J145/536</f>
        <v>1.0186567164179106</v>
      </c>
      <c r="L145" s="227">
        <f>((J145/1000000)/0.86)*1000</f>
        <v>0.6348837209302326</v>
      </c>
    </row>
    <row r="146" spans="2:12" ht="12.5" x14ac:dyDescent="0.25">
      <c r="B146" s="265">
        <f t="shared" ref="B146:L146" si="69">(B145+B147)/2</f>
        <v>69.5</v>
      </c>
      <c r="C146" s="266">
        <f t="shared" si="69"/>
        <v>0</v>
      </c>
      <c r="D146" s="267">
        <f t="shared" si="69"/>
        <v>0</v>
      </c>
      <c r="E146" s="268">
        <f t="shared" si="69"/>
        <v>536</v>
      </c>
      <c r="F146" s="269">
        <f t="shared" si="69"/>
        <v>1</v>
      </c>
      <c r="G146" s="220">
        <f t="shared" si="69"/>
        <v>0.6232558139534885</v>
      </c>
      <c r="H146" s="270">
        <f t="shared" si="69"/>
        <v>5.0500000000000007</v>
      </c>
      <c r="I146" s="267">
        <f t="shared" si="69"/>
        <v>4.9490000000000006E-2</v>
      </c>
      <c r="J146" s="271">
        <f t="shared" si="69"/>
        <v>545</v>
      </c>
      <c r="K146" s="272">
        <f t="shared" si="69"/>
        <v>1.0167910447761195</v>
      </c>
      <c r="L146" s="227">
        <f t="shared" si="69"/>
        <v>0.63372093023255816</v>
      </c>
    </row>
    <row r="147" spans="2:12" ht="12.5" x14ac:dyDescent="0.25">
      <c r="B147" s="274">
        <f>B145+1</f>
        <v>70</v>
      </c>
      <c r="C147" s="266">
        <v>0</v>
      </c>
      <c r="D147" s="267">
        <f>C147*0.0098</f>
        <v>0</v>
      </c>
      <c r="E147" s="268">
        <v>536</v>
      </c>
      <c r="F147" s="269">
        <f>E147/536</f>
        <v>1</v>
      </c>
      <c r="G147" s="220">
        <f>((E147/1000000)/0.86)*1000</f>
        <v>0.6232558139534885</v>
      </c>
      <c r="H147" s="270">
        <v>4.4000000000000004</v>
      </c>
      <c r="I147" s="267">
        <f>H147*0.0098</f>
        <v>4.3120000000000006E-2</v>
      </c>
      <c r="J147" s="271">
        <v>544</v>
      </c>
      <c r="K147" s="272">
        <f>J147/536</f>
        <v>1.0149253731343284</v>
      </c>
      <c r="L147" s="227">
        <f>((J147/1000000)/0.86)*1000</f>
        <v>0.63255813953488371</v>
      </c>
    </row>
    <row r="148" spans="2:12" ht="12.5" x14ac:dyDescent="0.25">
      <c r="B148" s="265">
        <f t="shared" ref="B148:L148" si="70">(B147+B149)/2</f>
        <v>70.5</v>
      </c>
      <c r="C148" s="266">
        <f t="shared" si="70"/>
        <v>0</v>
      </c>
      <c r="D148" s="267">
        <f t="shared" si="70"/>
        <v>0</v>
      </c>
      <c r="E148" s="268">
        <f t="shared" si="70"/>
        <v>536</v>
      </c>
      <c r="F148" s="269">
        <f t="shared" si="70"/>
        <v>1</v>
      </c>
      <c r="G148" s="220">
        <f t="shared" si="70"/>
        <v>0.6232558139534885</v>
      </c>
      <c r="H148" s="270">
        <f t="shared" si="70"/>
        <v>3.95</v>
      </c>
      <c r="I148" s="267">
        <f t="shared" si="70"/>
        <v>3.8710000000000001E-2</v>
      </c>
      <c r="J148" s="271">
        <f t="shared" si="70"/>
        <v>543.5</v>
      </c>
      <c r="K148" s="272">
        <f t="shared" si="70"/>
        <v>1.0139925373134329</v>
      </c>
      <c r="L148" s="227">
        <f t="shared" si="70"/>
        <v>0.63197674418604644</v>
      </c>
    </row>
    <row r="149" spans="2:12" ht="12.5" x14ac:dyDescent="0.25">
      <c r="B149" s="274">
        <f>B147+1</f>
        <v>71</v>
      </c>
      <c r="C149" s="266">
        <v>0</v>
      </c>
      <c r="D149" s="267">
        <f>C149*0.0098</f>
        <v>0</v>
      </c>
      <c r="E149" s="268">
        <v>536</v>
      </c>
      <c r="F149" s="269">
        <f>E149/536</f>
        <v>1</v>
      </c>
      <c r="G149" s="220">
        <f>((E149/1000000)/0.86)*1000</f>
        <v>0.6232558139534885</v>
      </c>
      <c r="H149" s="270">
        <v>3.5</v>
      </c>
      <c r="I149" s="267">
        <f>H149*0.0098</f>
        <v>3.4299999999999997E-2</v>
      </c>
      <c r="J149" s="271">
        <v>543</v>
      </c>
      <c r="K149" s="272">
        <f>J149/536</f>
        <v>1.0130597014925373</v>
      </c>
      <c r="L149" s="227">
        <f>((J149/1000000)/0.86)*1000</f>
        <v>0.63139534883720927</v>
      </c>
    </row>
    <row r="150" spans="2:12" ht="12.5" x14ac:dyDescent="0.25">
      <c r="B150" s="265">
        <f t="shared" ref="B150:L150" si="71">(B149+B151)/2</f>
        <v>71.5</v>
      </c>
      <c r="C150" s="266">
        <f t="shared" si="71"/>
        <v>0</v>
      </c>
      <c r="D150" s="267">
        <f t="shared" si="71"/>
        <v>0</v>
      </c>
      <c r="E150" s="268">
        <f t="shared" si="71"/>
        <v>536</v>
      </c>
      <c r="F150" s="269">
        <f t="shared" si="71"/>
        <v>1</v>
      </c>
      <c r="G150" s="220">
        <f t="shared" si="71"/>
        <v>0.6232558139534885</v>
      </c>
      <c r="H150" s="270">
        <f t="shared" si="71"/>
        <v>3.1</v>
      </c>
      <c r="I150" s="267">
        <f t="shared" si="71"/>
        <v>3.0379999999999997E-2</v>
      </c>
      <c r="J150" s="271">
        <f t="shared" si="71"/>
        <v>542.5</v>
      </c>
      <c r="K150" s="272">
        <f t="shared" si="71"/>
        <v>1.0121268656716418</v>
      </c>
      <c r="L150" s="227">
        <f t="shared" si="71"/>
        <v>0.6308139534883721</v>
      </c>
    </row>
    <row r="151" spans="2:12" ht="12.5" x14ac:dyDescent="0.25">
      <c r="B151" s="274">
        <f>B149+1</f>
        <v>72</v>
      </c>
      <c r="C151" s="266">
        <v>0</v>
      </c>
      <c r="D151" s="267">
        <f>C151*0.0098</f>
        <v>0</v>
      </c>
      <c r="E151" s="268">
        <v>536</v>
      </c>
      <c r="F151" s="269">
        <f>E151/536</f>
        <v>1</v>
      </c>
      <c r="G151" s="220">
        <f>((E151/1000000)/0.86)*1000</f>
        <v>0.6232558139534885</v>
      </c>
      <c r="H151" s="270">
        <v>2.7</v>
      </c>
      <c r="I151" s="267">
        <f>H151*0.0098</f>
        <v>2.6460000000000001E-2</v>
      </c>
      <c r="J151" s="271">
        <v>542</v>
      </c>
      <c r="K151" s="272">
        <f>J151/536</f>
        <v>1.0111940298507462</v>
      </c>
      <c r="L151" s="227">
        <f>((J151/1000000)/0.86)*1000</f>
        <v>0.63023255813953483</v>
      </c>
    </row>
    <row r="152" spans="2:12" ht="12.5" x14ac:dyDescent="0.25">
      <c r="B152" s="265">
        <f t="shared" ref="B152:L152" si="72">(B151+B153)/2</f>
        <v>72.5</v>
      </c>
      <c r="C152" s="266">
        <f t="shared" si="72"/>
        <v>0</v>
      </c>
      <c r="D152" s="267">
        <f t="shared" si="72"/>
        <v>0</v>
      </c>
      <c r="E152" s="268">
        <f t="shared" si="72"/>
        <v>536</v>
      </c>
      <c r="F152" s="269">
        <f t="shared" si="72"/>
        <v>1</v>
      </c>
      <c r="G152" s="220">
        <f t="shared" si="72"/>
        <v>0.6232558139534885</v>
      </c>
      <c r="H152" s="270">
        <f t="shared" si="72"/>
        <v>2.4500000000000002</v>
      </c>
      <c r="I152" s="267">
        <f t="shared" si="72"/>
        <v>2.4010000000000004E-2</v>
      </c>
      <c r="J152" s="271">
        <f t="shared" si="72"/>
        <v>542</v>
      </c>
      <c r="K152" s="272">
        <f t="shared" si="72"/>
        <v>1.0111940298507462</v>
      </c>
      <c r="L152" s="227">
        <f t="shared" si="72"/>
        <v>0.63023255813953483</v>
      </c>
    </row>
    <row r="153" spans="2:12" ht="12.5" x14ac:dyDescent="0.25">
      <c r="B153" s="274">
        <f>B151+1</f>
        <v>73</v>
      </c>
      <c r="C153" s="266">
        <v>0</v>
      </c>
      <c r="D153" s="267">
        <f>C153*0.0098</f>
        <v>0</v>
      </c>
      <c r="E153" s="268">
        <v>536</v>
      </c>
      <c r="F153" s="269">
        <f>E153/536</f>
        <v>1</v>
      </c>
      <c r="G153" s="220">
        <f>((E153/1000000)/0.86)*1000</f>
        <v>0.6232558139534885</v>
      </c>
      <c r="H153" s="270">
        <v>2.2000000000000002</v>
      </c>
      <c r="I153" s="267">
        <f>H153*0.0098</f>
        <v>2.1560000000000003E-2</v>
      </c>
      <c r="J153" s="271">
        <v>542</v>
      </c>
      <c r="K153" s="272">
        <f>J153/536</f>
        <v>1.0111940298507462</v>
      </c>
      <c r="L153" s="227">
        <f>((J153/1000000)/0.86)*1000</f>
        <v>0.63023255813953483</v>
      </c>
    </row>
    <row r="154" spans="2:12" ht="12.5" x14ac:dyDescent="0.25">
      <c r="B154" s="265">
        <f t="shared" ref="B154:L154" si="73">(B153+B155)/2</f>
        <v>73.5</v>
      </c>
      <c r="C154" s="266">
        <f t="shared" si="73"/>
        <v>0</v>
      </c>
      <c r="D154" s="267">
        <f t="shared" si="73"/>
        <v>0</v>
      </c>
      <c r="E154" s="268">
        <f t="shared" si="73"/>
        <v>536</v>
      </c>
      <c r="F154" s="269">
        <f t="shared" si="73"/>
        <v>1</v>
      </c>
      <c r="G154" s="220">
        <f t="shared" si="73"/>
        <v>0.6232558139534885</v>
      </c>
      <c r="H154" s="270">
        <f t="shared" si="73"/>
        <v>2</v>
      </c>
      <c r="I154" s="267">
        <f t="shared" si="73"/>
        <v>1.9599999999999999E-2</v>
      </c>
      <c r="J154" s="271">
        <f t="shared" si="73"/>
        <v>541.5</v>
      </c>
      <c r="K154" s="272">
        <f t="shared" si="73"/>
        <v>1.0102611940298507</v>
      </c>
      <c r="L154" s="227">
        <f t="shared" si="73"/>
        <v>0.62965116279069766</v>
      </c>
    </row>
    <row r="155" spans="2:12" ht="12.5" x14ac:dyDescent="0.25">
      <c r="B155" s="274">
        <f>B153+1</f>
        <v>74</v>
      </c>
      <c r="C155" s="266">
        <v>0</v>
      </c>
      <c r="D155" s="267">
        <f>C155*0.0098</f>
        <v>0</v>
      </c>
      <c r="E155" s="268">
        <v>536</v>
      </c>
      <c r="F155" s="269">
        <f>E155/536</f>
        <v>1</v>
      </c>
      <c r="G155" s="220">
        <f>((E155/1000000)/0.86)*1000</f>
        <v>0.6232558139534885</v>
      </c>
      <c r="H155" s="270">
        <v>1.8</v>
      </c>
      <c r="I155" s="267">
        <f>H155*0.0098</f>
        <v>1.7639999999999999E-2</v>
      </c>
      <c r="J155" s="271">
        <v>541</v>
      </c>
      <c r="K155" s="272">
        <f>J155/536</f>
        <v>1.0093283582089552</v>
      </c>
      <c r="L155" s="227">
        <f>((J155/1000000)/0.86)*1000</f>
        <v>0.62906976744186049</v>
      </c>
    </row>
    <row r="156" spans="2:12" ht="12.5" x14ac:dyDescent="0.25">
      <c r="B156" s="265">
        <f t="shared" ref="B156:L156" si="74">(B155+B157)/2</f>
        <v>74.5</v>
      </c>
      <c r="C156" s="266">
        <f t="shared" si="74"/>
        <v>0</v>
      </c>
      <c r="D156" s="267">
        <f t="shared" si="74"/>
        <v>0</v>
      </c>
      <c r="E156" s="268">
        <f t="shared" si="74"/>
        <v>536</v>
      </c>
      <c r="F156" s="269">
        <f t="shared" si="74"/>
        <v>1</v>
      </c>
      <c r="G156" s="220">
        <f t="shared" si="74"/>
        <v>0.6232558139534885</v>
      </c>
      <c r="H156" s="270">
        <f t="shared" si="74"/>
        <v>1.65</v>
      </c>
      <c r="I156" s="267">
        <f t="shared" si="74"/>
        <v>1.617E-2</v>
      </c>
      <c r="J156" s="271">
        <f t="shared" si="74"/>
        <v>541</v>
      </c>
      <c r="K156" s="272">
        <f t="shared" si="74"/>
        <v>1.0093283582089552</v>
      </c>
      <c r="L156" s="227">
        <f t="shared" si="74"/>
        <v>0.62906976744186049</v>
      </c>
    </row>
    <row r="157" spans="2:12" ht="12.5" x14ac:dyDescent="0.25">
      <c r="B157" s="274">
        <f>B155+1</f>
        <v>75</v>
      </c>
      <c r="C157" s="266">
        <v>0</v>
      </c>
      <c r="D157" s="267">
        <f>C157*0.0098</f>
        <v>0</v>
      </c>
      <c r="E157" s="268">
        <v>536</v>
      </c>
      <c r="F157" s="269">
        <f>E157/536</f>
        <v>1</v>
      </c>
      <c r="G157" s="220">
        <f>((E157/1000000)/0.86)*1000</f>
        <v>0.6232558139534885</v>
      </c>
      <c r="H157" s="270">
        <v>1.5</v>
      </c>
      <c r="I157" s="267">
        <f>H157*0.0098</f>
        <v>1.47E-2</v>
      </c>
      <c r="J157" s="271">
        <v>541</v>
      </c>
      <c r="K157" s="272">
        <f>J157/536</f>
        <v>1.0093283582089552</v>
      </c>
      <c r="L157" s="227">
        <f>((J157/1000000)/0.86)*1000</f>
        <v>0.62906976744186049</v>
      </c>
    </row>
    <row r="158" spans="2:12" ht="12.5" x14ac:dyDescent="0.25">
      <c r="B158" s="265">
        <f t="shared" ref="B158:L158" si="75">(B157+B159)/2</f>
        <v>75.5</v>
      </c>
      <c r="C158" s="266">
        <f t="shared" si="75"/>
        <v>0</v>
      </c>
      <c r="D158" s="267">
        <f t="shared" si="75"/>
        <v>0</v>
      </c>
      <c r="E158" s="268">
        <f t="shared" si="75"/>
        <v>536</v>
      </c>
      <c r="F158" s="269">
        <f t="shared" si="75"/>
        <v>1</v>
      </c>
      <c r="G158" s="220">
        <f t="shared" si="75"/>
        <v>0.6232558139534885</v>
      </c>
      <c r="H158" s="270">
        <f t="shared" si="75"/>
        <v>1.4</v>
      </c>
      <c r="I158" s="267">
        <f t="shared" si="75"/>
        <v>1.372E-2</v>
      </c>
      <c r="J158" s="271">
        <f t="shared" si="75"/>
        <v>540.5</v>
      </c>
      <c r="K158" s="272">
        <f t="shared" si="75"/>
        <v>1.0083955223880596</v>
      </c>
      <c r="L158" s="227">
        <f t="shared" si="75"/>
        <v>0.62848837209302322</v>
      </c>
    </row>
    <row r="159" spans="2:12" ht="12.5" x14ac:dyDescent="0.25">
      <c r="B159" s="274">
        <f>B157+1</f>
        <v>76</v>
      </c>
      <c r="C159" s="266">
        <v>0</v>
      </c>
      <c r="D159" s="267">
        <f>C159*0.0098</f>
        <v>0</v>
      </c>
      <c r="E159" s="268">
        <v>536</v>
      </c>
      <c r="F159" s="269">
        <f>E159/536</f>
        <v>1</v>
      </c>
      <c r="G159" s="220">
        <f>((E159/1000000)/0.86)*1000</f>
        <v>0.6232558139534885</v>
      </c>
      <c r="H159" s="270">
        <v>1.3</v>
      </c>
      <c r="I159" s="267">
        <f>H159*0.0098</f>
        <v>1.274E-2</v>
      </c>
      <c r="J159" s="271">
        <v>540</v>
      </c>
      <c r="K159" s="272">
        <f>J159/536</f>
        <v>1.0074626865671641</v>
      </c>
      <c r="L159" s="227">
        <f>((J159/1000000)/0.86)*1000</f>
        <v>0.62790697674418605</v>
      </c>
    </row>
    <row r="160" spans="2:12" ht="12.5" x14ac:dyDescent="0.25">
      <c r="B160" s="265">
        <f t="shared" ref="B160:L160" si="76">(B159+B161)/2</f>
        <v>76.5</v>
      </c>
      <c r="C160" s="266">
        <f t="shared" si="76"/>
        <v>0</v>
      </c>
      <c r="D160" s="267">
        <f t="shared" si="76"/>
        <v>0</v>
      </c>
      <c r="E160" s="268">
        <f t="shared" si="76"/>
        <v>536</v>
      </c>
      <c r="F160" s="269">
        <f t="shared" si="76"/>
        <v>1</v>
      </c>
      <c r="G160" s="220">
        <f t="shared" si="76"/>
        <v>0.6232558139534885</v>
      </c>
      <c r="H160" s="270">
        <f t="shared" si="76"/>
        <v>1.1499999999999999</v>
      </c>
      <c r="I160" s="267">
        <f t="shared" si="76"/>
        <v>1.1269999999999999E-2</v>
      </c>
      <c r="J160" s="271">
        <f t="shared" si="76"/>
        <v>539.5</v>
      </c>
      <c r="K160" s="272">
        <f t="shared" si="76"/>
        <v>1.0065298507462686</v>
      </c>
      <c r="L160" s="227">
        <f t="shared" si="76"/>
        <v>0.62732558139534889</v>
      </c>
    </row>
    <row r="161" spans="2:12" ht="12.5" x14ac:dyDescent="0.25">
      <c r="B161" s="274">
        <f>B159+1</f>
        <v>77</v>
      </c>
      <c r="C161" s="266">
        <v>0</v>
      </c>
      <c r="D161" s="267">
        <f>C161*0.0098</f>
        <v>0</v>
      </c>
      <c r="E161" s="268">
        <v>536</v>
      </c>
      <c r="F161" s="269">
        <f>E161/536</f>
        <v>1</v>
      </c>
      <c r="G161" s="220">
        <f>((E161/1000000)/0.86)*1000</f>
        <v>0.6232558139534885</v>
      </c>
      <c r="H161" s="270">
        <v>1</v>
      </c>
      <c r="I161" s="267">
        <f>H161*0.0098</f>
        <v>9.7999999999999997E-3</v>
      </c>
      <c r="J161" s="271">
        <v>539</v>
      </c>
      <c r="K161" s="272">
        <f>J161/536</f>
        <v>1.0055970149253732</v>
      </c>
      <c r="L161" s="227">
        <f>((J161/1000000)/0.86)*1000</f>
        <v>0.62674418604651161</v>
      </c>
    </row>
    <row r="162" spans="2:12" ht="12.5" x14ac:dyDescent="0.25">
      <c r="B162" s="265">
        <f t="shared" ref="B162:L162" si="77">(B161+B163)/2</f>
        <v>77.5</v>
      </c>
      <c r="C162" s="266">
        <f t="shared" si="77"/>
        <v>0</v>
      </c>
      <c r="D162" s="267">
        <f t="shared" si="77"/>
        <v>0</v>
      </c>
      <c r="E162" s="268">
        <f t="shared" si="77"/>
        <v>536</v>
      </c>
      <c r="F162" s="269">
        <f t="shared" si="77"/>
        <v>1</v>
      </c>
      <c r="G162" s="220">
        <f t="shared" si="77"/>
        <v>0.6232558139534885</v>
      </c>
      <c r="H162" s="270">
        <f t="shared" si="77"/>
        <v>0.85</v>
      </c>
      <c r="I162" s="267">
        <f t="shared" si="77"/>
        <v>8.3299999999999989E-3</v>
      </c>
      <c r="J162" s="271">
        <f t="shared" si="77"/>
        <v>538.5</v>
      </c>
      <c r="K162" s="272">
        <f t="shared" si="77"/>
        <v>1.0046641791044777</v>
      </c>
      <c r="L162" s="227">
        <f t="shared" si="77"/>
        <v>0.62616279069767433</v>
      </c>
    </row>
    <row r="163" spans="2:12" ht="12.5" x14ac:dyDescent="0.25">
      <c r="B163" s="274">
        <f>B161+1</f>
        <v>78</v>
      </c>
      <c r="C163" s="266">
        <v>0</v>
      </c>
      <c r="D163" s="267">
        <f>C163*0.0098</f>
        <v>0</v>
      </c>
      <c r="E163" s="268">
        <v>536</v>
      </c>
      <c r="F163" s="269">
        <f>E163/536</f>
        <v>1</v>
      </c>
      <c r="G163" s="220">
        <f>((E163/1000000)/0.86)*1000</f>
        <v>0.6232558139534885</v>
      </c>
      <c r="H163" s="270">
        <v>0.7</v>
      </c>
      <c r="I163" s="267">
        <f>H163*0.0098</f>
        <v>6.8599999999999989E-3</v>
      </c>
      <c r="J163" s="271">
        <v>538</v>
      </c>
      <c r="K163" s="272">
        <f>J163/536</f>
        <v>1.0037313432835822</v>
      </c>
      <c r="L163" s="227">
        <f>((J163/1000000)/0.86)*1000</f>
        <v>0.62558139534883717</v>
      </c>
    </row>
    <row r="164" spans="2:12" ht="12.5" x14ac:dyDescent="0.25">
      <c r="B164" s="265">
        <f t="shared" ref="B164:L164" si="78">(B163+B165)/2</f>
        <v>78.5</v>
      </c>
      <c r="C164" s="266">
        <f t="shared" si="78"/>
        <v>0</v>
      </c>
      <c r="D164" s="267">
        <f t="shared" si="78"/>
        <v>0</v>
      </c>
      <c r="E164" s="268">
        <f t="shared" si="78"/>
        <v>536</v>
      </c>
      <c r="F164" s="269">
        <f t="shared" si="78"/>
        <v>1</v>
      </c>
      <c r="G164" s="220">
        <f t="shared" si="78"/>
        <v>0.6232558139534885</v>
      </c>
      <c r="H164" s="270">
        <f t="shared" si="78"/>
        <v>0.5</v>
      </c>
      <c r="I164" s="267">
        <f t="shared" si="78"/>
        <v>4.8999999999999998E-3</v>
      </c>
      <c r="J164" s="271">
        <f t="shared" si="78"/>
        <v>537.5</v>
      </c>
      <c r="K164" s="272">
        <f t="shared" si="78"/>
        <v>1.0027985074626866</v>
      </c>
      <c r="L164" s="227">
        <f t="shared" si="78"/>
        <v>0.625</v>
      </c>
    </row>
    <row r="165" spans="2:12" ht="12.5" x14ac:dyDescent="0.25">
      <c r="B165" s="274">
        <f>B163+1</f>
        <v>79</v>
      </c>
      <c r="C165" s="266">
        <v>0</v>
      </c>
      <c r="D165" s="267">
        <f>C165*0.0098</f>
        <v>0</v>
      </c>
      <c r="E165" s="268">
        <v>536</v>
      </c>
      <c r="F165" s="269">
        <f>E165/536</f>
        <v>1</v>
      </c>
      <c r="G165" s="220">
        <f>((E165/1000000)/0.86)*1000</f>
        <v>0.6232558139534885</v>
      </c>
      <c r="H165" s="270">
        <v>0.3</v>
      </c>
      <c r="I165" s="267">
        <f>H165*0.0098</f>
        <v>2.9399999999999999E-3</v>
      </c>
      <c r="J165" s="271">
        <v>537</v>
      </c>
      <c r="K165" s="272">
        <f>J165/536</f>
        <v>1.0018656716417911</v>
      </c>
      <c r="L165" s="227">
        <f>((J165/1000000)/0.86)*1000</f>
        <v>0.62441860465116283</v>
      </c>
    </row>
    <row r="166" spans="2:12" ht="12.5" x14ac:dyDescent="0.25">
      <c r="B166" s="265">
        <f t="shared" ref="B166:L166" si="79">(B165+B167)/2</f>
        <v>79.5</v>
      </c>
      <c r="C166" s="266">
        <f t="shared" si="79"/>
        <v>0</v>
      </c>
      <c r="D166" s="267">
        <f t="shared" si="79"/>
        <v>0</v>
      </c>
      <c r="E166" s="268">
        <f t="shared" si="79"/>
        <v>536</v>
      </c>
      <c r="F166" s="269">
        <f t="shared" si="79"/>
        <v>1</v>
      </c>
      <c r="G166" s="220">
        <f t="shared" si="79"/>
        <v>0.6232558139534885</v>
      </c>
      <c r="H166" s="270">
        <f t="shared" si="79"/>
        <v>0.15</v>
      </c>
      <c r="I166" s="267">
        <f t="shared" si="79"/>
        <v>1.47E-3</v>
      </c>
      <c r="J166" s="271">
        <f t="shared" si="79"/>
        <v>536.5</v>
      </c>
      <c r="K166" s="272">
        <f t="shared" si="79"/>
        <v>1.0009328358208955</v>
      </c>
      <c r="L166" s="227">
        <f t="shared" si="79"/>
        <v>0.62383720930232567</v>
      </c>
    </row>
    <row r="167" spans="2:12" ht="12.5" x14ac:dyDescent="0.25">
      <c r="B167" s="274">
        <f>B165+1</f>
        <v>80</v>
      </c>
      <c r="C167" s="266">
        <v>0</v>
      </c>
      <c r="D167" s="267">
        <f>C167*0.0098</f>
        <v>0</v>
      </c>
      <c r="E167" s="268">
        <v>536</v>
      </c>
      <c r="F167" s="269">
        <f>E167/536</f>
        <v>1</v>
      </c>
      <c r="G167" s="220">
        <f>((E167/1000000)/0.86)*1000</f>
        <v>0.6232558139534885</v>
      </c>
      <c r="H167" s="270">
        <v>0</v>
      </c>
      <c r="I167" s="267">
        <f>H167*0.0098</f>
        <v>0</v>
      </c>
      <c r="J167" s="271">
        <v>536</v>
      </c>
      <c r="K167" s="272">
        <f>J167/536</f>
        <v>1</v>
      </c>
      <c r="L167" s="227">
        <f>((J167/1000000)/0.86)*1000</f>
        <v>0.6232558139534885</v>
      </c>
    </row>
    <row r="168" spans="2:12" ht="12.5" x14ac:dyDescent="0.25">
      <c r="B168" s="232"/>
      <c r="C168" s="233"/>
      <c r="D168" s="234"/>
      <c r="E168" s="235"/>
      <c r="F168" s="236"/>
      <c r="G168" s="237"/>
      <c r="H168" s="238"/>
      <c r="I168" s="234"/>
      <c r="J168" s="239"/>
      <c r="K168" s="240"/>
      <c r="L168" s="241"/>
    </row>
    <row r="169" spans="2:12" ht="12.5" x14ac:dyDescent="0.25">
      <c r="B169" s="265"/>
      <c r="C169" s="233"/>
      <c r="D169" s="234"/>
      <c r="E169" s="235"/>
      <c r="F169" s="236"/>
      <c r="G169" s="237"/>
      <c r="H169" s="238"/>
      <c r="I169" s="234"/>
      <c r="J169" s="239"/>
      <c r="K169" s="240"/>
      <c r="L169" s="241"/>
    </row>
    <row r="170" spans="2:12" ht="12.5" x14ac:dyDescent="0.25">
      <c r="B170" s="265"/>
      <c r="C170" s="233"/>
      <c r="D170" s="234"/>
      <c r="E170" s="235"/>
      <c r="F170" s="236"/>
      <c r="G170" s="237"/>
      <c r="H170" s="238"/>
      <c r="I170" s="234"/>
      <c r="J170" s="239"/>
      <c r="K170" s="240"/>
      <c r="L170" s="241"/>
    </row>
    <row r="171" spans="2:12" ht="12.5" x14ac:dyDescent="0.25">
      <c r="B171" s="274"/>
      <c r="C171" s="233"/>
      <c r="D171" s="234"/>
      <c r="E171" s="235"/>
      <c r="F171" s="236"/>
      <c r="G171" s="237"/>
      <c r="H171" s="238"/>
      <c r="I171" s="234"/>
      <c r="J171" s="239"/>
      <c r="K171" s="240"/>
      <c r="L171" s="241"/>
    </row>
    <row r="172" spans="2:12" ht="12.5" x14ac:dyDescent="0.25">
      <c r="B172" s="274"/>
      <c r="C172" s="233"/>
      <c r="D172" s="234"/>
      <c r="E172" s="235"/>
      <c r="F172" s="236"/>
      <c r="G172" s="237"/>
      <c r="H172" s="238"/>
      <c r="I172" s="234"/>
      <c r="J172" s="239"/>
      <c r="K172" s="240"/>
      <c r="L172" s="241"/>
    </row>
    <row r="173" spans="2:12" ht="12.5" x14ac:dyDescent="0.25">
      <c r="B173" s="274"/>
      <c r="C173" s="233"/>
      <c r="D173" s="234"/>
      <c r="E173" s="235"/>
      <c r="F173" s="236"/>
      <c r="G173" s="237"/>
      <c r="H173" s="238"/>
      <c r="I173" s="234"/>
      <c r="J173" s="239"/>
      <c r="K173" s="240"/>
      <c r="L173" s="241"/>
    </row>
    <row r="174" spans="2:12" ht="12.5" x14ac:dyDescent="0.25">
      <c r="B174" s="274"/>
      <c r="C174" s="233"/>
      <c r="D174" s="234"/>
      <c r="E174" s="235"/>
      <c r="F174" s="236"/>
      <c r="G174" s="237"/>
      <c r="H174" s="238"/>
      <c r="I174" s="234"/>
      <c r="J174" s="239"/>
      <c r="K174" s="240"/>
      <c r="L174" s="241"/>
    </row>
    <row r="175" spans="2:12" ht="12.5" x14ac:dyDescent="0.25">
      <c r="B175" s="274"/>
      <c r="C175" s="233"/>
      <c r="D175" s="234"/>
      <c r="E175" s="235"/>
      <c r="F175" s="236"/>
      <c r="G175" s="237"/>
      <c r="H175" s="238"/>
      <c r="I175" s="234"/>
      <c r="J175" s="239"/>
      <c r="K175" s="240"/>
      <c r="L175" s="241"/>
    </row>
    <row r="176" spans="2:12" ht="12.5" x14ac:dyDescent="0.25">
      <c r="B176" s="274"/>
      <c r="C176" s="233"/>
      <c r="D176" s="234"/>
      <c r="E176" s="235"/>
      <c r="F176" s="236"/>
      <c r="G176" s="237"/>
      <c r="H176" s="238"/>
      <c r="I176" s="234"/>
      <c r="J176" s="239"/>
      <c r="K176" s="240"/>
      <c r="L176" s="241"/>
    </row>
    <row r="177" spans="2:12" ht="12.5" x14ac:dyDescent="0.25">
      <c r="B177" s="274"/>
      <c r="C177" s="233"/>
      <c r="D177" s="234"/>
      <c r="E177" s="235"/>
      <c r="F177" s="236"/>
      <c r="G177" s="237"/>
      <c r="H177" s="238"/>
      <c r="I177" s="234"/>
      <c r="J177" s="239"/>
      <c r="K177" s="240"/>
      <c r="L177" s="241"/>
    </row>
    <row r="178" spans="2:12" ht="12.5" x14ac:dyDescent="0.25">
      <c r="B178" s="274"/>
      <c r="C178" s="233"/>
      <c r="D178" s="234"/>
      <c r="E178" s="235"/>
      <c r="F178" s="236"/>
      <c r="G178" s="237"/>
      <c r="H178" s="238"/>
      <c r="I178" s="234"/>
      <c r="J178" s="239"/>
      <c r="K178" s="240"/>
      <c r="L178" s="241"/>
    </row>
    <row r="179" spans="2:12" ht="12.5" x14ac:dyDescent="0.25">
      <c r="B179" s="274"/>
      <c r="C179" s="233"/>
      <c r="D179" s="234"/>
      <c r="E179" s="235"/>
      <c r="F179" s="236"/>
      <c r="G179" s="237"/>
      <c r="H179" s="238"/>
      <c r="I179" s="234"/>
      <c r="J179" s="239"/>
      <c r="K179" s="240"/>
      <c r="L179" s="241"/>
    </row>
    <row r="180" spans="2:12" ht="12.5" x14ac:dyDescent="0.25">
      <c r="B180" s="274"/>
      <c r="C180" s="233"/>
      <c r="D180" s="234"/>
      <c r="E180" s="235"/>
      <c r="F180" s="236"/>
      <c r="G180" s="237"/>
      <c r="H180" s="238"/>
      <c r="I180" s="234"/>
      <c r="J180" s="239"/>
      <c r="K180" s="240"/>
      <c r="L180" s="241"/>
    </row>
    <row r="181" spans="2:12" ht="12.5" x14ac:dyDescent="0.25">
      <c r="B181" s="274"/>
      <c r="C181" s="233"/>
      <c r="D181" s="234"/>
      <c r="E181" s="235"/>
      <c r="F181" s="236"/>
      <c r="G181" s="237"/>
      <c r="H181" s="238"/>
      <c r="I181" s="234"/>
      <c r="J181" s="239"/>
      <c r="K181" s="240"/>
      <c r="L181" s="241"/>
    </row>
    <row r="182" spans="2:12" ht="12.5" x14ac:dyDescent="0.25">
      <c r="B182" s="274"/>
      <c r="C182" s="233"/>
      <c r="D182" s="234"/>
      <c r="E182" s="235"/>
      <c r="F182" s="236"/>
      <c r="G182" s="237"/>
      <c r="H182" s="238"/>
      <c r="I182" s="234"/>
      <c r="J182" s="239"/>
      <c r="K182" s="240"/>
      <c r="L182" s="241"/>
    </row>
    <row r="183" spans="2:12" ht="12.5" x14ac:dyDescent="0.25">
      <c r="B183" s="274"/>
      <c r="C183" s="233"/>
      <c r="D183" s="234"/>
      <c r="E183" s="235"/>
      <c r="F183" s="236"/>
      <c r="G183" s="237"/>
      <c r="H183" s="238"/>
      <c r="I183" s="234"/>
      <c r="J183" s="239"/>
      <c r="K183" s="240"/>
      <c r="L183" s="241"/>
    </row>
    <row r="184" spans="2:12" ht="12.5" x14ac:dyDescent="0.25">
      <c r="B184" s="274"/>
      <c r="C184" s="233"/>
      <c r="D184" s="234"/>
      <c r="E184" s="235"/>
      <c r="F184" s="236"/>
      <c r="G184" s="237"/>
      <c r="H184" s="238"/>
      <c r="I184" s="234"/>
      <c r="J184" s="239"/>
      <c r="K184" s="240"/>
      <c r="L184" s="241"/>
    </row>
    <row r="185" spans="2:12" ht="12.5" x14ac:dyDescent="0.25">
      <c r="B185" s="274"/>
      <c r="C185" s="233"/>
      <c r="D185" s="234"/>
      <c r="E185" s="235"/>
      <c r="F185" s="236"/>
      <c r="G185" s="237"/>
      <c r="H185" s="238"/>
      <c r="I185" s="234"/>
      <c r="J185" s="239"/>
      <c r="K185" s="240"/>
      <c r="L185" s="241"/>
    </row>
    <row r="186" spans="2:12" ht="12.5" x14ac:dyDescent="0.25">
      <c r="B186" s="274"/>
      <c r="C186" s="233"/>
      <c r="D186" s="234"/>
      <c r="E186" s="235"/>
      <c r="F186" s="236"/>
      <c r="G186" s="237"/>
      <c r="H186" s="238"/>
      <c r="I186" s="234"/>
      <c r="J186" s="239"/>
      <c r="K186" s="240"/>
      <c r="L186" s="241"/>
    </row>
    <row r="187" spans="2:12" ht="12.5" x14ac:dyDescent="0.25">
      <c r="B187" s="274"/>
      <c r="C187" s="233"/>
      <c r="D187" s="234"/>
      <c r="E187" s="235"/>
      <c r="F187" s="236"/>
      <c r="G187" s="237"/>
      <c r="H187" s="238"/>
      <c r="I187" s="234"/>
      <c r="J187" s="239"/>
      <c r="K187" s="240"/>
      <c r="L187" s="241"/>
    </row>
    <row r="188" spans="2:12" ht="12.5" x14ac:dyDescent="0.25">
      <c r="B188" s="274"/>
      <c r="C188" s="233"/>
      <c r="D188" s="234"/>
      <c r="E188" s="235"/>
      <c r="F188" s="236"/>
      <c r="G188" s="237"/>
      <c r="H188" s="238"/>
      <c r="I188" s="234"/>
      <c r="J188" s="239"/>
      <c r="K188" s="240"/>
      <c r="L188" s="241"/>
    </row>
    <row r="189" spans="2:12" ht="12.5" x14ac:dyDescent="0.25">
      <c r="B189" s="274"/>
      <c r="C189" s="233"/>
      <c r="D189" s="234"/>
      <c r="E189" s="235"/>
      <c r="F189" s="236"/>
      <c r="G189" s="237"/>
      <c r="H189" s="238"/>
      <c r="I189" s="234"/>
      <c r="J189" s="239"/>
      <c r="K189" s="240"/>
      <c r="L189" s="241"/>
    </row>
    <row r="190" spans="2:12" ht="12.5" x14ac:dyDescent="0.25">
      <c r="B190" s="274"/>
      <c r="C190" s="233"/>
      <c r="D190" s="234"/>
      <c r="E190" s="235"/>
      <c r="F190" s="236"/>
      <c r="G190" s="237"/>
      <c r="H190" s="238"/>
      <c r="I190" s="234"/>
      <c r="J190" s="239"/>
      <c r="K190" s="240"/>
      <c r="L190" s="241"/>
    </row>
    <row r="191" spans="2:12" ht="12.5" x14ac:dyDescent="0.25">
      <c r="B191" s="274"/>
      <c r="C191" s="233"/>
      <c r="D191" s="234"/>
      <c r="E191" s="235"/>
      <c r="F191" s="236"/>
      <c r="G191" s="237"/>
      <c r="H191" s="238"/>
      <c r="I191" s="234"/>
      <c r="J191" s="239"/>
      <c r="K191" s="240"/>
      <c r="L191" s="241"/>
    </row>
    <row r="192" spans="2:12" ht="12.5" x14ac:dyDescent="0.25">
      <c r="B192" s="274"/>
      <c r="C192" s="233"/>
      <c r="D192" s="234"/>
      <c r="E192" s="235"/>
      <c r="F192" s="236"/>
      <c r="G192" s="237"/>
      <c r="H192" s="238"/>
      <c r="I192" s="234"/>
      <c r="J192" s="239"/>
      <c r="K192" s="240"/>
      <c r="L192" s="241"/>
    </row>
    <row r="193" spans="2:12" ht="12.5" x14ac:dyDescent="0.25">
      <c r="B193" s="274"/>
      <c r="C193" s="233"/>
      <c r="D193" s="234"/>
      <c r="E193" s="235"/>
      <c r="F193" s="236"/>
      <c r="G193" s="237"/>
      <c r="H193" s="238"/>
      <c r="I193" s="234"/>
      <c r="J193" s="239"/>
      <c r="K193" s="240"/>
      <c r="L193" s="241"/>
    </row>
    <row r="194" spans="2:12" ht="12.5" x14ac:dyDescent="0.25">
      <c r="B194" s="274"/>
      <c r="C194" s="233"/>
      <c r="D194" s="234"/>
      <c r="E194" s="235"/>
      <c r="F194" s="236"/>
      <c r="G194" s="237"/>
      <c r="H194" s="238"/>
      <c r="I194" s="234"/>
      <c r="J194" s="239"/>
      <c r="K194" s="240"/>
      <c r="L194" s="241"/>
    </row>
    <row r="195" spans="2:12" ht="12.5" x14ac:dyDescent="0.25">
      <c r="B195" s="274"/>
      <c r="C195" s="233"/>
      <c r="D195" s="234"/>
      <c r="E195" s="235"/>
      <c r="F195" s="236"/>
      <c r="G195" s="237"/>
      <c r="H195" s="238"/>
      <c r="I195" s="234"/>
      <c r="J195" s="239"/>
      <c r="K195" s="240"/>
      <c r="L195" s="241"/>
    </row>
    <row r="196" spans="2:12" ht="12.5" x14ac:dyDescent="0.25">
      <c r="B196" s="274"/>
      <c r="C196" s="233"/>
      <c r="D196" s="234"/>
      <c r="E196" s="235"/>
      <c r="F196" s="236"/>
      <c r="G196" s="237"/>
      <c r="H196" s="238"/>
      <c r="I196" s="234"/>
      <c r="J196" s="239"/>
      <c r="K196" s="240"/>
      <c r="L196" s="241"/>
    </row>
    <row r="197" spans="2:12" ht="12.5" x14ac:dyDescent="0.25">
      <c r="B197" s="274"/>
      <c r="C197" s="233"/>
      <c r="D197" s="234"/>
      <c r="E197" s="235"/>
      <c r="F197" s="236"/>
      <c r="G197" s="237"/>
      <c r="H197" s="238"/>
      <c r="I197" s="234"/>
      <c r="J197" s="239"/>
      <c r="K197" s="240"/>
      <c r="L197" s="241"/>
    </row>
    <row r="198" spans="2:12" ht="12.5" x14ac:dyDescent="0.25">
      <c r="B198" s="274"/>
      <c r="C198" s="233"/>
      <c r="D198" s="234"/>
      <c r="E198" s="235"/>
      <c r="F198" s="236"/>
      <c r="G198" s="237"/>
      <c r="H198" s="238"/>
      <c r="I198" s="234"/>
      <c r="J198" s="239"/>
      <c r="K198" s="240"/>
      <c r="L198" s="241"/>
    </row>
    <row r="199" spans="2:12" ht="12.5" x14ac:dyDescent="0.25">
      <c r="B199" s="274"/>
      <c r="C199" s="233"/>
      <c r="D199" s="234"/>
      <c r="E199" s="235"/>
      <c r="F199" s="236"/>
      <c r="G199" s="237"/>
      <c r="H199" s="238"/>
      <c r="I199" s="234"/>
      <c r="J199" s="239"/>
      <c r="K199" s="240"/>
      <c r="L199" s="241"/>
    </row>
    <row r="200" spans="2:12" ht="12.5" x14ac:dyDescent="0.25">
      <c r="B200" s="274"/>
      <c r="C200" s="233"/>
      <c r="D200" s="234"/>
      <c r="E200" s="235"/>
      <c r="F200" s="236"/>
      <c r="G200" s="237"/>
      <c r="H200" s="238"/>
      <c r="I200" s="234"/>
      <c r="J200" s="239"/>
      <c r="K200" s="240"/>
      <c r="L200" s="241"/>
    </row>
    <row r="201" spans="2:12" ht="12.5" x14ac:dyDescent="0.25">
      <c r="B201" s="274"/>
      <c r="C201" s="233"/>
      <c r="D201" s="234"/>
      <c r="E201" s="235"/>
      <c r="F201" s="236"/>
      <c r="G201" s="237"/>
      <c r="H201" s="238"/>
      <c r="I201" s="234"/>
      <c r="J201" s="239"/>
      <c r="K201" s="240"/>
      <c r="L201" s="241"/>
    </row>
    <row r="202" spans="2:12" ht="12.5" x14ac:dyDescent="0.25">
      <c r="B202" s="274"/>
      <c r="C202" s="233"/>
      <c r="D202" s="234"/>
      <c r="E202" s="235"/>
      <c r="F202" s="236"/>
      <c r="G202" s="237"/>
      <c r="H202" s="238"/>
      <c r="I202" s="234"/>
      <c r="J202" s="239"/>
      <c r="K202" s="240"/>
      <c r="L202" s="241"/>
    </row>
    <row r="203" spans="2:12" ht="12.5" x14ac:dyDescent="0.25">
      <c r="B203" s="274"/>
      <c r="C203" s="233"/>
      <c r="D203" s="234"/>
      <c r="E203" s="235"/>
      <c r="F203" s="236"/>
      <c r="G203" s="237"/>
      <c r="H203" s="238"/>
      <c r="I203" s="234"/>
      <c r="J203" s="239"/>
      <c r="K203" s="240"/>
      <c r="L203" s="241"/>
    </row>
    <row r="204" spans="2:12" ht="12.5" x14ac:dyDescent="0.25">
      <c r="B204" s="274"/>
      <c r="C204" s="233"/>
      <c r="D204" s="234"/>
      <c r="E204" s="235"/>
      <c r="F204" s="236"/>
      <c r="G204" s="237"/>
      <c r="H204" s="238"/>
      <c r="I204" s="234"/>
      <c r="J204" s="239"/>
      <c r="K204" s="240"/>
      <c r="L204" s="241"/>
    </row>
    <row r="205" spans="2:12" ht="12.5" x14ac:dyDescent="0.25">
      <c r="B205" s="274"/>
      <c r="C205" s="233"/>
      <c r="D205" s="234"/>
      <c r="E205" s="235"/>
      <c r="F205" s="236"/>
      <c r="G205" s="237"/>
      <c r="H205" s="238"/>
      <c r="I205" s="234"/>
      <c r="J205" s="239"/>
      <c r="K205" s="240"/>
      <c r="L205" s="241"/>
    </row>
    <row r="206" spans="2:12" ht="12.5" x14ac:dyDescent="0.25">
      <c r="B206" s="274"/>
      <c r="C206" s="233"/>
      <c r="D206" s="234"/>
      <c r="E206" s="235"/>
      <c r="F206" s="236"/>
      <c r="G206" s="237"/>
      <c r="H206" s="238"/>
      <c r="I206" s="234"/>
      <c r="J206" s="239"/>
      <c r="K206" s="240"/>
      <c r="L206" s="241"/>
    </row>
    <row r="207" spans="2:12" ht="12.5" x14ac:dyDescent="0.25">
      <c r="B207" s="274"/>
      <c r="C207" s="233"/>
      <c r="D207" s="234"/>
      <c r="E207" s="235"/>
      <c r="F207" s="236"/>
      <c r="G207" s="237"/>
      <c r="H207" s="238"/>
      <c r="I207" s="234"/>
      <c r="J207" s="239"/>
      <c r="K207" s="240"/>
      <c r="L207" s="241"/>
    </row>
    <row r="208" spans="2:12" ht="12.5" x14ac:dyDescent="0.25">
      <c r="B208" s="274"/>
      <c r="C208" s="233"/>
      <c r="D208" s="234"/>
      <c r="E208" s="235"/>
      <c r="F208" s="236"/>
      <c r="G208" s="237"/>
      <c r="H208" s="238"/>
      <c r="I208" s="234"/>
      <c r="J208" s="239"/>
      <c r="K208" s="240"/>
      <c r="L208" s="241"/>
    </row>
    <row r="209" spans="2:12" ht="12.5" x14ac:dyDescent="0.25">
      <c r="B209" s="274"/>
      <c r="C209" s="233"/>
      <c r="D209" s="234"/>
      <c r="E209" s="235"/>
      <c r="F209" s="236"/>
      <c r="G209" s="237"/>
      <c r="H209" s="238"/>
      <c r="I209" s="234"/>
      <c r="J209" s="239"/>
      <c r="K209" s="240"/>
      <c r="L209" s="241"/>
    </row>
    <row r="210" spans="2:12" ht="12.5" x14ac:dyDescent="0.25">
      <c r="B210" s="274"/>
      <c r="C210" s="233"/>
      <c r="D210" s="234"/>
      <c r="E210" s="235"/>
      <c r="F210" s="236"/>
      <c r="G210" s="237"/>
      <c r="H210" s="238"/>
      <c r="I210" s="234"/>
      <c r="J210" s="239"/>
      <c r="K210" s="240"/>
      <c r="L210" s="241"/>
    </row>
    <row r="211" spans="2:12" ht="12.5" x14ac:dyDescent="0.25">
      <c r="B211" s="274"/>
      <c r="C211" s="233"/>
      <c r="D211" s="234"/>
      <c r="E211" s="235"/>
      <c r="F211" s="236"/>
      <c r="G211" s="237"/>
      <c r="H211" s="238"/>
      <c r="I211" s="234"/>
      <c r="J211" s="239"/>
      <c r="K211" s="240"/>
      <c r="L211" s="241"/>
    </row>
    <row r="212" spans="2:12" ht="12.5" x14ac:dyDescent="0.25">
      <c r="B212" s="274"/>
      <c r="C212" s="233"/>
      <c r="D212" s="234"/>
      <c r="E212" s="235"/>
      <c r="F212" s="236"/>
      <c r="G212" s="237"/>
      <c r="H212" s="238"/>
      <c r="I212" s="234"/>
      <c r="J212" s="239"/>
      <c r="K212" s="240"/>
      <c r="L212" s="241"/>
    </row>
    <row r="213" spans="2:12" ht="12.5" x14ac:dyDescent="0.25">
      <c r="B213" s="274"/>
      <c r="C213" s="233"/>
      <c r="D213" s="234"/>
      <c r="E213" s="235"/>
      <c r="F213" s="236"/>
      <c r="G213" s="237"/>
      <c r="H213" s="238"/>
      <c r="I213" s="234"/>
      <c r="J213" s="239"/>
      <c r="K213" s="240"/>
      <c r="L213" s="241"/>
    </row>
    <row r="214" spans="2:12" ht="12.5" x14ac:dyDescent="0.25">
      <c r="B214" s="274"/>
      <c r="C214" s="233"/>
      <c r="D214" s="234"/>
      <c r="E214" s="235"/>
      <c r="F214" s="236"/>
      <c r="G214" s="237"/>
      <c r="H214" s="238"/>
      <c r="I214" s="234"/>
      <c r="J214" s="239"/>
      <c r="K214" s="240"/>
      <c r="L214" s="241"/>
    </row>
    <row r="215" spans="2:12" ht="12.5" x14ac:dyDescent="0.25">
      <c r="B215" s="274"/>
      <c r="C215" s="233"/>
      <c r="D215" s="234"/>
      <c r="E215" s="235"/>
      <c r="F215" s="236"/>
      <c r="G215" s="237"/>
      <c r="H215" s="238"/>
      <c r="I215" s="234"/>
      <c r="J215" s="239"/>
      <c r="K215" s="240"/>
      <c r="L215" s="241"/>
    </row>
    <row r="216" spans="2:12" ht="12.5" x14ac:dyDescent="0.25">
      <c r="B216" s="274"/>
      <c r="C216" s="233"/>
      <c r="D216" s="234"/>
      <c r="E216" s="235"/>
      <c r="F216" s="236"/>
      <c r="G216" s="237"/>
      <c r="H216" s="238"/>
      <c r="I216" s="234"/>
      <c r="J216" s="239"/>
      <c r="K216" s="240"/>
      <c r="L216" s="241"/>
    </row>
    <row r="217" spans="2:12" ht="12.5" x14ac:dyDescent="0.25">
      <c r="B217" s="274"/>
      <c r="C217" s="233"/>
      <c r="D217" s="234"/>
      <c r="E217" s="235"/>
      <c r="F217" s="236"/>
      <c r="G217" s="237"/>
      <c r="H217" s="238"/>
      <c r="I217" s="234"/>
      <c r="J217" s="239"/>
      <c r="K217" s="240"/>
      <c r="L217" s="241"/>
    </row>
    <row r="218" spans="2:12" ht="12.5" x14ac:dyDescent="0.25">
      <c r="B218" s="274"/>
      <c r="C218" s="233"/>
      <c r="D218" s="234"/>
      <c r="E218" s="235"/>
      <c r="F218" s="236"/>
      <c r="G218" s="237"/>
      <c r="H218" s="238"/>
      <c r="I218" s="234"/>
      <c r="J218" s="239"/>
      <c r="K218" s="240"/>
      <c r="L218" s="241"/>
    </row>
    <row r="219" spans="2:12" ht="12.5" x14ac:dyDescent="0.25">
      <c r="B219" s="274"/>
      <c r="C219" s="233"/>
      <c r="D219" s="234"/>
      <c r="E219" s="235"/>
      <c r="F219" s="236"/>
      <c r="G219" s="237"/>
      <c r="H219" s="238"/>
      <c r="I219" s="234"/>
      <c r="J219" s="239"/>
      <c r="K219" s="240"/>
      <c r="L219" s="241"/>
    </row>
    <row r="220" spans="2:12" ht="12.5" x14ac:dyDescent="0.25">
      <c r="B220" s="274"/>
      <c r="C220" s="233"/>
      <c r="D220" s="234"/>
      <c r="E220" s="235"/>
      <c r="F220" s="236"/>
      <c r="G220" s="237"/>
      <c r="H220" s="238"/>
      <c r="I220" s="234"/>
      <c r="J220" s="239"/>
      <c r="K220" s="240"/>
      <c r="L220" s="241"/>
    </row>
    <row r="221" spans="2:12" ht="12.5" x14ac:dyDescent="0.25">
      <c r="B221" s="274"/>
      <c r="C221" s="233"/>
      <c r="D221" s="234"/>
      <c r="E221" s="235"/>
      <c r="F221" s="236"/>
      <c r="G221" s="237"/>
      <c r="H221" s="238"/>
      <c r="I221" s="234"/>
      <c r="J221" s="239"/>
      <c r="K221" s="240"/>
      <c r="L221" s="241"/>
    </row>
    <row r="222" spans="2:12" ht="12.5" x14ac:dyDescent="0.25">
      <c r="B222" s="274"/>
      <c r="C222" s="233"/>
      <c r="D222" s="234"/>
      <c r="E222" s="235"/>
      <c r="F222" s="236"/>
      <c r="G222" s="237"/>
      <c r="H222" s="238"/>
      <c r="I222" s="234"/>
      <c r="J222" s="239"/>
      <c r="K222" s="240"/>
      <c r="L222" s="241"/>
    </row>
    <row r="223" spans="2:12" ht="12.5" x14ac:dyDescent="0.25">
      <c r="B223" s="274"/>
      <c r="C223" s="233"/>
      <c r="D223" s="234"/>
      <c r="E223" s="235"/>
      <c r="F223" s="236"/>
      <c r="G223" s="237"/>
      <c r="H223" s="238"/>
      <c r="I223" s="234"/>
      <c r="J223" s="239"/>
      <c r="K223" s="240"/>
      <c r="L223" s="241"/>
    </row>
    <row r="224" spans="2:12" ht="12.5" x14ac:dyDescent="0.25">
      <c r="B224" s="274"/>
      <c r="C224" s="233"/>
      <c r="D224" s="234"/>
      <c r="E224" s="235"/>
      <c r="F224" s="236"/>
      <c r="G224" s="237"/>
      <c r="H224" s="238"/>
      <c r="I224" s="234"/>
      <c r="J224" s="239"/>
      <c r="K224" s="240"/>
      <c r="L224" s="241"/>
    </row>
    <row r="225" spans="2:12" ht="12.5" x14ac:dyDescent="0.25">
      <c r="B225" s="274"/>
      <c r="C225" s="233"/>
      <c r="D225" s="234"/>
      <c r="E225" s="235"/>
      <c r="F225" s="236"/>
      <c r="G225" s="237"/>
      <c r="H225" s="238"/>
      <c r="I225" s="234"/>
      <c r="J225" s="239"/>
      <c r="K225" s="240"/>
      <c r="L225" s="241"/>
    </row>
    <row r="226" spans="2:12" ht="12.5" x14ac:dyDescent="0.25">
      <c r="B226" s="274"/>
      <c r="C226" s="233"/>
      <c r="D226" s="234"/>
      <c r="E226" s="235"/>
      <c r="F226" s="236"/>
      <c r="G226" s="237"/>
      <c r="H226" s="238"/>
      <c r="I226" s="234"/>
      <c r="J226" s="239"/>
      <c r="K226" s="240"/>
      <c r="L226" s="241"/>
    </row>
    <row r="227" spans="2:12" ht="12.5" x14ac:dyDescent="0.25">
      <c r="B227" s="274"/>
      <c r="C227" s="233"/>
      <c r="D227" s="234"/>
      <c r="E227" s="235"/>
      <c r="F227" s="236"/>
      <c r="G227" s="237"/>
      <c r="H227" s="238"/>
      <c r="I227" s="234"/>
      <c r="J227" s="239"/>
      <c r="K227" s="240"/>
      <c r="L227" s="241"/>
    </row>
    <row r="228" spans="2:12" ht="12.5" x14ac:dyDescent="0.25">
      <c r="B228" s="274"/>
      <c r="C228" s="233"/>
      <c r="D228" s="234"/>
      <c r="E228" s="235"/>
      <c r="F228" s="236"/>
      <c r="G228" s="237"/>
      <c r="H228" s="238"/>
      <c r="I228" s="234"/>
      <c r="J228" s="239"/>
      <c r="K228" s="240"/>
      <c r="L228" s="241"/>
    </row>
    <row r="229" spans="2:12" ht="12.5" x14ac:dyDescent="0.25">
      <c r="B229" s="274"/>
      <c r="C229" s="233"/>
      <c r="D229" s="234"/>
      <c r="E229" s="235"/>
      <c r="F229" s="236"/>
      <c r="G229" s="237"/>
      <c r="H229" s="238"/>
      <c r="I229" s="234"/>
      <c r="J229" s="239"/>
      <c r="K229" s="240"/>
      <c r="L229" s="241"/>
    </row>
    <row r="230" spans="2:12" ht="12.5" x14ac:dyDescent="0.25">
      <c r="B230" s="274"/>
      <c r="C230" s="233"/>
      <c r="D230" s="234"/>
      <c r="E230" s="235"/>
      <c r="F230" s="236"/>
      <c r="G230" s="237"/>
      <c r="H230" s="238"/>
      <c r="I230" s="234"/>
      <c r="J230" s="239"/>
      <c r="K230" s="240"/>
      <c r="L230" s="241"/>
    </row>
    <row r="231" spans="2:12" ht="12.5" x14ac:dyDescent="0.25">
      <c r="B231" s="274"/>
      <c r="C231" s="233"/>
      <c r="D231" s="234"/>
      <c r="E231" s="235"/>
      <c r="F231" s="236"/>
      <c r="G231" s="237"/>
      <c r="H231" s="238"/>
      <c r="I231" s="234"/>
      <c r="J231" s="239"/>
      <c r="K231" s="240"/>
      <c r="L231" s="241"/>
    </row>
    <row r="232" spans="2:12" ht="12.5" x14ac:dyDescent="0.25">
      <c r="B232" s="274"/>
      <c r="C232" s="233"/>
      <c r="D232" s="234"/>
      <c r="E232" s="235"/>
      <c r="F232" s="236"/>
      <c r="G232" s="237"/>
      <c r="H232" s="238"/>
      <c r="I232" s="234"/>
      <c r="J232" s="239"/>
      <c r="K232" s="240"/>
      <c r="L232" s="241"/>
    </row>
    <row r="233" spans="2:12" ht="12.5" x14ac:dyDescent="0.25">
      <c r="B233" s="274"/>
      <c r="C233" s="233"/>
      <c r="D233" s="234"/>
      <c r="E233" s="235"/>
      <c r="F233" s="236"/>
      <c r="G233" s="237"/>
      <c r="H233" s="238"/>
      <c r="I233" s="234"/>
      <c r="J233" s="239"/>
      <c r="K233" s="240"/>
      <c r="L233" s="241"/>
    </row>
    <row r="234" spans="2:12" ht="12.5" x14ac:dyDescent="0.25">
      <c r="B234" s="274"/>
      <c r="C234" s="233"/>
      <c r="D234" s="234"/>
      <c r="E234" s="235"/>
      <c r="F234" s="236"/>
      <c r="G234" s="237"/>
      <c r="H234" s="238"/>
      <c r="I234" s="234"/>
      <c r="J234" s="239"/>
      <c r="K234" s="240"/>
      <c r="L234" s="241"/>
    </row>
    <row r="235" spans="2:12" ht="12.5" x14ac:dyDescent="0.25">
      <c r="B235" s="274"/>
      <c r="C235" s="233"/>
      <c r="D235" s="234"/>
      <c r="E235" s="235"/>
      <c r="F235" s="236"/>
      <c r="G235" s="237"/>
      <c r="H235" s="238"/>
      <c r="I235" s="234"/>
      <c r="J235" s="239"/>
      <c r="K235" s="240"/>
      <c r="L235" s="241"/>
    </row>
    <row r="236" spans="2:12" ht="12.5" x14ac:dyDescent="0.25">
      <c r="B236" s="274"/>
      <c r="C236" s="233"/>
      <c r="D236" s="234"/>
      <c r="E236" s="235"/>
      <c r="F236" s="236"/>
      <c r="G236" s="237"/>
      <c r="H236" s="238"/>
      <c r="I236" s="234"/>
      <c r="J236" s="239"/>
      <c r="K236" s="240"/>
      <c r="L236" s="241"/>
    </row>
    <row r="237" spans="2:12" ht="12.5" x14ac:dyDescent="0.25">
      <c r="B237" s="274"/>
      <c r="C237" s="233"/>
      <c r="D237" s="234"/>
      <c r="E237" s="235"/>
      <c r="F237" s="236"/>
      <c r="G237" s="237"/>
      <c r="H237" s="238"/>
      <c r="I237" s="234"/>
      <c r="J237" s="239"/>
      <c r="K237" s="240"/>
      <c r="L237" s="241"/>
    </row>
    <row r="238" spans="2:12" ht="12.5" x14ac:dyDescent="0.25">
      <c r="B238" s="274"/>
      <c r="C238" s="233"/>
      <c r="D238" s="234"/>
      <c r="E238" s="235"/>
      <c r="F238" s="236"/>
      <c r="G238" s="237"/>
      <c r="H238" s="238"/>
      <c r="I238" s="234"/>
      <c r="J238" s="239"/>
      <c r="K238" s="240"/>
      <c r="L238" s="241"/>
    </row>
    <row r="239" spans="2:12" ht="12.5" x14ac:dyDescent="0.25">
      <c r="B239" s="274"/>
      <c r="C239" s="233"/>
      <c r="D239" s="234"/>
      <c r="E239" s="235"/>
      <c r="F239" s="236"/>
      <c r="G239" s="237"/>
      <c r="H239" s="238"/>
      <c r="I239" s="234"/>
      <c r="J239" s="239"/>
      <c r="K239" s="240"/>
      <c r="L239" s="241"/>
    </row>
    <row r="240" spans="2:12" ht="12.5" x14ac:dyDescent="0.25">
      <c r="B240" s="274"/>
      <c r="C240" s="233"/>
      <c r="D240" s="234"/>
      <c r="E240" s="235"/>
      <c r="F240" s="236"/>
      <c r="G240" s="237"/>
      <c r="H240" s="238"/>
      <c r="I240" s="234"/>
      <c r="J240" s="239"/>
      <c r="K240" s="240"/>
      <c r="L240" s="241"/>
    </row>
    <row r="241" spans="2:12" ht="12.5" x14ac:dyDescent="0.25">
      <c r="B241" s="274"/>
      <c r="C241" s="233"/>
      <c r="D241" s="234"/>
      <c r="E241" s="235"/>
      <c r="F241" s="236"/>
      <c r="G241" s="237"/>
      <c r="H241" s="238"/>
      <c r="I241" s="234"/>
      <c r="J241" s="239"/>
      <c r="K241" s="240"/>
      <c r="L241" s="241"/>
    </row>
    <row r="242" spans="2:12" ht="12.5" x14ac:dyDescent="0.25">
      <c r="B242" s="274"/>
      <c r="C242" s="233"/>
      <c r="D242" s="234"/>
      <c r="E242" s="235"/>
      <c r="F242" s="236"/>
      <c r="G242" s="237"/>
      <c r="H242" s="238"/>
      <c r="I242" s="234"/>
      <c r="J242" s="239"/>
      <c r="K242" s="240"/>
      <c r="L242" s="241"/>
    </row>
    <row r="243" spans="2:12" ht="12.5" x14ac:dyDescent="0.25">
      <c r="B243" s="274"/>
      <c r="C243" s="233"/>
      <c r="D243" s="234"/>
      <c r="E243" s="235"/>
      <c r="F243" s="236"/>
      <c r="G243" s="237"/>
      <c r="H243" s="238"/>
      <c r="I243" s="234"/>
      <c r="J243" s="239"/>
      <c r="K243" s="240"/>
      <c r="L243" s="241"/>
    </row>
    <row r="244" spans="2:12" ht="12.5" x14ac:dyDescent="0.25">
      <c r="B244" s="274"/>
      <c r="C244" s="233"/>
      <c r="D244" s="234"/>
      <c r="E244" s="235"/>
      <c r="F244" s="236"/>
      <c r="G244" s="237"/>
      <c r="H244" s="238"/>
      <c r="I244" s="234"/>
      <c r="J244" s="239"/>
      <c r="K244" s="240"/>
      <c r="L244" s="241"/>
    </row>
    <row r="245" spans="2:12" ht="12.5" x14ac:dyDescent="0.25">
      <c r="B245" s="274"/>
      <c r="C245" s="233"/>
      <c r="D245" s="234"/>
      <c r="E245" s="235"/>
      <c r="F245" s="236"/>
      <c r="G245" s="237"/>
      <c r="H245" s="238"/>
      <c r="I245" s="234"/>
      <c r="J245" s="239"/>
      <c r="K245" s="240"/>
      <c r="L245" s="241"/>
    </row>
    <row r="246" spans="2:12" ht="12.5" x14ac:dyDescent="0.25">
      <c r="B246" s="274"/>
      <c r="C246" s="233"/>
      <c r="D246" s="234"/>
      <c r="E246" s="235"/>
      <c r="F246" s="236"/>
      <c r="G246" s="237"/>
      <c r="H246" s="238"/>
      <c r="I246" s="234"/>
      <c r="J246" s="239"/>
      <c r="K246" s="240"/>
      <c r="L246" s="241"/>
    </row>
    <row r="247" spans="2:12" ht="12.5" x14ac:dyDescent="0.25">
      <c r="B247" s="274"/>
      <c r="C247" s="233"/>
      <c r="D247" s="234"/>
      <c r="E247" s="235"/>
      <c r="F247" s="236"/>
      <c r="G247" s="237"/>
      <c r="H247" s="238"/>
      <c r="I247" s="234"/>
      <c r="J247" s="239"/>
      <c r="K247" s="240"/>
      <c r="L247" s="241"/>
    </row>
    <row r="248" spans="2:12" ht="12.5" x14ac:dyDescent="0.25">
      <c r="B248" s="274"/>
      <c r="C248" s="233"/>
      <c r="D248" s="234"/>
      <c r="E248" s="235"/>
      <c r="F248" s="236"/>
      <c r="G248" s="237"/>
      <c r="H248" s="238"/>
      <c r="I248" s="234"/>
      <c r="J248" s="239"/>
      <c r="K248" s="240"/>
      <c r="L248" s="241"/>
    </row>
    <row r="249" spans="2:12" ht="12.5" x14ac:dyDescent="0.25">
      <c r="B249" s="274"/>
      <c r="C249" s="233"/>
      <c r="D249" s="234"/>
      <c r="E249" s="235"/>
      <c r="F249" s="236"/>
      <c r="G249" s="237"/>
      <c r="H249" s="238"/>
      <c r="I249" s="234"/>
      <c r="J249" s="239"/>
      <c r="K249" s="240"/>
      <c r="L249" s="241"/>
    </row>
    <row r="250" spans="2:12" ht="12.5" x14ac:dyDescent="0.25">
      <c r="B250" s="232"/>
      <c r="C250" s="233"/>
      <c r="D250" s="234"/>
      <c r="E250" s="235"/>
      <c r="F250" s="236"/>
      <c r="G250" s="237"/>
      <c r="H250" s="238"/>
      <c r="I250" s="234"/>
      <c r="J250" s="239"/>
      <c r="K250" s="240"/>
      <c r="L250" s="241"/>
    </row>
    <row r="251" spans="2:12" ht="12.5" x14ac:dyDescent="0.25">
      <c r="B251" s="232"/>
      <c r="C251" s="233"/>
      <c r="D251" s="234"/>
      <c r="E251" s="235"/>
      <c r="F251" s="236"/>
      <c r="G251" s="237"/>
      <c r="H251" s="238"/>
      <c r="I251" s="234"/>
      <c r="J251" s="239"/>
      <c r="K251" s="240"/>
      <c r="L251" s="241"/>
    </row>
    <row r="252" spans="2:12" ht="12.5" x14ac:dyDescent="0.25">
      <c r="B252" s="232"/>
      <c r="C252" s="233"/>
      <c r="D252" s="234"/>
      <c r="E252" s="235"/>
      <c r="F252" s="236"/>
      <c r="G252" s="237"/>
      <c r="H252" s="238"/>
      <c r="I252" s="234"/>
      <c r="J252" s="239"/>
      <c r="K252" s="240"/>
      <c r="L252" s="241"/>
    </row>
    <row r="253" spans="2:12" ht="12.5" x14ac:dyDescent="0.25">
      <c r="B253" s="232"/>
      <c r="C253" s="233"/>
      <c r="D253" s="234"/>
      <c r="E253" s="235"/>
      <c r="F253" s="236"/>
      <c r="G253" s="237"/>
      <c r="H253" s="238"/>
      <c r="I253" s="234"/>
      <c r="J253" s="239"/>
      <c r="K253" s="240"/>
      <c r="L253" s="241"/>
    </row>
    <row r="254" spans="2:12" ht="12.5" x14ac:dyDescent="0.25">
      <c r="B254" s="232"/>
      <c r="C254" s="233"/>
      <c r="D254" s="234"/>
      <c r="E254" s="235"/>
      <c r="F254" s="236"/>
      <c r="G254" s="237"/>
      <c r="H254" s="238"/>
      <c r="I254" s="234"/>
      <c r="J254" s="239"/>
      <c r="K254" s="240"/>
      <c r="L254" s="241"/>
    </row>
    <row r="255" spans="2:12" ht="12.5" x14ac:dyDescent="0.25">
      <c r="B255" s="232"/>
      <c r="C255" s="233"/>
      <c r="D255" s="234"/>
      <c r="E255" s="235"/>
      <c r="F255" s="236"/>
      <c r="G255" s="237"/>
      <c r="H255" s="238"/>
      <c r="I255" s="234"/>
      <c r="J255" s="239"/>
      <c r="K255" s="240"/>
      <c r="L255" s="241"/>
    </row>
    <row r="256" spans="2:12" ht="12.5" x14ac:dyDescent="0.25">
      <c r="B256" s="232"/>
      <c r="C256" s="233"/>
      <c r="D256" s="234"/>
      <c r="E256" s="235"/>
      <c r="F256" s="236"/>
      <c r="G256" s="237"/>
      <c r="H256" s="238"/>
      <c r="I256" s="234"/>
      <c r="J256" s="239"/>
      <c r="K256" s="240"/>
      <c r="L256" s="241"/>
    </row>
    <row r="257" spans="2:12" ht="12.5" x14ac:dyDescent="0.25">
      <c r="B257" s="232"/>
      <c r="C257" s="233"/>
      <c r="D257" s="234"/>
      <c r="E257" s="235"/>
      <c r="F257" s="236"/>
      <c r="G257" s="237"/>
      <c r="H257" s="238"/>
      <c r="I257" s="234"/>
      <c r="J257" s="239"/>
      <c r="K257" s="240"/>
      <c r="L257" s="241"/>
    </row>
    <row r="258" spans="2:12" ht="12.5" x14ac:dyDescent="0.25">
      <c r="B258" s="232"/>
      <c r="C258" s="233"/>
      <c r="D258" s="234"/>
      <c r="E258" s="235"/>
      <c r="F258" s="236"/>
      <c r="G258" s="237"/>
      <c r="H258" s="238"/>
      <c r="I258" s="234"/>
      <c r="J258" s="239"/>
      <c r="K258" s="240"/>
      <c r="L258" s="241"/>
    </row>
    <row r="259" spans="2:12" ht="12.5" x14ac:dyDescent="0.25">
      <c r="B259" s="232"/>
      <c r="C259" s="233"/>
      <c r="D259" s="234"/>
      <c r="E259" s="235"/>
      <c r="F259" s="236"/>
      <c r="G259" s="237"/>
      <c r="H259" s="238"/>
      <c r="I259" s="234"/>
      <c r="J259" s="239"/>
      <c r="K259" s="240"/>
      <c r="L259" s="241"/>
    </row>
    <row r="260" spans="2:12" ht="12.5" x14ac:dyDescent="0.25">
      <c r="B260" s="232"/>
      <c r="C260" s="233"/>
      <c r="D260" s="234"/>
      <c r="E260" s="235"/>
      <c r="F260" s="236"/>
      <c r="G260" s="237"/>
      <c r="H260" s="238"/>
      <c r="I260" s="234"/>
      <c r="J260" s="239"/>
      <c r="K260" s="240"/>
      <c r="L260" s="241"/>
    </row>
    <row r="261" spans="2:12" ht="12.5" x14ac:dyDescent="0.25">
      <c r="B261" s="232"/>
      <c r="C261" s="233"/>
      <c r="D261" s="234"/>
      <c r="E261" s="235"/>
      <c r="F261" s="236"/>
      <c r="G261" s="237"/>
      <c r="H261" s="238"/>
      <c r="I261" s="234"/>
      <c r="J261" s="239"/>
      <c r="K261" s="240"/>
      <c r="L261" s="241"/>
    </row>
    <row r="262" spans="2:12" ht="12.5" x14ac:dyDescent="0.25">
      <c r="B262" s="232"/>
      <c r="C262" s="233"/>
      <c r="D262" s="234"/>
      <c r="E262" s="235"/>
      <c r="F262" s="236"/>
      <c r="G262" s="237"/>
      <c r="H262" s="238"/>
      <c r="I262" s="234"/>
      <c r="J262" s="239"/>
      <c r="K262" s="240"/>
      <c r="L262" s="241"/>
    </row>
    <row r="263" spans="2:12" ht="12.5" x14ac:dyDescent="0.25">
      <c r="B263" s="232"/>
      <c r="C263" s="233"/>
      <c r="D263" s="234"/>
      <c r="E263" s="235"/>
      <c r="F263" s="236"/>
      <c r="G263" s="237"/>
      <c r="H263" s="238"/>
      <c r="I263" s="234"/>
      <c r="J263" s="239"/>
      <c r="K263" s="240"/>
      <c r="L263" s="241"/>
    </row>
    <row r="264" spans="2:12" ht="12.5" x14ac:dyDescent="0.25">
      <c r="B264" s="232"/>
      <c r="C264" s="233"/>
      <c r="D264" s="234"/>
      <c r="E264" s="235"/>
      <c r="F264" s="236"/>
      <c r="G264" s="237"/>
      <c r="H264" s="238"/>
      <c r="I264" s="234"/>
      <c r="J264" s="239"/>
      <c r="K264" s="240"/>
      <c r="L264" s="241"/>
    </row>
    <row r="265" spans="2:12" ht="12.5" x14ac:dyDescent="0.25">
      <c r="B265" s="232"/>
      <c r="C265" s="233"/>
      <c r="D265" s="234"/>
      <c r="E265" s="235"/>
      <c r="F265" s="236"/>
      <c r="G265" s="237"/>
      <c r="H265" s="238"/>
      <c r="I265" s="234"/>
      <c r="J265" s="239"/>
      <c r="K265" s="240"/>
      <c r="L265" s="241"/>
    </row>
    <row r="266" spans="2:12" ht="12.5" x14ac:dyDescent="0.25">
      <c r="B266" s="232"/>
      <c r="C266" s="233"/>
      <c r="D266" s="234"/>
      <c r="E266" s="235"/>
      <c r="F266" s="236"/>
      <c r="G266" s="237"/>
      <c r="H266" s="238"/>
      <c r="I266" s="234"/>
      <c r="J266" s="239"/>
      <c r="K266" s="240"/>
      <c r="L266" s="241"/>
    </row>
    <row r="267" spans="2:12" ht="12.5" x14ac:dyDescent="0.25">
      <c r="B267" s="232"/>
      <c r="C267" s="233"/>
      <c r="D267" s="234"/>
      <c r="E267" s="235"/>
      <c r="F267" s="236"/>
      <c r="G267" s="237"/>
      <c r="H267" s="238"/>
      <c r="I267" s="234"/>
      <c r="J267" s="239"/>
      <c r="K267" s="240"/>
      <c r="L267" s="241"/>
    </row>
    <row r="268" spans="2:12" ht="12.5" x14ac:dyDescent="0.25">
      <c r="B268" s="232"/>
      <c r="C268" s="233"/>
      <c r="D268" s="234"/>
      <c r="E268" s="235"/>
      <c r="F268" s="236"/>
      <c r="G268" s="237"/>
      <c r="H268" s="238"/>
      <c r="I268" s="234"/>
      <c r="J268" s="239"/>
      <c r="K268" s="240"/>
      <c r="L268" s="241"/>
    </row>
    <row r="269" spans="2:12" ht="12.5" x14ac:dyDescent="0.25">
      <c r="B269" s="232"/>
      <c r="C269" s="233"/>
      <c r="D269" s="234"/>
      <c r="E269" s="235"/>
      <c r="F269" s="236"/>
      <c r="G269" s="237"/>
      <c r="H269" s="238"/>
      <c r="I269" s="234"/>
      <c r="J269" s="239"/>
      <c r="K269" s="240"/>
      <c r="L269" s="241"/>
    </row>
    <row r="270" spans="2:12" ht="12.5" x14ac:dyDescent="0.25">
      <c r="B270" s="232"/>
      <c r="C270" s="233"/>
      <c r="D270" s="234"/>
      <c r="E270" s="235"/>
      <c r="F270" s="236"/>
      <c r="G270" s="237"/>
      <c r="H270" s="238"/>
      <c r="I270" s="234"/>
      <c r="J270" s="239"/>
      <c r="K270" s="240"/>
      <c r="L270" s="241"/>
    </row>
    <row r="271" spans="2:12" ht="12.5" x14ac:dyDescent="0.25">
      <c r="B271" s="232"/>
      <c r="C271" s="233"/>
      <c r="D271" s="234"/>
      <c r="E271" s="235"/>
      <c r="F271" s="236"/>
      <c r="G271" s="237"/>
      <c r="H271" s="238"/>
      <c r="I271" s="234"/>
      <c r="J271" s="239"/>
      <c r="K271" s="240"/>
      <c r="L271" s="241"/>
    </row>
    <row r="272" spans="2:12" ht="12.5" x14ac:dyDescent="0.25">
      <c r="B272" s="232"/>
      <c r="C272" s="233"/>
      <c r="D272" s="234"/>
      <c r="E272" s="235"/>
      <c r="F272" s="236"/>
      <c r="G272" s="237"/>
      <c r="H272" s="238"/>
      <c r="I272" s="234"/>
      <c r="J272" s="239"/>
      <c r="K272" s="240"/>
      <c r="L272" s="241"/>
    </row>
    <row r="273" spans="2:12" ht="12.5" x14ac:dyDescent="0.25">
      <c r="B273" s="232"/>
      <c r="C273" s="233"/>
      <c r="D273" s="234"/>
      <c r="E273" s="235"/>
      <c r="F273" s="236"/>
      <c r="G273" s="237"/>
      <c r="H273" s="238"/>
      <c r="I273" s="234"/>
      <c r="J273" s="239"/>
      <c r="K273" s="240"/>
      <c r="L273" s="241"/>
    </row>
    <row r="274" spans="2:12" ht="12.5" x14ac:dyDescent="0.25">
      <c r="B274" s="232"/>
      <c r="C274" s="233"/>
      <c r="D274" s="234"/>
      <c r="E274" s="235"/>
      <c r="F274" s="236"/>
      <c r="G274" s="237"/>
      <c r="H274" s="238"/>
      <c r="I274" s="234"/>
      <c r="J274" s="239"/>
      <c r="K274" s="240"/>
      <c r="L274" s="241"/>
    </row>
    <row r="275" spans="2:12" ht="12.5" x14ac:dyDescent="0.25">
      <c r="B275" s="232"/>
      <c r="C275" s="233"/>
      <c r="D275" s="234"/>
      <c r="E275" s="235"/>
      <c r="F275" s="236"/>
      <c r="G275" s="237"/>
      <c r="H275" s="238"/>
      <c r="I275" s="234"/>
      <c r="J275" s="239"/>
      <c r="K275" s="240"/>
      <c r="L275" s="241"/>
    </row>
    <row r="276" spans="2:12" ht="12.5" x14ac:dyDescent="0.25">
      <c r="B276" s="232"/>
      <c r="C276" s="233"/>
      <c r="D276" s="234"/>
      <c r="E276" s="235"/>
      <c r="F276" s="236"/>
      <c r="G276" s="237"/>
      <c r="H276" s="238"/>
      <c r="I276" s="234"/>
      <c r="J276" s="239"/>
      <c r="K276" s="240"/>
      <c r="L276" s="241"/>
    </row>
    <row r="277" spans="2:12" ht="12.5" x14ac:dyDescent="0.25">
      <c r="B277" s="232"/>
      <c r="C277" s="233"/>
      <c r="D277" s="234"/>
      <c r="E277" s="235"/>
      <c r="F277" s="236"/>
      <c r="G277" s="237"/>
      <c r="H277" s="238"/>
      <c r="I277" s="234"/>
      <c r="J277" s="239"/>
      <c r="K277" s="240"/>
      <c r="L277" s="241"/>
    </row>
    <row r="278" spans="2:12" ht="12.5" x14ac:dyDescent="0.25">
      <c r="B278" s="232"/>
      <c r="C278" s="233"/>
      <c r="D278" s="234"/>
      <c r="E278" s="235"/>
      <c r="F278" s="236"/>
      <c r="G278" s="237"/>
      <c r="H278" s="238"/>
      <c r="I278" s="234"/>
      <c r="J278" s="239"/>
      <c r="K278" s="240"/>
      <c r="L278" s="241"/>
    </row>
    <row r="279" spans="2:12" ht="12.5" x14ac:dyDescent="0.25">
      <c r="B279" s="232"/>
      <c r="C279" s="233"/>
      <c r="D279" s="234"/>
      <c r="E279" s="235"/>
      <c r="F279" s="236"/>
      <c r="G279" s="237"/>
      <c r="H279" s="238"/>
      <c r="I279" s="234"/>
      <c r="J279" s="239"/>
      <c r="K279" s="240"/>
      <c r="L279" s="241"/>
    </row>
    <row r="280" spans="2:12" ht="12.5" x14ac:dyDescent="0.25">
      <c r="B280" s="232"/>
      <c r="C280" s="233"/>
      <c r="D280" s="234"/>
      <c r="E280" s="235"/>
      <c r="F280" s="236"/>
      <c r="G280" s="237"/>
      <c r="H280" s="238"/>
      <c r="I280" s="234"/>
      <c r="J280" s="239"/>
      <c r="K280" s="240"/>
      <c r="L280" s="241"/>
    </row>
    <row r="281" spans="2:12" ht="12.5" x14ac:dyDescent="0.25">
      <c r="B281" s="232"/>
      <c r="C281" s="233"/>
      <c r="D281" s="234"/>
      <c r="E281" s="235"/>
      <c r="F281" s="236"/>
      <c r="G281" s="237"/>
      <c r="H281" s="238"/>
      <c r="I281" s="234"/>
      <c r="J281" s="239"/>
      <c r="K281" s="240"/>
      <c r="L281" s="241"/>
    </row>
    <row r="282" spans="2:12" ht="12.5" x14ac:dyDescent="0.25">
      <c r="B282" s="232"/>
      <c r="C282" s="233"/>
      <c r="D282" s="234"/>
      <c r="E282" s="235"/>
      <c r="F282" s="236"/>
      <c r="G282" s="237"/>
      <c r="H282" s="238"/>
      <c r="I282" s="234"/>
      <c r="J282" s="239"/>
      <c r="K282" s="240"/>
      <c r="L282" s="241"/>
    </row>
    <row r="283" spans="2:12" ht="12.5" x14ac:dyDescent="0.25">
      <c r="B283" s="232"/>
      <c r="C283" s="233"/>
      <c r="D283" s="234"/>
      <c r="E283" s="235"/>
      <c r="F283" s="236"/>
      <c r="G283" s="237"/>
      <c r="H283" s="238"/>
      <c r="I283" s="234"/>
      <c r="J283" s="239"/>
      <c r="K283" s="240"/>
      <c r="L283" s="241"/>
    </row>
    <row r="284" spans="2:12" ht="12.5" x14ac:dyDescent="0.25">
      <c r="B284" s="232"/>
      <c r="C284" s="233"/>
      <c r="D284" s="234"/>
      <c r="E284" s="235"/>
      <c r="F284" s="236"/>
      <c r="G284" s="237"/>
      <c r="H284" s="238"/>
      <c r="I284" s="234"/>
      <c r="J284" s="239"/>
      <c r="K284" s="240"/>
      <c r="L284" s="241"/>
    </row>
    <row r="285" spans="2:12" ht="12.5" x14ac:dyDescent="0.25">
      <c r="B285" s="232"/>
      <c r="C285" s="233"/>
      <c r="D285" s="234"/>
      <c r="E285" s="235"/>
      <c r="F285" s="236"/>
      <c r="G285" s="237"/>
      <c r="H285" s="238"/>
      <c r="I285" s="234"/>
      <c r="J285" s="239"/>
      <c r="K285" s="240"/>
      <c r="L285" s="241"/>
    </row>
    <row r="286" spans="2:12" ht="12.5" x14ac:dyDescent="0.25">
      <c r="B286" s="232"/>
      <c r="C286" s="233"/>
      <c r="D286" s="234"/>
      <c r="E286" s="235"/>
      <c r="F286" s="236"/>
      <c r="G286" s="237"/>
      <c r="H286" s="238"/>
      <c r="I286" s="234"/>
      <c r="J286" s="239"/>
      <c r="K286" s="240"/>
      <c r="L286" s="241"/>
    </row>
    <row r="287" spans="2:12" ht="12.5" x14ac:dyDescent="0.25">
      <c r="B287" s="232"/>
      <c r="C287" s="233"/>
      <c r="D287" s="234"/>
      <c r="E287" s="235"/>
      <c r="F287" s="236"/>
      <c r="G287" s="237"/>
      <c r="H287" s="238"/>
      <c r="I287" s="234"/>
      <c r="J287" s="239"/>
      <c r="K287" s="240"/>
      <c r="L287" s="241"/>
    </row>
    <row r="288" spans="2:12" ht="12.5" x14ac:dyDescent="0.25">
      <c r="B288" s="232"/>
      <c r="C288" s="233"/>
      <c r="D288" s="234"/>
      <c r="E288" s="235"/>
      <c r="F288" s="236"/>
      <c r="G288" s="237"/>
      <c r="H288" s="238"/>
      <c r="I288" s="234"/>
      <c r="J288" s="239"/>
      <c r="K288" s="240"/>
      <c r="L288" s="241"/>
    </row>
    <row r="289" spans="2:12" ht="12.5" x14ac:dyDescent="0.25">
      <c r="B289" s="232"/>
      <c r="C289" s="233"/>
      <c r="D289" s="234"/>
      <c r="E289" s="235"/>
      <c r="F289" s="236"/>
      <c r="G289" s="237"/>
      <c r="H289" s="238"/>
      <c r="I289" s="234"/>
      <c r="J289" s="239"/>
      <c r="K289" s="240"/>
      <c r="L289" s="241"/>
    </row>
    <row r="290" spans="2:12" ht="12.5" x14ac:dyDescent="0.25">
      <c r="B290" s="232"/>
      <c r="C290" s="233"/>
      <c r="D290" s="234"/>
      <c r="E290" s="235"/>
      <c r="F290" s="236"/>
      <c r="G290" s="237"/>
      <c r="H290" s="238"/>
      <c r="I290" s="234"/>
      <c r="J290" s="239"/>
      <c r="K290" s="240"/>
      <c r="L290" s="241"/>
    </row>
    <row r="291" spans="2:12" ht="12.5" x14ac:dyDescent="0.25">
      <c r="B291" s="232"/>
      <c r="C291" s="233"/>
      <c r="D291" s="234"/>
      <c r="E291" s="235"/>
      <c r="F291" s="236"/>
      <c r="G291" s="237"/>
      <c r="H291" s="238"/>
      <c r="I291" s="234"/>
      <c r="J291" s="239"/>
      <c r="K291" s="240"/>
      <c r="L291" s="241"/>
    </row>
    <row r="292" spans="2:12" ht="12.5" x14ac:dyDescent="0.25">
      <c r="B292" s="232"/>
      <c r="C292" s="233"/>
      <c r="D292" s="234"/>
      <c r="E292" s="235"/>
      <c r="F292" s="236"/>
      <c r="G292" s="237"/>
      <c r="H292" s="238"/>
      <c r="I292" s="234"/>
      <c r="J292" s="239"/>
      <c r="K292" s="240"/>
      <c r="L292" s="241"/>
    </row>
    <row r="293" spans="2:12" ht="12.5" x14ac:dyDescent="0.25">
      <c r="B293" s="232"/>
      <c r="C293" s="233"/>
      <c r="D293" s="234"/>
      <c r="E293" s="235"/>
      <c r="F293" s="236"/>
      <c r="G293" s="237"/>
      <c r="H293" s="238"/>
      <c r="I293" s="234"/>
      <c r="J293" s="239"/>
      <c r="K293" s="240"/>
      <c r="L293" s="241"/>
    </row>
    <row r="294" spans="2:12" ht="12.5" x14ac:dyDescent="0.25">
      <c r="B294" s="232"/>
      <c r="C294" s="233"/>
      <c r="D294" s="234"/>
      <c r="E294" s="235"/>
      <c r="F294" s="236"/>
      <c r="G294" s="237"/>
      <c r="H294" s="238"/>
      <c r="I294" s="234"/>
      <c r="J294" s="239"/>
      <c r="K294" s="240"/>
      <c r="L294" s="241"/>
    </row>
    <row r="295" spans="2:12" ht="12.5" x14ac:dyDescent="0.25">
      <c r="B295" s="232"/>
      <c r="C295" s="233"/>
      <c r="D295" s="234"/>
      <c r="E295" s="235"/>
      <c r="F295" s="236"/>
      <c r="G295" s="237"/>
      <c r="H295" s="238"/>
      <c r="I295" s="234"/>
      <c r="J295" s="239"/>
      <c r="K295" s="240"/>
      <c r="L295" s="241"/>
    </row>
    <row r="296" spans="2:12" ht="12.5" x14ac:dyDescent="0.25">
      <c r="B296" s="232"/>
      <c r="C296" s="233"/>
      <c r="D296" s="234"/>
      <c r="E296" s="235"/>
      <c r="F296" s="236"/>
      <c r="G296" s="237"/>
      <c r="H296" s="238"/>
      <c r="I296" s="234"/>
      <c r="J296" s="239"/>
      <c r="K296" s="240"/>
      <c r="L296" s="241"/>
    </row>
    <row r="297" spans="2:12" ht="12.5" x14ac:dyDescent="0.25">
      <c r="B297" s="232"/>
      <c r="C297" s="233"/>
      <c r="D297" s="234"/>
      <c r="E297" s="235"/>
      <c r="F297" s="236"/>
      <c r="G297" s="237"/>
      <c r="H297" s="238"/>
      <c r="I297" s="234"/>
      <c r="J297" s="239"/>
      <c r="K297" s="240"/>
      <c r="L297" s="241"/>
    </row>
    <row r="298" spans="2:12" ht="12.5" x14ac:dyDescent="0.25">
      <c r="B298" s="232"/>
      <c r="C298" s="233"/>
      <c r="D298" s="234"/>
      <c r="E298" s="235"/>
      <c r="F298" s="236"/>
      <c r="G298" s="237"/>
      <c r="H298" s="238"/>
      <c r="I298" s="234"/>
      <c r="J298" s="239"/>
      <c r="K298" s="240"/>
      <c r="L298" s="241"/>
    </row>
    <row r="299" spans="2:12" ht="12.5" x14ac:dyDescent="0.25">
      <c r="B299" s="232"/>
      <c r="C299" s="233"/>
      <c r="D299" s="234"/>
      <c r="E299" s="235"/>
      <c r="F299" s="236"/>
      <c r="G299" s="237"/>
      <c r="H299" s="238"/>
      <c r="I299" s="234"/>
      <c r="J299" s="239"/>
      <c r="K299" s="240"/>
      <c r="L299" s="241"/>
    </row>
    <row r="300" spans="2:12" ht="12.5" x14ac:dyDescent="0.25">
      <c r="B300" s="232"/>
      <c r="C300" s="233"/>
      <c r="D300" s="234"/>
      <c r="E300" s="235"/>
      <c r="F300" s="236"/>
      <c r="G300" s="237"/>
      <c r="H300" s="238"/>
      <c r="I300" s="234"/>
      <c r="J300" s="239"/>
      <c r="K300" s="240"/>
      <c r="L300" s="241"/>
    </row>
    <row r="301" spans="2:12" ht="12.5" x14ac:dyDescent="0.25">
      <c r="B301" s="232"/>
      <c r="C301" s="233"/>
      <c r="D301" s="234"/>
      <c r="E301" s="235"/>
      <c r="F301" s="236"/>
      <c r="G301" s="237"/>
      <c r="H301" s="238"/>
      <c r="I301" s="234"/>
      <c r="J301" s="239"/>
      <c r="K301" s="240"/>
      <c r="L301" s="241"/>
    </row>
    <row r="302" spans="2:12" ht="12.5" x14ac:dyDescent="0.25">
      <c r="B302" s="232"/>
      <c r="C302" s="233"/>
      <c r="D302" s="234"/>
      <c r="E302" s="235"/>
      <c r="F302" s="236"/>
      <c r="G302" s="237"/>
      <c r="H302" s="238"/>
      <c r="I302" s="234"/>
      <c r="J302" s="239"/>
      <c r="K302" s="240"/>
      <c r="L302" s="241"/>
    </row>
    <row r="303" spans="2:12" ht="12.5" x14ac:dyDescent="0.25">
      <c r="B303" s="232"/>
      <c r="C303" s="233"/>
      <c r="D303" s="234"/>
      <c r="E303" s="235"/>
      <c r="F303" s="236"/>
      <c r="G303" s="237"/>
      <c r="H303" s="238"/>
      <c r="I303" s="234"/>
      <c r="J303" s="239"/>
      <c r="K303" s="240"/>
      <c r="L303" s="241"/>
    </row>
    <row r="304" spans="2:12" ht="12.5" x14ac:dyDescent="0.25">
      <c r="B304" s="232"/>
      <c r="C304" s="233"/>
      <c r="D304" s="234"/>
      <c r="E304" s="235"/>
      <c r="F304" s="236"/>
      <c r="G304" s="237"/>
      <c r="H304" s="238"/>
      <c r="I304" s="234"/>
      <c r="J304" s="239"/>
      <c r="K304" s="240"/>
      <c r="L304" s="241"/>
    </row>
    <row r="305" spans="2:12" ht="12.5" x14ac:dyDescent="0.25">
      <c r="B305" s="232"/>
      <c r="C305" s="233"/>
      <c r="D305" s="234"/>
      <c r="E305" s="235"/>
      <c r="F305" s="236"/>
      <c r="G305" s="237"/>
      <c r="H305" s="238"/>
      <c r="I305" s="234"/>
      <c r="J305" s="239"/>
      <c r="K305" s="240"/>
      <c r="L305" s="241"/>
    </row>
    <row r="306" spans="2:12" ht="12.5" x14ac:dyDescent="0.25">
      <c r="B306" s="232"/>
      <c r="C306" s="233"/>
      <c r="D306" s="234"/>
      <c r="E306" s="235"/>
      <c r="F306" s="236"/>
      <c r="G306" s="237"/>
      <c r="H306" s="238"/>
      <c r="I306" s="234"/>
      <c r="J306" s="239"/>
      <c r="K306" s="240"/>
      <c r="L306" s="241"/>
    </row>
    <row r="307" spans="2:12" ht="12.5" x14ac:dyDescent="0.25">
      <c r="B307" s="232"/>
      <c r="C307" s="233"/>
      <c r="D307" s="234"/>
      <c r="E307" s="235"/>
      <c r="F307" s="236"/>
      <c r="G307" s="237"/>
      <c r="H307" s="238"/>
      <c r="I307" s="234"/>
      <c r="J307" s="239"/>
      <c r="K307" s="240"/>
      <c r="L307" s="241"/>
    </row>
    <row r="308" spans="2:12" ht="12.5" x14ac:dyDescent="0.25">
      <c r="B308" s="232"/>
      <c r="C308" s="233"/>
      <c r="D308" s="234"/>
      <c r="E308" s="235"/>
      <c r="F308" s="236"/>
      <c r="G308" s="237"/>
      <c r="H308" s="238"/>
      <c r="I308" s="234"/>
      <c r="J308" s="239"/>
      <c r="K308" s="240"/>
      <c r="L308" s="241"/>
    </row>
    <row r="309" spans="2:12" ht="12.5" x14ac:dyDescent="0.25">
      <c r="B309" s="232"/>
      <c r="C309" s="233"/>
      <c r="D309" s="234"/>
      <c r="E309" s="235"/>
      <c r="F309" s="236"/>
      <c r="G309" s="237"/>
      <c r="H309" s="238"/>
      <c r="I309" s="234"/>
      <c r="J309" s="239"/>
      <c r="K309" s="240"/>
      <c r="L309" s="241"/>
    </row>
    <row r="310" spans="2:12" ht="12.5" x14ac:dyDescent="0.25">
      <c r="B310" s="232"/>
      <c r="C310" s="233"/>
      <c r="D310" s="234"/>
      <c r="E310" s="235"/>
      <c r="F310" s="236"/>
      <c r="G310" s="237"/>
      <c r="H310" s="238"/>
      <c r="I310" s="234"/>
      <c r="J310" s="239"/>
      <c r="K310" s="240"/>
      <c r="L310" s="241"/>
    </row>
    <row r="311" spans="2:12" ht="12.5" x14ac:dyDescent="0.25">
      <c r="B311" s="232"/>
      <c r="C311" s="233"/>
      <c r="D311" s="234"/>
      <c r="E311" s="235"/>
      <c r="F311" s="236"/>
      <c r="G311" s="237"/>
      <c r="H311" s="238"/>
      <c r="I311" s="234"/>
      <c r="J311" s="239"/>
      <c r="K311" s="240"/>
      <c r="L311" s="241"/>
    </row>
    <row r="312" spans="2:12" ht="12.5" x14ac:dyDescent="0.25">
      <c r="B312" s="232"/>
      <c r="C312" s="233"/>
      <c r="D312" s="234"/>
      <c r="E312" s="235"/>
      <c r="F312" s="236"/>
      <c r="G312" s="237"/>
      <c r="H312" s="238"/>
      <c r="I312" s="234"/>
      <c r="J312" s="239"/>
      <c r="K312" s="240"/>
      <c r="L312" s="241"/>
    </row>
    <row r="313" spans="2:12" ht="12.5" x14ac:dyDescent="0.25">
      <c r="B313" s="232"/>
      <c r="C313" s="233"/>
      <c r="D313" s="234"/>
      <c r="E313" s="235"/>
      <c r="F313" s="236"/>
      <c r="G313" s="237"/>
      <c r="H313" s="238"/>
      <c r="I313" s="234"/>
      <c r="J313" s="239"/>
      <c r="K313" s="240"/>
      <c r="L313" s="241"/>
    </row>
    <row r="314" spans="2:12" ht="12.5" x14ac:dyDescent="0.25">
      <c r="B314" s="232"/>
      <c r="C314" s="233"/>
      <c r="D314" s="234"/>
      <c r="E314" s="235"/>
      <c r="F314" s="236"/>
      <c r="G314" s="237"/>
      <c r="H314" s="238"/>
      <c r="I314" s="234"/>
      <c r="J314" s="239"/>
      <c r="K314" s="240"/>
      <c r="L314" s="241"/>
    </row>
    <row r="315" spans="2:12" ht="12.5" x14ac:dyDescent="0.25">
      <c r="B315" s="232"/>
      <c r="C315" s="233"/>
      <c r="D315" s="234"/>
      <c r="E315" s="235"/>
      <c r="F315" s="236"/>
      <c r="G315" s="237"/>
      <c r="H315" s="238"/>
      <c r="I315" s="234"/>
      <c r="J315" s="239"/>
      <c r="K315" s="240"/>
      <c r="L315" s="241"/>
    </row>
    <row r="316" spans="2:12" ht="12.5" x14ac:dyDescent="0.25">
      <c r="B316" s="232"/>
      <c r="C316" s="233"/>
      <c r="D316" s="234"/>
      <c r="E316" s="235"/>
      <c r="F316" s="236"/>
      <c r="G316" s="237"/>
      <c r="H316" s="238"/>
      <c r="I316" s="234"/>
      <c r="J316" s="239"/>
      <c r="K316" s="240"/>
      <c r="L316" s="241"/>
    </row>
    <row r="317" spans="2:12" ht="12.5" x14ac:dyDescent="0.25">
      <c r="B317" s="232"/>
      <c r="C317" s="233"/>
      <c r="D317" s="234"/>
      <c r="E317" s="235"/>
      <c r="F317" s="236"/>
      <c r="G317" s="237"/>
      <c r="H317" s="238"/>
      <c r="I317" s="234"/>
      <c r="J317" s="239"/>
      <c r="K317" s="240"/>
      <c r="L317" s="241"/>
    </row>
    <row r="318" spans="2:12" ht="12.5" x14ac:dyDescent="0.25">
      <c r="B318" s="232"/>
      <c r="C318" s="233"/>
      <c r="D318" s="234"/>
      <c r="E318" s="235"/>
      <c r="F318" s="236"/>
      <c r="G318" s="237"/>
      <c r="H318" s="238"/>
      <c r="I318" s="234"/>
      <c r="J318" s="239"/>
      <c r="K318" s="240"/>
      <c r="L318" s="241"/>
    </row>
    <row r="319" spans="2:12" ht="12.5" x14ac:dyDescent="0.25">
      <c r="B319" s="232"/>
      <c r="C319" s="233"/>
      <c r="D319" s="234"/>
      <c r="E319" s="235"/>
      <c r="F319" s="236"/>
      <c r="G319" s="237"/>
      <c r="H319" s="238"/>
      <c r="I319" s="234"/>
      <c r="J319" s="239"/>
      <c r="K319" s="240"/>
      <c r="L319" s="241"/>
    </row>
    <row r="320" spans="2:12" ht="12.5" x14ac:dyDescent="0.25">
      <c r="B320" s="232"/>
      <c r="C320" s="233"/>
      <c r="D320" s="234"/>
      <c r="E320" s="235"/>
      <c r="F320" s="236"/>
      <c r="G320" s="237"/>
      <c r="H320" s="238"/>
      <c r="I320" s="234"/>
      <c r="J320" s="239"/>
      <c r="K320" s="240"/>
      <c r="L320" s="241"/>
    </row>
    <row r="321" spans="2:12" ht="12.5" x14ac:dyDescent="0.25">
      <c r="B321" s="232"/>
      <c r="C321" s="233"/>
      <c r="D321" s="234"/>
      <c r="E321" s="235"/>
      <c r="F321" s="236"/>
      <c r="G321" s="237"/>
      <c r="H321" s="238"/>
      <c r="I321" s="234"/>
      <c r="J321" s="239"/>
      <c r="K321" s="240"/>
      <c r="L321" s="241"/>
    </row>
    <row r="322" spans="2:12" ht="12.5" x14ac:dyDescent="0.25">
      <c r="B322" s="232"/>
      <c r="C322" s="233"/>
      <c r="D322" s="234"/>
      <c r="E322" s="235"/>
      <c r="F322" s="236"/>
      <c r="G322" s="237"/>
      <c r="H322" s="238"/>
      <c r="I322" s="234"/>
      <c r="J322" s="239"/>
      <c r="K322" s="240"/>
      <c r="L322" s="241"/>
    </row>
    <row r="323" spans="2:12" ht="12.5" x14ac:dyDescent="0.25">
      <c r="B323" s="232"/>
      <c r="C323" s="233"/>
      <c r="D323" s="234"/>
      <c r="E323" s="235"/>
      <c r="F323" s="236"/>
      <c r="G323" s="237"/>
      <c r="H323" s="238"/>
      <c r="I323" s="234"/>
      <c r="J323" s="239"/>
      <c r="K323" s="240"/>
      <c r="L323" s="241"/>
    </row>
    <row r="324" spans="2:12" ht="12.5" x14ac:dyDescent="0.25">
      <c r="B324" s="232"/>
      <c r="C324" s="233"/>
      <c r="D324" s="234"/>
      <c r="E324" s="235"/>
      <c r="F324" s="236"/>
      <c r="G324" s="237"/>
      <c r="H324" s="238"/>
      <c r="I324" s="234"/>
      <c r="J324" s="239"/>
      <c r="K324" s="240"/>
      <c r="L324" s="241"/>
    </row>
    <row r="325" spans="2:12" ht="12.5" x14ac:dyDescent="0.25">
      <c r="B325" s="232"/>
      <c r="C325" s="233"/>
      <c r="D325" s="234"/>
      <c r="E325" s="235"/>
      <c r="F325" s="236"/>
      <c r="G325" s="237"/>
      <c r="H325" s="238"/>
      <c r="I325" s="234"/>
      <c r="J325" s="239"/>
      <c r="K325" s="240"/>
      <c r="L325" s="241"/>
    </row>
    <row r="326" spans="2:12" ht="12.5" x14ac:dyDescent="0.25">
      <c r="B326" s="232"/>
      <c r="C326" s="233"/>
      <c r="D326" s="234"/>
      <c r="E326" s="235"/>
      <c r="F326" s="236"/>
      <c r="G326" s="237"/>
      <c r="H326" s="238"/>
      <c r="I326" s="234"/>
      <c r="J326" s="239"/>
      <c r="K326" s="240"/>
      <c r="L326" s="241"/>
    </row>
    <row r="327" spans="2:12" ht="12.5" x14ac:dyDescent="0.25">
      <c r="B327" s="232"/>
      <c r="C327" s="233"/>
      <c r="D327" s="234"/>
      <c r="E327" s="235"/>
      <c r="F327" s="236"/>
      <c r="G327" s="237"/>
      <c r="H327" s="238"/>
      <c r="I327" s="234"/>
      <c r="J327" s="239"/>
      <c r="K327" s="240"/>
      <c r="L327" s="241"/>
    </row>
    <row r="328" spans="2:12" ht="12.5" x14ac:dyDescent="0.25">
      <c r="B328" s="232"/>
      <c r="C328" s="233"/>
      <c r="D328" s="234"/>
      <c r="E328" s="235"/>
      <c r="F328" s="236"/>
      <c r="G328" s="237"/>
      <c r="H328" s="238"/>
      <c r="I328" s="234"/>
      <c r="J328" s="239"/>
      <c r="K328" s="240"/>
      <c r="L328" s="241"/>
    </row>
    <row r="329" spans="2:12" ht="12.5" x14ac:dyDescent="0.25">
      <c r="B329" s="232"/>
      <c r="C329" s="233"/>
      <c r="D329" s="234"/>
      <c r="E329" s="235"/>
      <c r="F329" s="236"/>
      <c r="G329" s="237"/>
      <c r="H329" s="238"/>
      <c r="I329" s="234"/>
      <c r="J329" s="239"/>
      <c r="K329" s="240"/>
      <c r="L329" s="241"/>
    </row>
    <row r="330" spans="2:12" ht="12.5" x14ac:dyDescent="0.25">
      <c r="B330" s="232"/>
      <c r="C330" s="233"/>
      <c r="D330" s="234"/>
      <c r="E330" s="235"/>
      <c r="F330" s="236"/>
      <c r="G330" s="237"/>
      <c r="H330" s="238"/>
      <c r="I330" s="234"/>
      <c r="J330" s="239"/>
      <c r="K330" s="240"/>
      <c r="L330" s="241"/>
    </row>
    <row r="331" spans="2:12" ht="12.5" x14ac:dyDescent="0.25">
      <c r="B331" s="232"/>
      <c r="C331" s="233"/>
      <c r="D331" s="234"/>
      <c r="E331" s="235"/>
      <c r="F331" s="236"/>
      <c r="G331" s="237"/>
      <c r="H331" s="238"/>
      <c r="I331" s="234"/>
      <c r="J331" s="239"/>
      <c r="K331" s="240"/>
      <c r="L331" s="241"/>
    </row>
    <row r="332" spans="2:12" ht="12.5" x14ac:dyDescent="0.25">
      <c r="B332" s="232"/>
      <c r="C332" s="233"/>
      <c r="D332" s="234"/>
      <c r="E332" s="235"/>
      <c r="F332" s="236"/>
      <c r="G332" s="237"/>
      <c r="H332" s="238"/>
      <c r="I332" s="234"/>
      <c r="J332" s="239"/>
      <c r="K332" s="240"/>
      <c r="L332" s="241"/>
    </row>
    <row r="333" spans="2:12" ht="12.5" x14ac:dyDescent="0.25">
      <c r="B333" s="232"/>
      <c r="C333" s="233"/>
      <c r="D333" s="234"/>
      <c r="E333" s="235"/>
      <c r="F333" s="236"/>
      <c r="G333" s="237"/>
      <c r="H333" s="238"/>
      <c r="I333" s="234"/>
      <c r="J333" s="239"/>
      <c r="K333" s="240"/>
      <c r="L333" s="241"/>
    </row>
    <row r="334" spans="2:12" ht="12.5" x14ac:dyDescent="0.25">
      <c r="B334" s="232"/>
      <c r="C334" s="233"/>
      <c r="D334" s="234"/>
      <c r="E334" s="235"/>
      <c r="F334" s="236"/>
      <c r="G334" s="237"/>
      <c r="H334" s="238"/>
      <c r="I334" s="234"/>
      <c r="J334" s="239"/>
      <c r="K334" s="240"/>
      <c r="L334" s="241"/>
    </row>
    <row r="335" spans="2:12" ht="12.5" x14ac:dyDescent="0.25">
      <c r="B335" s="232"/>
      <c r="C335" s="233"/>
      <c r="D335" s="234"/>
      <c r="E335" s="235"/>
      <c r="F335" s="236"/>
      <c r="G335" s="237"/>
      <c r="H335" s="238"/>
      <c r="I335" s="234"/>
      <c r="J335" s="239"/>
      <c r="K335" s="240"/>
      <c r="L335" s="241"/>
    </row>
    <row r="336" spans="2:12" ht="12.5" x14ac:dyDescent="0.25">
      <c r="B336" s="232"/>
      <c r="C336" s="233"/>
      <c r="D336" s="234"/>
      <c r="E336" s="235"/>
      <c r="F336" s="236"/>
      <c r="G336" s="237"/>
      <c r="H336" s="238"/>
      <c r="I336" s="234"/>
      <c r="J336" s="239"/>
      <c r="K336" s="240"/>
      <c r="L336" s="241"/>
    </row>
    <row r="337" spans="2:12" ht="12.5" x14ac:dyDescent="0.25">
      <c r="B337" s="232"/>
      <c r="C337" s="233"/>
      <c r="D337" s="234"/>
      <c r="E337" s="235"/>
      <c r="F337" s="236"/>
      <c r="G337" s="237"/>
      <c r="H337" s="238"/>
      <c r="I337" s="234"/>
      <c r="J337" s="239"/>
      <c r="K337" s="240"/>
      <c r="L337" s="241"/>
    </row>
    <row r="338" spans="2:12" ht="12.5" x14ac:dyDescent="0.25">
      <c r="B338" s="232"/>
      <c r="C338" s="233"/>
      <c r="D338" s="234"/>
      <c r="E338" s="235"/>
      <c r="F338" s="236"/>
      <c r="G338" s="237"/>
      <c r="H338" s="238"/>
      <c r="I338" s="234"/>
      <c r="J338" s="239"/>
      <c r="K338" s="240"/>
      <c r="L338" s="241"/>
    </row>
    <row r="339" spans="2:12" ht="12.5" x14ac:dyDescent="0.25">
      <c r="B339" s="232"/>
      <c r="C339" s="233"/>
      <c r="D339" s="234"/>
      <c r="E339" s="235"/>
      <c r="F339" s="236"/>
      <c r="G339" s="237"/>
      <c r="H339" s="238"/>
      <c r="I339" s="234"/>
      <c r="J339" s="239"/>
      <c r="K339" s="240"/>
      <c r="L339" s="241"/>
    </row>
    <row r="340" spans="2:12" ht="12.5" x14ac:dyDescent="0.25">
      <c r="B340" s="232"/>
      <c r="C340" s="233"/>
      <c r="D340" s="234"/>
      <c r="E340" s="235"/>
      <c r="F340" s="236"/>
      <c r="G340" s="237"/>
      <c r="H340" s="238"/>
      <c r="I340" s="234"/>
      <c r="J340" s="239"/>
      <c r="K340" s="240"/>
      <c r="L340" s="241"/>
    </row>
    <row r="341" spans="2:12" ht="12.5" x14ac:dyDescent="0.25">
      <c r="B341" s="232"/>
      <c r="C341" s="233"/>
      <c r="D341" s="234"/>
      <c r="E341" s="235"/>
      <c r="F341" s="236"/>
      <c r="G341" s="237"/>
      <c r="H341" s="238"/>
      <c r="I341" s="234"/>
      <c r="J341" s="239"/>
      <c r="K341" s="240"/>
      <c r="L341" s="241"/>
    </row>
    <row r="342" spans="2:12" ht="12.5" x14ac:dyDescent="0.25">
      <c r="B342" s="232"/>
      <c r="C342" s="233"/>
      <c r="D342" s="234"/>
      <c r="E342" s="235"/>
      <c r="F342" s="236"/>
      <c r="G342" s="237"/>
      <c r="H342" s="238"/>
      <c r="I342" s="234"/>
      <c r="J342" s="239"/>
      <c r="K342" s="240"/>
      <c r="L342" s="241"/>
    </row>
    <row r="343" spans="2:12" ht="12.5" x14ac:dyDescent="0.25">
      <c r="B343" s="232"/>
      <c r="C343" s="233"/>
      <c r="D343" s="234"/>
      <c r="E343" s="235"/>
      <c r="F343" s="236"/>
      <c r="G343" s="237"/>
      <c r="H343" s="238"/>
      <c r="I343" s="234"/>
      <c r="J343" s="239"/>
      <c r="K343" s="240"/>
      <c r="L343" s="241"/>
    </row>
    <row r="344" spans="2:12" ht="12.5" x14ac:dyDescent="0.25">
      <c r="B344" s="232"/>
      <c r="C344" s="233"/>
      <c r="D344" s="234"/>
      <c r="E344" s="235"/>
      <c r="F344" s="236"/>
      <c r="G344" s="237"/>
      <c r="H344" s="238"/>
      <c r="I344" s="234"/>
      <c r="J344" s="239"/>
      <c r="K344" s="240"/>
      <c r="L344" s="241"/>
    </row>
    <row r="345" spans="2:12" ht="12.5" x14ac:dyDescent="0.25">
      <c r="B345" s="232"/>
      <c r="C345" s="233"/>
      <c r="D345" s="234"/>
      <c r="E345" s="235"/>
      <c r="F345" s="236"/>
      <c r="G345" s="237"/>
      <c r="H345" s="238"/>
      <c r="I345" s="234"/>
      <c r="J345" s="239"/>
      <c r="K345" s="240"/>
      <c r="L345" s="241"/>
    </row>
    <row r="346" spans="2:12" ht="12.5" x14ac:dyDescent="0.25">
      <c r="B346" s="232"/>
      <c r="C346" s="233"/>
      <c r="D346" s="234"/>
      <c r="E346" s="235"/>
      <c r="F346" s="236"/>
      <c r="G346" s="237"/>
      <c r="H346" s="238"/>
      <c r="I346" s="234"/>
      <c r="J346" s="239"/>
      <c r="K346" s="240"/>
      <c r="L346" s="241"/>
    </row>
    <row r="347" spans="2:12" ht="12.5" x14ac:dyDescent="0.25">
      <c r="B347" s="232"/>
      <c r="C347" s="233"/>
      <c r="D347" s="234"/>
      <c r="E347" s="235"/>
      <c r="F347" s="236"/>
      <c r="G347" s="237"/>
      <c r="H347" s="238"/>
      <c r="I347" s="234"/>
      <c r="J347" s="239"/>
      <c r="K347" s="240"/>
      <c r="L347" s="241"/>
    </row>
    <row r="348" spans="2:12" ht="12.5" x14ac:dyDescent="0.25">
      <c r="B348" s="232"/>
      <c r="C348" s="233"/>
      <c r="D348" s="234"/>
      <c r="E348" s="235"/>
      <c r="F348" s="236"/>
      <c r="G348" s="237"/>
      <c r="H348" s="238"/>
      <c r="I348" s="234"/>
      <c r="J348" s="239"/>
      <c r="K348" s="240"/>
      <c r="L348" s="241"/>
    </row>
    <row r="349" spans="2:12" ht="12.5" x14ac:dyDescent="0.25">
      <c r="B349" s="232"/>
      <c r="C349" s="233"/>
      <c r="D349" s="234"/>
      <c r="E349" s="235"/>
      <c r="F349" s="236"/>
      <c r="G349" s="237"/>
      <c r="H349" s="238"/>
      <c r="I349" s="234"/>
      <c r="J349" s="239"/>
      <c r="K349" s="240"/>
      <c r="L349" s="241"/>
    </row>
    <row r="350" spans="2:12" ht="12.5" x14ac:dyDescent="0.25">
      <c r="B350" s="232"/>
      <c r="C350" s="233"/>
      <c r="D350" s="234"/>
      <c r="E350" s="235"/>
      <c r="F350" s="236"/>
      <c r="G350" s="237"/>
      <c r="H350" s="238"/>
      <c r="I350" s="234"/>
      <c r="J350" s="239"/>
      <c r="K350" s="240"/>
      <c r="L350" s="241"/>
    </row>
    <row r="351" spans="2:12" ht="12.5" x14ac:dyDescent="0.25">
      <c r="B351" s="232"/>
      <c r="C351" s="233"/>
      <c r="D351" s="234"/>
      <c r="E351" s="235"/>
      <c r="F351" s="236"/>
      <c r="G351" s="237"/>
      <c r="H351" s="238"/>
      <c r="I351" s="234"/>
      <c r="J351" s="239"/>
      <c r="K351" s="240"/>
      <c r="L351" s="241"/>
    </row>
    <row r="352" spans="2:12" ht="12.5" x14ac:dyDescent="0.25">
      <c r="B352" s="232"/>
      <c r="C352" s="233"/>
      <c r="D352" s="234"/>
      <c r="E352" s="235"/>
      <c r="F352" s="236"/>
      <c r="G352" s="237"/>
      <c r="H352" s="238"/>
      <c r="I352" s="234"/>
      <c r="J352" s="239"/>
      <c r="K352" s="240"/>
      <c r="L352" s="241"/>
    </row>
    <row r="353" spans="2:12" ht="12.5" x14ac:dyDescent="0.25">
      <c r="B353" s="232"/>
      <c r="C353" s="233"/>
      <c r="D353" s="234"/>
      <c r="E353" s="235"/>
      <c r="F353" s="236"/>
      <c r="G353" s="237"/>
      <c r="H353" s="238"/>
      <c r="I353" s="234"/>
      <c r="J353" s="239"/>
      <c r="K353" s="240"/>
      <c r="L353" s="241"/>
    </row>
    <row r="354" spans="2:12" ht="12.5" x14ac:dyDescent="0.25">
      <c r="B354" s="232"/>
      <c r="C354" s="233"/>
      <c r="D354" s="234"/>
      <c r="E354" s="235"/>
      <c r="F354" s="236"/>
      <c r="G354" s="237"/>
      <c r="H354" s="238"/>
      <c r="I354" s="234"/>
      <c r="J354" s="239"/>
      <c r="K354" s="240"/>
      <c r="L354" s="241"/>
    </row>
    <row r="355" spans="2:12" ht="12.5" x14ac:dyDescent="0.25">
      <c r="B355" s="232"/>
      <c r="C355" s="233"/>
      <c r="D355" s="234"/>
      <c r="E355" s="235"/>
      <c r="F355" s="236"/>
      <c r="G355" s="237"/>
      <c r="H355" s="238"/>
      <c r="I355" s="234"/>
      <c r="J355" s="239"/>
      <c r="K355" s="240"/>
      <c r="L355" s="241"/>
    </row>
    <row r="356" spans="2:12" ht="12.5" x14ac:dyDescent="0.25">
      <c r="B356" s="232"/>
      <c r="C356" s="233"/>
      <c r="D356" s="234"/>
      <c r="E356" s="235"/>
      <c r="F356" s="236"/>
      <c r="G356" s="237"/>
      <c r="H356" s="238"/>
      <c r="I356" s="234"/>
      <c r="J356" s="239"/>
      <c r="K356" s="240"/>
      <c r="L356" s="241"/>
    </row>
    <row r="357" spans="2:12" ht="12.5" x14ac:dyDescent="0.25">
      <c r="B357" s="232"/>
      <c r="C357" s="233"/>
      <c r="D357" s="234"/>
      <c r="E357" s="235"/>
      <c r="F357" s="236"/>
      <c r="G357" s="237"/>
      <c r="H357" s="238"/>
      <c r="I357" s="234"/>
      <c r="J357" s="239"/>
      <c r="K357" s="240"/>
      <c r="L357" s="241"/>
    </row>
    <row r="358" spans="2:12" ht="12.5" x14ac:dyDescent="0.25">
      <c r="B358" s="232"/>
      <c r="C358" s="233"/>
      <c r="D358" s="234"/>
      <c r="E358" s="235"/>
      <c r="F358" s="236"/>
      <c r="G358" s="237"/>
      <c r="H358" s="238"/>
      <c r="I358" s="234"/>
      <c r="J358" s="239"/>
      <c r="K358" s="240"/>
      <c r="L358" s="241"/>
    </row>
    <row r="359" spans="2:12" ht="12.5" x14ac:dyDescent="0.25">
      <c r="B359" s="232"/>
      <c r="C359" s="233"/>
      <c r="D359" s="234"/>
      <c r="E359" s="235"/>
      <c r="F359" s="236"/>
      <c r="G359" s="237"/>
      <c r="H359" s="238"/>
      <c r="I359" s="234"/>
      <c r="J359" s="239"/>
      <c r="K359" s="240"/>
      <c r="L359" s="241"/>
    </row>
    <row r="360" spans="2:12" ht="12.5" x14ac:dyDescent="0.25">
      <c r="B360" s="232"/>
      <c r="C360" s="233"/>
      <c r="D360" s="234"/>
      <c r="E360" s="235"/>
      <c r="F360" s="236"/>
      <c r="G360" s="237"/>
      <c r="H360" s="238"/>
      <c r="I360" s="234"/>
      <c r="J360" s="239"/>
      <c r="K360" s="240"/>
      <c r="L360" s="241"/>
    </row>
    <row r="361" spans="2:12" ht="12.5" x14ac:dyDescent="0.25">
      <c r="B361" s="232"/>
      <c r="C361" s="233"/>
      <c r="D361" s="234"/>
      <c r="E361" s="235"/>
      <c r="F361" s="236"/>
      <c r="G361" s="237"/>
      <c r="H361" s="238"/>
      <c r="I361" s="234"/>
      <c r="J361" s="239"/>
      <c r="K361" s="240"/>
      <c r="L361" s="241"/>
    </row>
    <row r="362" spans="2:12" ht="12.5" x14ac:dyDescent="0.25">
      <c r="B362" s="232"/>
      <c r="C362" s="233"/>
      <c r="D362" s="234"/>
      <c r="E362" s="235"/>
      <c r="F362" s="236"/>
      <c r="G362" s="237"/>
      <c r="H362" s="238"/>
      <c r="I362" s="234"/>
      <c r="J362" s="239"/>
      <c r="K362" s="240"/>
      <c r="L362" s="241"/>
    </row>
    <row r="363" spans="2:12" ht="12.5" x14ac:dyDescent="0.25">
      <c r="B363" s="232"/>
      <c r="C363" s="233"/>
      <c r="D363" s="234"/>
      <c r="E363" s="235"/>
      <c r="F363" s="236"/>
      <c r="G363" s="237"/>
      <c r="H363" s="238"/>
      <c r="I363" s="234"/>
      <c r="J363" s="239"/>
      <c r="K363" s="240"/>
      <c r="L363" s="241"/>
    </row>
    <row r="364" spans="2:12" ht="12.5" x14ac:dyDescent="0.25">
      <c r="B364" s="232"/>
      <c r="C364" s="233"/>
      <c r="D364" s="234"/>
      <c r="E364" s="235"/>
      <c r="F364" s="236"/>
      <c r="G364" s="237"/>
      <c r="H364" s="238"/>
      <c r="I364" s="234"/>
      <c r="J364" s="239"/>
      <c r="K364" s="240"/>
      <c r="L364" s="241"/>
    </row>
    <row r="365" spans="2:12" ht="12.5" x14ac:dyDescent="0.25">
      <c r="B365" s="232"/>
      <c r="C365" s="233"/>
      <c r="D365" s="234"/>
      <c r="E365" s="235"/>
      <c r="F365" s="236"/>
      <c r="G365" s="237"/>
      <c r="H365" s="238"/>
      <c r="I365" s="234"/>
      <c r="J365" s="239"/>
      <c r="K365" s="240"/>
      <c r="L365" s="241"/>
    </row>
    <row r="366" spans="2:12" ht="12.5" x14ac:dyDescent="0.25">
      <c r="B366" s="232"/>
      <c r="C366" s="233"/>
      <c r="D366" s="234"/>
      <c r="E366" s="235"/>
      <c r="F366" s="236"/>
      <c r="G366" s="237"/>
      <c r="H366" s="238"/>
      <c r="I366" s="234"/>
      <c r="J366" s="239"/>
      <c r="K366" s="240"/>
      <c r="L366" s="241"/>
    </row>
    <row r="367" spans="2:12" ht="12.5" x14ac:dyDescent="0.25">
      <c r="B367" s="232"/>
      <c r="C367" s="233"/>
      <c r="D367" s="234"/>
      <c r="E367" s="235"/>
      <c r="F367" s="236"/>
      <c r="G367" s="237"/>
      <c r="H367" s="238"/>
      <c r="I367" s="234"/>
      <c r="J367" s="239"/>
      <c r="K367" s="240"/>
      <c r="L367" s="241"/>
    </row>
    <row r="368" spans="2:12" ht="12.5" x14ac:dyDescent="0.25">
      <c r="B368" s="232"/>
      <c r="C368" s="233"/>
      <c r="D368" s="234"/>
      <c r="E368" s="235"/>
      <c r="F368" s="236"/>
      <c r="G368" s="237"/>
      <c r="H368" s="238"/>
      <c r="I368" s="234"/>
      <c r="J368" s="239"/>
      <c r="K368" s="240"/>
      <c r="L368" s="241"/>
    </row>
    <row r="369" spans="2:12" ht="12.5" x14ac:dyDescent="0.25">
      <c r="B369" s="232"/>
      <c r="C369" s="233"/>
      <c r="D369" s="234"/>
      <c r="E369" s="235"/>
      <c r="F369" s="236"/>
      <c r="G369" s="237"/>
      <c r="H369" s="238"/>
      <c r="I369" s="234"/>
      <c r="J369" s="239"/>
      <c r="K369" s="240"/>
      <c r="L369" s="241"/>
    </row>
    <row r="370" spans="2:12" ht="12.5" x14ac:dyDescent="0.25">
      <c r="B370" s="232"/>
      <c r="C370" s="233"/>
      <c r="D370" s="234"/>
      <c r="E370" s="235"/>
      <c r="F370" s="236"/>
      <c r="G370" s="237"/>
      <c r="H370" s="238"/>
      <c r="I370" s="234"/>
      <c r="J370" s="239"/>
      <c r="K370" s="240"/>
      <c r="L370" s="241"/>
    </row>
    <row r="371" spans="2:12" ht="12.5" x14ac:dyDescent="0.25">
      <c r="B371" s="232"/>
      <c r="C371" s="233"/>
      <c r="D371" s="234"/>
      <c r="E371" s="235"/>
      <c r="F371" s="236"/>
      <c r="G371" s="237"/>
      <c r="H371" s="238"/>
      <c r="I371" s="234"/>
      <c r="J371" s="239"/>
      <c r="K371" s="240"/>
      <c r="L371" s="241"/>
    </row>
    <row r="372" spans="2:12" ht="12.5" x14ac:dyDescent="0.25">
      <c r="B372" s="232"/>
      <c r="C372" s="233"/>
      <c r="D372" s="234"/>
      <c r="E372" s="235"/>
      <c r="F372" s="236"/>
      <c r="G372" s="237"/>
      <c r="H372" s="238"/>
      <c r="I372" s="234"/>
      <c r="J372" s="239"/>
      <c r="K372" s="240"/>
      <c r="L372" s="241"/>
    </row>
    <row r="373" spans="2:12" ht="12.5" x14ac:dyDescent="0.25">
      <c r="B373" s="232"/>
      <c r="C373" s="233"/>
      <c r="D373" s="234"/>
      <c r="E373" s="235"/>
      <c r="F373" s="236"/>
      <c r="G373" s="237"/>
      <c r="H373" s="238"/>
      <c r="I373" s="234"/>
      <c r="J373" s="239"/>
      <c r="K373" s="240"/>
      <c r="L373" s="241"/>
    </row>
    <row r="374" spans="2:12" ht="12.5" x14ac:dyDescent="0.25">
      <c r="B374" s="232"/>
      <c r="C374" s="233"/>
      <c r="D374" s="234"/>
      <c r="E374" s="235"/>
      <c r="F374" s="236"/>
      <c r="G374" s="237"/>
      <c r="H374" s="238"/>
      <c r="I374" s="234"/>
      <c r="J374" s="239"/>
      <c r="K374" s="240"/>
      <c r="L374" s="241"/>
    </row>
    <row r="375" spans="2:12" ht="12.5" x14ac:dyDescent="0.25">
      <c r="B375" s="232"/>
      <c r="C375" s="233"/>
      <c r="D375" s="234"/>
      <c r="E375" s="235"/>
      <c r="F375" s="236"/>
      <c r="G375" s="237"/>
      <c r="H375" s="238"/>
      <c r="I375" s="234"/>
      <c r="J375" s="239"/>
      <c r="K375" s="240"/>
      <c r="L375" s="241"/>
    </row>
    <row r="376" spans="2:12" ht="12.5" x14ac:dyDescent="0.25">
      <c r="B376" s="232"/>
      <c r="C376" s="233"/>
      <c r="D376" s="234"/>
      <c r="E376" s="235"/>
      <c r="F376" s="236"/>
      <c r="G376" s="237"/>
      <c r="H376" s="238"/>
      <c r="I376" s="234"/>
      <c r="J376" s="239"/>
      <c r="K376" s="240"/>
      <c r="L376" s="241"/>
    </row>
    <row r="377" spans="2:12" ht="12.5" x14ac:dyDescent="0.25">
      <c r="B377" s="232"/>
      <c r="C377" s="233"/>
      <c r="D377" s="234"/>
      <c r="E377" s="235"/>
      <c r="F377" s="236"/>
      <c r="G377" s="237"/>
      <c r="H377" s="238"/>
      <c r="I377" s="234"/>
      <c r="J377" s="239"/>
      <c r="K377" s="240"/>
      <c r="L377" s="241"/>
    </row>
    <row r="378" spans="2:12" ht="12.5" x14ac:dyDescent="0.25">
      <c r="B378" s="232"/>
      <c r="C378" s="233"/>
      <c r="D378" s="234"/>
      <c r="E378" s="235"/>
      <c r="F378" s="236"/>
      <c r="G378" s="237"/>
      <c r="H378" s="238"/>
      <c r="I378" s="234"/>
      <c r="J378" s="239"/>
      <c r="K378" s="240"/>
      <c r="L378" s="241"/>
    </row>
    <row r="379" spans="2:12" ht="12.5" x14ac:dyDescent="0.25">
      <c r="B379" s="232"/>
      <c r="C379" s="233"/>
      <c r="D379" s="234"/>
      <c r="E379" s="235"/>
      <c r="F379" s="236"/>
      <c r="G379" s="237"/>
      <c r="H379" s="238"/>
      <c r="I379" s="234"/>
      <c r="J379" s="239"/>
      <c r="K379" s="240"/>
      <c r="L379" s="241"/>
    </row>
    <row r="380" spans="2:12" ht="12.5" x14ac:dyDescent="0.25">
      <c r="B380" s="232"/>
      <c r="C380" s="233"/>
      <c r="D380" s="234"/>
      <c r="E380" s="235"/>
      <c r="F380" s="236"/>
      <c r="G380" s="237"/>
      <c r="H380" s="238"/>
      <c r="I380" s="234"/>
      <c r="J380" s="239"/>
      <c r="K380" s="240"/>
      <c r="L380" s="241"/>
    </row>
    <row r="381" spans="2:12" ht="12.5" x14ac:dyDescent="0.25">
      <c r="B381" s="232"/>
      <c r="C381" s="233"/>
      <c r="D381" s="234"/>
      <c r="E381" s="235"/>
      <c r="F381" s="236"/>
      <c r="G381" s="237"/>
      <c r="H381" s="238"/>
      <c r="I381" s="234"/>
      <c r="J381" s="239"/>
      <c r="K381" s="240"/>
      <c r="L381" s="241"/>
    </row>
    <row r="382" spans="2:12" ht="12.5" x14ac:dyDescent="0.25">
      <c r="B382" s="232"/>
      <c r="C382" s="233"/>
      <c r="D382" s="234"/>
      <c r="E382" s="235"/>
      <c r="F382" s="236"/>
      <c r="G382" s="237"/>
      <c r="H382" s="238"/>
      <c r="I382" s="234"/>
      <c r="J382" s="239"/>
      <c r="K382" s="240"/>
      <c r="L382" s="241"/>
    </row>
    <row r="383" spans="2:12" ht="12.5" x14ac:dyDescent="0.25">
      <c r="B383" s="232"/>
      <c r="C383" s="233"/>
      <c r="D383" s="234"/>
      <c r="E383" s="235"/>
      <c r="F383" s="236"/>
      <c r="G383" s="237"/>
      <c r="H383" s="238"/>
      <c r="I383" s="234"/>
      <c r="J383" s="239"/>
      <c r="K383" s="240"/>
      <c r="L383" s="241"/>
    </row>
    <row r="384" spans="2:12" ht="12.5" x14ac:dyDescent="0.25">
      <c r="B384" s="232"/>
      <c r="C384" s="233"/>
      <c r="D384" s="234"/>
      <c r="E384" s="235"/>
      <c r="F384" s="236"/>
      <c r="G384" s="237"/>
      <c r="H384" s="238"/>
      <c r="I384" s="234"/>
      <c r="J384" s="239"/>
      <c r="K384" s="240"/>
      <c r="L384" s="241"/>
    </row>
    <row r="385" spans="2:12" ht="12.5" x14ac:dyDescent="0.25">
      <c r="B385" s="232"/>
      <c r="C385" s="233"/>
      <c r="D385" s="234"/>
      <c r="E385" s="235"/>
      <c r="F385" s="236"/>
      <c r="G385" s="237"/>
      <c r="H385" s="238"/>
      <c r="I385" s="234"/>
      <c r="J385" s="239"/>
      <c r="K385" s="240"/>
      <c r="L385" s="241"/>
    </row>
    <row r="386" spans="2:12" ht="12.5" x14ac:dyDescent="0.25">
      <c r="B386" s="232"/>
      <c r="C386" s="233"/>
      <c r="D386" s="234"/>
      <c r="E386" s="235"/>
      <c r="F386" s="236"/>
      <c r="G386" s="237"/>
      <c r="H386" s="238"/>
      <c r="I386" s="234"/>
      <c r="J386" s="239"/>
      <c r="K386" s="240"/>
      <c r="L386" s="241"/>
    </row>
    <row r="387" spans="2:12" ht="12.5" x14ac:dyDescent="0.25">
      <c r="B387" s="232"/>
      <c r="C387" s="233"/>
      <c r="D387" s="234"/>
      <c r="E387" s="235"/>
      <c r="F387" s="236"/>
      <c r="G387" s="237"/>
      <c r="H387" s="238"/>
      <c r="I387" s="234"/>
      <c r="J387" s="239"/>
      <c r="K387" s="240"/>
      <c r="L387" s="241"/>
    </row>
    <row r="388" spans="2:12" ht="12.5" x14ac:dyDescent="0.25">
      <c r="B388" s="232"/>
      <c r="C388" s="233"/>
      <c r="D388" s="234"/>
      <c r="E388" s="235"/>
      <c r="F388" s="236"/>
      <c r="G388" s="237"/>
      <c r="H388" s="238"/>
      <c r="I388" s="234"/>
      <c r="J388" s="239"/>
      <c r="K388" s="240"/>
      <c r="L388" s="241"/>
    </row>
    <row r="389" spans="2:12" ht="12.5" x14ac:dyDescent="0.25">
      <c r="B389" s="232"/>
      <c r="C389" s="233"/>
      <c r="D389" s="234"/>
      <c r="E389" s="235"/>
      <c r="F389" s="236"/>
      <c r="G389" s="237"/>
      <c r="H389" s="238"/>
      <c r="I389" s="234"/>
      <c r="J389" s="239"/>
      <c r="K389" s="240"/>
      <c r="L389" s="241"/>
    </row>
    <row r="390" spans="2:12" ht="12.5" x14ac:dyDescent="0.25">
      <c r="B390" s="232"/>
      <c r="C390" s="233"/>
      <c r="D390" s="234"/>
      <c r="E390" s="235"/>
      <c r="F390" s="236"/>
      <c r="G390" s="237"/>
      <c r="H390" s="238"/>
      <c r="I390" s="234"/>
      <c r="J390" s="239"/>
      <c r="K390" s="240"/>
      <c r="L390" s="241"/>
    </row>
    <row r="391" spans="2:12" ht="12.5" x14ac:dyDescent="0.25">
      <c r="B391" s="232"/>
      <c r="C391" s="233"/>
      <c r="D391" s="234"/>
      <c r="E391" s="235"/>
      <c r="F391" s="236"/>
      <c r="G391" s="237"/>
      <c r="H391" s="238"/>
      <c r="I391" s="234"/>
      <c r="J391" s="239"/>
      <c r="K391" s="240"/>
      <c r="L391" s="241"/>
    </row>
    <row r="392" spans="2:12" ht="12.5" x14ac:dyDescent="0.25">
      <c r="B392" s="232"/>
      <c r="C392" s="233"/>
      <c r="D392" s="234"/>
      <c r="E392" s="235"/>
      <c r="F392" s="236"/>
      <c r="G392" s="237"/>
      <c r="H392" s="238"/>
      <c r="I392" s="234"/>
      <c r="J392" s="239"/>
      <c r="K392" s="240"/>
      <c r="L392" s="241"/>
    </row>
    <row r="393" spans="2:12" ht="12.5" x14ac:dyDescent="0.25">
      <c r="B393" s="232"/>
      <c r="C393" s="233"/>
      <c r="D393" s="234"/>
      <c r="E393" s="235"/>
      <c r="F393" s="236"/>
      <c r="G393" s="237"/>
      <c r="H393" s="238"/>
      <c r="I393" s="234"/>
      <c r="J393" s="239"/>
      <c r="K393" s="240"/>
      <c r="L393" s="241"/>
    </row>
    <row r="394" spans="2:12" ht="12.5" x14ac:dyDescent="0.25">
      <c r="B394" s="232"/>
      <c r="C394" s="233"/>
      <c r="D394" s="234"/>
      <c r="E394" s="235"/>
      <c r="F394" s="236"/>
      <c r="G394" s="237"/>
      <c r="H394" s="238"/>
      <c r="I394" s="234"/>
      <c r="J394" s="239"/>
      <c r="K394" s="240"/>
      <c r="L394" s="241"/>
    </row>
    <row r="395" spans="2:12" ht="12.5" x14ac:dyDescent="0.25">
      <c r="B395" s="232"/>
      <c r="C395" s="233"/>
      <c r="D395" s="234"/>
      <c r="E395" s="235"/>
      <c r="F395" s="236"/>
      <c r="G395" s="237"/>
      <c r="H395" s="238"/>
      <c r="I395" s="234"/>
      <c r="J395" s="239"/>
      <c r="K395" s="240"/>
      <c r="L395" s="241"/>
    </row>
    <row r="396" spans="2:12" ht="12.5" x14ac:dyDescent="0.25">
      <c r="B396" s="232"/>
      <c r="C396" s="233"/>
      <c r="D396" s="234"/>
      <c r="E396" s="235"/>
      <c r="F396" s="236"/>
      <c r="G396" s="237"/>
      <c r="H396" s="238"/>
      <c r="I396" s="234"/>
      <c r="J396" s="239"/>
      <c r="K396" s="240"/>
      <c r="L396" s="241"/>
    </row>
    <row r="397" spans="2:12" ht="12.5" x14ac:dyDescent="0.25">
      <c r="B397" s="232"/>
      <c r="C397" s="233"/>
      <c r="D397" s="234"/>
      <c r="E397" s="235"/>
      <c r="F397" s="236"/>
      <c r="G397" s="237"/>
      <c r="H397" s="238"/>
      <c r="I397" s="234"/>
      <c r="J397" s="239"/>
      <c r="K397" s="240"/>
      <c r="L397" s="241"/>
    </row>
    <row r="398" spans="2:12" ht="12.5" x14ac:dyDescent="0.25">
      <c r="B398" s="232"/>
      <c r="C398" s="233"/>
      <c r="D398" s="234"/>
      <c r="E398" s="235"/>
      <c r="F398" s="236"/>
      <c r="G398" s="237"/>
      <c r="H398" s="238"/>
      <c r="I398" s="234"/>
      <c r="J398" s="239"/>
      <c r="K398" s="240"/>
      <c r="L398" s="241"/>
    </row>
    <row r="399" spans="2:12" ht="12.5" x14ac:dyDescent="0.25">
      <c r="B399" s="232"/>
      <c r="C399" s="233"/>
      <c r="D399" s="234"/>
      <c r="E399" s="235"/>
      <c r="F399" s="236"/>
      <c r="G399" s="237"/>
      <c r="H399" s="238"/>
      <c r="I399" s="234"/>
      <c r="J399" s="239"/>
      <c r="K399" s="240"/>
      <c r="L399" s="241"/>
    </row>
    <row r="400" spans="2:12" ht="12.5" x14ac:dyDescent="0.25">
      <c r="B400" s="232"/>
      <c r="C400" s="233"/>
      <c r="D400" s="234"/>
      <c r="E400" s="235"/>
      <c r="F400" s="236"/>
      <c r="G400" s="237"/>
      <c r="H400" s="238"/>
      <c r="I400" s="234"/>
      <c r="J400" s="239"/>
      <c r="K400" s="240"/>
      <c r="L400" s="241"/>
    </row>
    <row r="401" spans="2:12" ht="12.5" x14ac:dyDescent="0.25">
      <c r="B401" s="232"/>
      <c r="C401" s="233"/>
      <c r="D401" s="234"/>
      <c r="E401" s="235"/>
      <c r="F401" s="236"/>
      <c r="G401" s="237"/>
      <c r="H401" s="238"/>
      <c r="I401" s="234"/>
      <c r="J401" s="239"/>
      <c r="K401" s="240"/>
      <c r="L401" s="241"/>
    </row>
    <row r="402" spans="2:12" ht="12.5" x14ac:dyDescent="0.25">
      <c r="B402" s="232"/>
      <c r="C402" s="233"/>
      <c r="D402" s="234"/>
      <c r="E402" s="235"/>
      <c r="F402" s="236"/>
      <c r="G402" s="237"/>
      <c r="H402" s="238"/>
      <c r="I402" s="234"/>
      <c r="J402" s="239"/>
      <c r="K402" s="240"/>
      <c r="L402" s="241"/>
    </row>
    <row r="403" spans="2:12" ht="12.5" x14ac:dyDescent="0.25">
      <c r="B403" s="232"/>
      <c r="C403" s="233"/>
      <c r="D403" s="234"/>
      <c r="E403" s="235"/>
      <c r="F403" s="236"/>
      <c r="G403" s="237"/>
      <c r="H403" s="238"/>
      <c r="I403" s="234"/>
      <c r="J403" s="239"/>
      <c r="K403" s="240"/>
      <c r="L403" s="241"/>
    </row>
    <row r="404" spans="2:12" ht="12.5" x14ac:dyDescent="0.25">
      <c r="B404" s="232"/>
      <c r="C404" s="233"/>
      <c r="D404" s="234"/>
      <c r="E404" s="235"/>
      <c r="F404" s="236"/>
      <c r="G404" s="237"/>
      <c r="H404" s="238"/>
      <c r="I404" s="234"/>
      <c r="J404" s="239"/>
      <c r="K404" s="240"/>
      <c r="L404" s="241"/>
    </row>
    <row r="405" spans="2:12" ht="12.5" x14ac:dyDescent="0.25">
      <c r="B405" s="232"/>
      <c r="C405" s="233"/>
      <c r="D405" s="234"/>
      <c r="E405" s="235"/>
      <c r="F405" s="236"/>
      <c r="G405" s="237"/>
      <c r="H405" s="238"/>
      <c r="I405" s="234"/>
      <c r="J405" s="239"/>
      <c r="K405" s="240"/>
      <c r="L405" s="241"/>
    </row>
    <row r="406" spans="2:12" ht="12.5" x14ac:dyDescent="0.25">
      <c r="B406" s="232"/>
      <c r="C406" s="233"/>
      <c r="D406" s="234"/>
      <c r="E406" s="235"/>
      <c r="F406" s="236"/>
      <c r="G406" s="237"/>
      <c r="H406" s="238"/>
      <c r="I406" s="234"/>
      <c r="J406" s="239"/>
      <c r="K406" s="240"/>
      <c r="L406" s="241"/>
    </row>
    <row r="407" spans="2:12" ht="12.5" x14ac:dyDescent="0.25">
      <c r="B407" s="232"/>
      <c r="C407" s="233"/>
      <c r="D407" s="234"/>
      <c r="E407" s="235"/>
      <c r="F407" s="236"/>
      <c r="G407" s="237"/>
      <c r="H407" s="238"/>
      <c r="I407" s="234"/>
      <c r="J407" s="239"/>
      <c r="K407" s="240"/>
      <c r="L407" s="241"/>
    </row>
    <row r="408" spans="2:12" ht="12.5" x14ac:dyDescent="0.25">
      <c r="B408" s="232"/>
      <c r="C408" s="233"/>
      <c r="D408" s="234"/>
      <c r="E408" s="235"/>
      <c r="F408" s="236"/>
      <c r="G408" s="237"/>
      <c r="H408" s="238"/>
      <c r="I408" s="234"/>
      <c r="J408" s="239"/>
      <c r="K408" s="240"/>
      <c r="L408" s="241"/>
    </row>
    <row r="409" spans="2:12" ht="12.5" x14ac:dyDescent="0.25">
      <c r="B409" s="232"/>
      <c r="C409" s="233"/>
      <c r="D409" s="234"/>
      <c r="E409" s="235"/>
      <c r="F409" s="236"/>
      <c r="G409" s="237"/>
      <c r="H409" s="238"/>
      <c r="I409" s="234"/>
      <c r="J409" s="239"/>
      <c r="K409" s="240"/>
      <c r="L409" s="241"/>
    </row>
    <row r="410" spans="2:12" ht="12.5" x14ac:dyDescent="0.25">
      <c r="B410" s="232"/>
      <c r="C410" s="233"/>
      <c r="D410" s="234"/>
      <c r="E410" s="235"/>
      <c r="F410" s="236"/>
      <c r="G410" s="237"/>
      <c r="H410" s="238"/>
      <c r="I410" s="234"/>
      <c r="J410" s="239"/>
      <c r="K410" s="240"/>
      <c r="L410" s="241"/>
    </row>
    <row r="411" spans="2:12" ht="12.5" x14ac:dyDescent="0.25">
      <c r="B411" s="232"/>
      <c r="C411" s="233"/>
      <c r="D411" s="234"/>
      <c r="E411" s="235"/>
      <c r="F411" s="236"/>
      <c r="G411" s="237"/>
      <c r="H411" s="238"/>
      <c r="I411" s="234"/>
      <c r="J411" s="239"/>
      <c r="K411" s="240"/>
      <c r="L411" s="241"/>
    </row>
    <row r="412" spans="2:12" ht="12.5" x14ac:dyDescent="0.25">
      <c r="B412" s="232"/>
      <c r="C412" s="233"/>
      <c r="D412" s="234"/>
      <c r="E412" s="235"/>
      <c r="F412" s="236"/>
      <c r="G412" s="237"/>
      <c r="H412" s="238"/>
      <c r="I412" s="234"/>
      <c r="J412" s="239"/>
      <c r="K412" s="240"/>
      <c r="L412" s="241"/>
    </row>
    <row r="413" spans="2:12" ht="12.5" x14ac:dyDescent="0.25">
      <c r="B413" s="232"/>
      <c r="C413" s="233"/>
      <c r="D413" s="234"/>
      <c r="E413" s="235"/>
      <c r="F413" s="236"/>
      <c r="G413" s="237"/>
      <c r="H413" s="238"/>
      <c r="I413" s="234"/>
      <c r="J413" s="239"/>
      <c r="K413" s="240"/>
      <c r="L413" s="241"/>
    </row>
    <row r="414" spans="2:12" ht="12.5" x14ac:dyDescent="0.25">
      <c r="B414" s="232"/>
      <c r="C414" s="233"/>
      <c r="D414" s="234"/>
      <c r="E414" s="235"/>
      <c r="F414" s="236"/>
      <c r="G414" s="237"/>
      <c r="H414" s="238"/>
      <c r="I414" s="234"/>
      <c r="J414" s="239"/>
      <c r="K414" s="240"/>
      <c r="L414" s="241"/>
    </row>
    <row r="415" spans="2:12" ht="12.5" x14ac:dyDescent="0.25">
      <c r="B415" s="232"/>
      <c r="C415" s="233"/>
      <c r="D415" s="234"/>
      <c r="E415" s="235"/>
      <c r="F415" s="236"/>
      <c r="G415" s="237"/>
      <c r="H415" s="238"/>
      <c r="I415" s="234"/>
      <c r="J415" s="239"/>
      <c r="K415" s="240"/>
      <c r="L415" s="241"/>
    </row>
    <row r="416" spans="2:12" ht="12.5" x14ac:dyDescent="0.25">
      <c r="B416" s="232"/>
      <c r="C416" s="233"/>
      <c r="D416" s="234"/>
      <c r="E416" s="235"/>
      <c r="F416" s="236"/>
      <c r="G416" s="237"/>
      <c r="H416" s="238"/>
      <c r="I416" s="234"/>
      <c r="J416" s="239"/>
      <c r="K416" s="240"/>
      <c r="L416" s="241"/>
    </row>
    <row r="417" spans="2:12" ht="12.5" x14ac:dyDescent="0.25">
      <c r="B417" s="232"/>
      <c r="C417" s="233"/>
      <c r="D417" s="234"/>
      <c r="E417" s="235"/>
      <c r="F417" s="236"/>
      <c r="G417" s="237"/>
      <c r="H417" s="238"/>
      <c r="I417" s="234"/>
      <c r="J417" s="239"/>
      <c r="K417" s="240"/>
      <c r="L417" s="241"/>
    </row>
    <row r="418" spans="2:12" ht="12.5" x14ac:dyDescent="0.25">
      <c r="B418" s="232"/>
      <c r="C418" s="233"/>
      <c r="D418" s="234"/>
      <c r="E418" s="235"/>
      <c r="F418" s="236"/>
      <c r="G418" s="237"/>
      <c r="H418" s="238"/>
      <c r="I418" s="234"/>
      <c r="J418" s="239"/>
      <c r="K418" s="240"/>
      <c r="L418" s="241"/>
    </row>
    <row r="419" spans="2:12" ht="12.5" x14ac:dyDescent="0.25">
      <c r="B419" s="232"/>
      <c r="C419" s="233"/>
      <c r="D419" s="234"/>
      <c r="E419" s="235"/>
      <c r="F419" s="236"/>
      <c r="G419" s="237"/>
      <c r="H419" s="238"/>
      <c r="I419" s="234"/>
      <c r="J419" s="239"/>
      <c r="K419" s="240"/>
      <c r="L419" s="241"/>
    </row>
    <row r="420" spans="2:12" ht="12.5" x14ac:dyDescent="0.25">
      <c r="B420" s="232"/>
      <c r="C420" s="233"/>
      <c r="D420" s="234"/>
      <c r="E420" s="235"/>
      <c r="F420" s="236"/>
      <c r="G420" s="237"/>
      <c r="H420" s="238"/>
      <c r="I420" s="234"/>
      <c r="J420" s="239"/>
      <c r="K420" s="240"/>
      <c r="L420" s="241"/>
    </row>
    <row r="421" spans="2:12" ht="12.5" x14ac:dyDescent="0.25">
      <c r="B421" s="232"/>
      <c r="C421" s="233"/>
      <c r="D421" s="234"/>
      <c r="E421" s="235"/>
      <c r="F421" s="236"/>
      <c r="G421" s="237"/>
      <c r="H421" s="238"/>
      <c r="I421" s="234"/>
      <c r="J421" s="239"/>
      <c r="K421" s="240"/>
      <c r="L421" s="241"/>
    </row>
    <row r="422" spans="2:12" ht="12.5" x14ac:dyDescent="0.25">
      <c r="B422" s="232"/>
      <c r="C422" s="233"/>
      <c r="D422" s="234"/>
      <c r="E422" s="235"/>
      <c r="F422" s="236"/>
      <c r="G422" s="237"/>
      <c r="H422" s="238"/>
      <c r="I422" s="234"/>
      <c r="J422" s="239"/>
      <c r="K422" s="240"/>
      <c r="L422" s="241"/>
    </row>
    <row r="423" spans="2:12" ht="12.5" x14ac:dyDescent="0.25">
      <c r="B423" s="232"/>
      <c r="C423" s="233"/>
      <c r="D423" s="234"/>
      <c r="E423" s="235"/>
      <c r="F423" s="236"/>
      <c r="G423" s="237"/>
      <c r="H423" s="238"/>
      <c r="I423" s="234"/>
      <c r="J423" s="239"/>
      <c r="K423" s="240"/>
      <c r="L423" s="241"/>
    </row>
    <row r="424" spans="2:12" ht="12.5" x14ac:dyDescent="0.25">
      <c r="B424" s="232"/>
      <c r="C424" s="233"/>
      <c r="D424" s="234"/>
      <c r="E424" s="235"/>
      <c r="F424" s="236"/>
      <c r="G424" s="237"/>
      <c r="H424" s="238"/>
      <c r="I424" s="234"/>
      <c r="J424" s="239"/>
      <c r="K424" s="240"/>
      <c r="L424" s="241"/>
    </row>
    <row r="425" spans="2:12" ht="12.5" x14ac:dyDescent="0.25">
      <c r="B425" s="232"/>
      <c r="C425" s="233"/>
      <c r="D425" s="234"/>
      <c r="E425" s="235"/>
      <c r="F425" s="236"/>
      <c r="G425" s="237"/>
      <c r="H425" s="238"/>
      <c r="I425" s="234"/>
      <c r="J425" s="239"/>
      <c r="K425" s="240"/>
      <c r="L425" s="241"/>
    </row>
    <row r="426" spans="2:12" ht="12.5" x14ac:dyDescent="0.25">
      <c r="B426" s="232"/>
      <c r="C426" s="233"/>
      <c r="D426" s="234"/>
      <c r="E426" s="235"/>
      <c r="F426" s="236"/>
      <c r="G426" s="237"/>
      <c r="H426" s="238"/>
      <c r="I426" s="234"/>
      <c r="J426" s="239"/>
      <c r="K426" s="240"/>
      <c r="L426" s="241"/>
    </row>
    <row r="427" spans="2:12" ht="12.5" x14ac:dyDescent="0.25">
      <c r="B427" s="232"/>
      <c r="C427" s="233"/>
      <c r="D427" s="234"/>
      <c r="E427" s="235"/>
      <c r="F427" s="236"/>
      <c r="G427" s="237"/>
      <c r="H427" s="238"/>
      <c r="I427" s="234"/>
      <c r="J427" s="239"/>
      <c r="K427" s="240"/>
      <c r="L427" s="241"/>
    </row>
    <row r="428" spans="2:12" ht="12.5" x14ac:dyDescent="0.25">
      <c r="B428" s="232"/>
      <c r="C428" s="233"/>
      <c r="D428" s="234"/>
      <c r="E428" s="235"/>
      <c r="F428" s="236"/>
      <c r="G428" s="237"/>
      <c r="H428" s="238"/>
      <c r="I428" s="234"/>
      <c r="J428" s="239"/>
      <c r="K428" s="240"/>
      <c r="L428" s="241"/>
    </row>
    <row r="429" spans="2:12" ht="12.5" x14ac:dyDescent="0.25">
      <c r="B429" s="232"/>
      <c r="C429" s="233"/>
      <c r="D429" s="234"/>
      <c r="E429" s="235"/>
      <c r="F429" s="236"/>
      <c r="G429" s="237"/>
      <c r="H429" s="238"/>
      <c r="I429" s="234"/>
      <c r="J429" s="239"/>
      <c r="K429" s="240"/>
      <c r="L429" s="241"/>
    </row>
    <row r="430" spans="2:12" ht="12.5" x14ac:dyDescent="0.25">
      <c r="B430" s="232"/>
      <c r="C430" s="233"/>
      <c r="D430" s="234"/>
      <c r="E430" s="235"/>
      <c r="F430" s="236"/>
      <c r="G430" s="237"/>
      <c r="H430" s="238"/>
      <c r="I430" s="234"/>
      <c r="J430" s="239"/>
      <c r="K430" s="240"/>
      <c r="L430" s="241"/>
    </row>
    <row r="431" spans="2:12" ht="12.5" x14ac:dyDescent="0.25">
      <c r="B431" s="232"/>
      <c r="C431" s="233"/>
      <c r="D431" s="234"/>
      <c r="E431" s="235"/>
      <c r="F431" s="236"/>
      <c r="G431" s="237"/>
      <c r="H431" s="238"/>
      <c r="I431" s="234"/>
      <c r="J431" s="239"/>
      <c r="K431" s="240"/>
      <c r="L431" s="241"/>
    </row>
    <row r="432" spans="2:12" ht="12.5" x14ac:dyDescent="0.25">
      <c r="B432" s="232"/>
      <c r="C432" s="233"/>
      <c r="D432" s="234"/>
      <c r="E432" s="235"/>
      <c r="F432" s="236"/>
      <c r="G432" s="237"/>
      <c r="H432" s="238"/>
      <c r="I432" s="234"/>
      <c r="J432" s="239"/>
      <c r="K432" s="240"/>
      <c r="L432" s="241"/>
    </row>
    <row r="433" spans="2:12" ht="12.5" x14ac:dyDescent="0.25">
      <c r="B433" s="232"/>
      <c r="C433" s="233"/>
      <c r="D433" s="234"/>
      <c r="E433" s="235"/>
      <c r="F433" s="236"/>
      <c r="G433" s="237"/>
      <c r="H433" s="238"/>
      <c r="I433" s="234"/>
      <c r="J433" s="239"/>
      <c r="K433" s="240"/>
      <c r="L433" s="241"/>
    </row>
    <row r="434" spans="2:12" ht="12.5" x14ac:dyDescent="0.25">
      <c r="B434" s="232"/>
      <c r="C434" s="233"/>
      <c r="D434" s="234"/>
      <c r="E434" s="235"/>
      <c r="F434" s="236"/>
      <c r="G434" s="237"/>
      <c r="H434" s="238"/>
      <c r="I434" s="234"/>
      <c r="J434" s="239"/>
      <c r="K434" s="240"/>
      <c r="L434" s="241"/>
    </row>
    <row r="435" spans="2:12" ht="12.5" x14ac:dyDescent="0.25">
      <c r="B435" s="232"/>
      <c r="C435" s="233"/>
      <c r="D435" s="234"/>
      <c r="E435" s="235"/>
      <c r="F435" s="236"/>
      <c r="G435" s="237"/>
      <c r="H435" s="238"/>
      <c r="I435" s="234"/>
      <c r="J435" s="239"/>
      <c r="K435" s="240"/>
      <c r="L435" s="241"/>
    </row>
    <row r="436" spans="2:12" ht="12.5" x14ac:dyDescent="0.25">
      <c r="B436" s="232"/>
      <c r="C436" s="233"/>
      <c r="D436" s="234"/>
      <c r="E436" s="235"/>
      <c r="F436" s="236"/>
      <c r="G436" s="237"/>
      <c r="H436" s="238"/>
      <c r="I436" s="234"/>
      <c r="J436" s="239"/>
      <c r="K436" s="240"/>
      <c r="L436" s="241"/>
    </row>
    <row r="437" spans="2:12" ht="12.5" x14ac:dyDescent="0.25">
      <c r="B437" s="232"/>
      <c r="C437" s="233"/>
      <c r="D437" s="234"/>
      <c r="E437" s="235"/>
      <c r="F437" s="236"/>
      <c r="G437" s="237"/>
      <c r="H437" s="238"/>
      <c r="I437" s="234"/>
      <c r="J437" s="239"/>
      <c r="K437" s="240"/>
      <c r="L437" s="241"/>
    </row>
    <row r="438" spans="2:12" ht="12.5" x14ac:dyDescent="0.25">
      <c r="B438" s="232"/>
      <c r="C438" s="233"/>
      <c r="D438" s="234"/>
      <c r="E438" s="235"/>
      <c r="F438" s="236"/>
      <c r="G438" s="237"/>
      <c r="H438" s="238"/>
      <c r="I438" s="234"/>
      <c r="J438" s="239"/>
      <c r="K438" s="240"/>
      <c r="L438" s="241"/>
    </row>
    <row r="439" spans="2:12" ht="12.5" x14ac:dyDescent="0.25">
      <c r="B439" s="232"/>
      <c r="C439" s="233"/>
      <c r="D439" s="234"/>
      <c r="E439" s="235"/>
      <c r="F439" s="236"/>
      <c r="G439" s="237"/>
      <c r="H439" s="238"/>
      <c r="I439" s="234"/>
      <c r="J439" s="239"/>
      <c r="K439" s="240"/>
      <c r="L439" s="241"/>
    </row>
    <row r="440" spans="2:12" ht="12.5" x14ac:dyDescent="0.25">
      <c r="B440" s="232"/>
      <c r="C440" s="233"/>
      <c r="D440" s="234"/>
      <c r="E440" s="235"/>
      <c r="F440" s="236"/>
      <c r="G440" s="237"/>
      <c r="H440" s="238"/>
      <c r="I440" s="234"/>
      <c r="J440" s="239"/>
      <c r="K440" s="240"/>
      <c r="L440" s="241"/>
    </row>
    <row r="441" spans="2:12" ht="12.5" x14ac:dyDescent="0.25">
      <c r="B441" s="232"/>
      <c r="C441" s="233"/>
      <c r="D441" s="234"/>
      <c r="E441" s="235"/>
      <c r="F441" s="236"/>
      <c r="G441" s="237"/>
      <c r="H441" s="238"/>
      <c r="I441" s="234"/>
      <c r="J441" s="239"/>
      <c r="K441" s="240"/>
      <c r="L441" s="241"/>
    </row>
    <row r="442" spans="2:12" ht="12.5" x14ac:dyDescent="0.25">
      <c r="B442" s="232"/>
      <c r="C442" s="233"/>
      <c r="D442" s="234"/>
      <c r="E442" s="235"/>
      <c r="F442" s="236"/>
      <c r="G442" s="237"/>
      <c r="H442" s="238"/>
      <c r="I442" s="234"/>
      <c r="J442" s="239"/>
      <c r="K442" s="240"/>
      <c r="L442" s="241"/>
    </row>
    <row r="443" spans="2:12" ht="12.5" x14ac:dyDescent="0.25">
      <c r="B443" s="232"/>
      <c r="C443" s="233"/>
      <c r="D443" s="234"/>
      <c r="E443" s="235"/>
      <c r="F443" s="236"/>
      <c r="G443" s="237"/>
      <c r="H443" s="238"/>
      <c r="I443" s="234"/>
      <c r="J443" s="239"/>
      <c r="K443" s="240"/>
      <c r="L443" s="241"/>
    </row>
    <row r="444" spans="2:12" ht="12.5" x14ac:dyDescent="0.25">
      <c r="B444" s="232"/>
      <c r="C444" s="233"/>
      <c r="D444" s="234"/>
      <c r="E444" s="235"/>
      <c r="F444" s="236"/>
      <c r="G444" s="237"/>
      <c r="H444" s="238"/>
      <c r="I444" s="234"/>
      <c r="J444" s="239"/>
      <c r="K444" s="240"/>
      <c r="L444" s="241"/>
    </row>
    <row r="445" spans="2:12" ht="12.5" x14ac:dyDescent="0.25">
      <c r="B445" s="232"/>
      <c r="C445" s="233"/>
      <c r="D445" s="234"/>
      <c r="E445" s="235"/>
      <c r="F445" s="236"/>
      <c r="G445" s="237"/>
      <c r="H445" s="238"/>
      <c r="I445" s="234"/>
      <c r="J445" s="239"/>
      <c r="K445" s="240"/>
      <c r="L445" s="241"/>
    </row>
    <row r="446" spans="2:12" ht="12.5" x14ac:dyDescent="0.25">
      <c r="B446" s="232"/>
      <c r="C446" s="233"/>
      <c r="D446" s="234"/>
      <c r="E446" s="235"/>
      <c r="F446" s="236"/>
      <c r="G446" s="237"/>
      <c r="H446" s="238"/>
      <c r="I446" s="234"/>
      <c r="J446" s="239"/>
      <c r="K446" s="240"/>
      <c r="L446" s="241"/>
    </row>
    <row r="447" spans="2:12" ht="12.5" x14ac:dyDescent="0.25">
      <c r="B447" s="232"/>
      <c r="C447" s="233"/>
      <c r="D447" s="234"/>
      <c r="E447" s="235"/>
      <c r="F447" s="236"/>
      <c r="G447" s="237"/>
      <c r="H447" s="238"/>
      <c r="I447" s="234"/>
      <c r="J447" s="239"/>
      <c r="K447" s="240"/>
      <c r="L447" s="241"/>
    </row>
    <row r="448" spans="2:12" ht="12.5" x14ac:dyDescent="0.25">
      <c r="B448" s="232"/>
      <c r="C448" s="233"/>
      <c r="D448" s="234"/>
      <c r="E448" s="235"/>
      <c r="F448" s="236"/>
      <c r="G448" s="237"/>
      <c r="H448" s="238"/>
      <c r="I448" s="234"/>
      <c r="J448" s="239"/>
      <c r="K448" s="240"/>
      <c r="L448" s="241"/>
    </row>
    <row r="449" spans="2:12" ht="12.5" x14ac:dyDescent="0.25">
      <c r="B449" s="232"/>
      <c r="C449" s="233"/>
      <c r="D449" s="234"/>
      <c r="E449" s="235"/>
      <c r="F449" s="236"/>
      <c r="G449" s="237"/>
      <c r="H449" s="238"/>
      <c r="I449" s="234"/>
      <c r="J449" s="239"/>
      <c r="K449" s="240"/>
      <c r="L449" s="241"/>
    </row>
    <row r="450" spans="2:12" ht="12.5" x14ac:dyDescent="0.25">
      <c r="B450" s="232"/>
      <c r="C450" s="233"/>
      <c r="D450" s="234"/>
      <c r="E450" s="235"/>
      <c r="F450" s="236"/>
      <c r="G450" s="237"/>
      <c r="H450" s="238"/>
      <c r="I450" s="234"/>
      <c r="J450" s="239"/>
      <c r="K450" s="240"/>
      <c r="L450" s="241"/>
    </row>
    <row r="451" spans="2:12" ht="12.5" x14ac:dyDescent="0.25">
      <c r="B451" s="232"/>
      <c r="C451" s="233"/>
      <c r="D451" s="234"/>
      <c r="E451" s="235"/>
      <c r="F451" s="236"/>
      <c r="G451" s="237"/>
      <c r="H451" s="238"/>
      <c r="I451" s="234"/>
      <c r="J451" s="239"/>
      <c r="K451" s="240"/>
      <c r="L451" s="241"/>
    </row>
    <row r="452" spans="2:12" ht="12.5" x14ac:dyDescent="0.25">
      <c r="B452" s="232"/>
      <c r="C452" s="233"/>
      <c r="D452" s="234"/>
      <c r="E452" s="235"/>
      <c r="F452" s="236"/>
      <c r="G452" s="237"/>
      <c r="H452" s="238"/>
      <c r="I452" s="234"/>
      <c r="J452" s="239"/>
      <c r="K452" s="240"/>
      <c r="L452" s="241"/>
    </row>
    <row r="453" spans="2:12" ht="12.5" x14ac:dyDescent="0.25">
      <c r="B453" s="232"/>
      <c r="C453" s="233"/>
      <c r="D453" s="234"/>
      <c r="E453" s="235"/>
      <c r="F453" s="236"/>
      <c r="G453" s="237"/>
      <c r="H453" s="238"/>
      <c r="I453" s="234"/>
      <c r="J453" s="239"/>
      <c r="K453" s="240"/>
      <c r="L453" s="241"/>
    </row>
    <row r="454" spans="2:12" ht="12.5" x14ac:dyDescent="0.25">
      <c r="B454" s="232"/>
      <c r="C454" s="233"/>
      <c r="D454" s="234"/>
      <c r="E454" s="235"/>
      <c r="F454" s="236"/>
      <c r="G454" s="237"/>
      <c r="H454" s="238"/>
      <c r="I454" s="234"/>
      <c r="J454" s="239"/>
      <c r="K454" s="240"/>
      <c r="L454" s="241"/>
    </row>
    <row r="455" spans="2:12" ht="12.5" x14ac:dyDescent="0.25">
      <c r="B455" s="232"/>
      <c r="C455" s="233"/>
      <c r="D455" s="234"/>
      <c r="E455" s="235"/>
      <c r="F455" s="236"/>
      <c r="G455" s="237"/>
      <c r="H455" s="238"/>
      <c r="I455" s="234"/>
      <c r="J455" s="239"/>
      <c r="K455" s="240"/>
      <c r="L455" s="241"/>
    </row>
    <row r="456" spans="2:12" ht="12.5" x14ac:dyDescent="0.25">
      <c r="B456" s="232"/>
      <c r="C456" s="233"/>
      <c r="D456" s="234"/>
      <c r="E456" s="235"/>
      <c r="F456" s="236"/>
      <c r="G456" s="237"/>
      <c r="H456" s="238"/>
      <c r="I456" s="234"/>
      <c r="J456" s="239"/>
      <c r="K456" s="240"/>
      <c r="L456" s="241"/>
    </row>
    <row r="457" spans="2:12" ht="12.5" x14ac:dyDescent="0.25">
      <c r="B457" s="232"/>
      <c r="C457" s="233"/>
      <c r="D457" s="234"/>
      <c r="E457" s="235"/>
      <c r="F457" s="236"/>
      <c r="G457" s="237"/>
      <c r="H457" s="238"/>
      <c r="I457" s="234"/>
      <c r="J457" s="239"/>
      <c r="K457" s="240"/>
      <c r="L457" s="241"/>
    </row>
    <row r="458" spans="2:12" ht="12.5" x14ac:dyDescent="0.25">
      <c r="B458" s="232"/>
      <c r="C458" s="233"/>
      <c r="D458" s="234"/>
      <c r="E458" s="235"/>
      <c r="F458" s="236"/>
      <c r="G458" s="237"/>
      <c r="H458" s="238"/>
      <c r="I458" s="234"/>
      <c r="J458" s="239"/>
      <c r="K458" s="240"/>
      <c r="L458" s="241"/>
    </row>
    <row r="459" spans="2:12" ht="12.5" x14ac:dyDescent="0.25">
      <c r="B459" s="232"/>
      <c r="C459" s="233"/>
      <c r="D459" s="234"/>
      <c r="E459" s="235"/>
      <c r="F459" s="236"/>
      <c r="G459" s="237"/>
      <c r="H459" s="238"/>
      <c r="I459" s="234"/>
      <c r="J459" s="239"/>
      <c r="K459" s="240"/>
      <c r="L459" s="241"/>
    </row>
    <row r="460" spans="2:12" ht="12.5" x14ac:dyDescent="0.25">
      <c r="B460" s="232"/>
      <c r="C460" s="233"/>
      <c r="D460" s="234"/>
      <c r="E460" s="235"/>
      <c r="F460" s="236"/>
      <c r="G460" s="237"/>
      <c r="H460" s="238"/>
      <c r="I460" s="234"/>
      <c r="J460" s="239"/>
      <c r="K460" s="240"/>
      <c r="L460" s="241"/>
    </row>
    <row r="461" spans="2:12" ht="12.5" x14ac:dyDescent="0.25">
      <c r="B461" s="232"/>
      <c r="C461" s="233"/>
      <c r="D461" s="234"/>
      <c r="E461" s="235"/>
      <c r="F461" s="236"/>
      <c r="G461" s="237"/>
      <c r="H461" s="238"/>
      <c r="I461" s="234"/>
      <c r="J461" s="239"/>
      <c r="K461" s="240"/>
      <c r="L461" s="241"/>
    </row>
    <row r="462" spans="2:12" ht="12.5" x14ac:dyDescent="0.25">
      <c r="B462" s="232"/>
      <c r="C462" s="233"/>
      <c r="D462" s="234"/>
      <c r="E462" s="235"/>
      <c r="F462" s="236"/>
      <c r="G462" s="237"/>
      <c r="H462" s="238"/>
      <c r="I462" s="234"/>
      <c r="J462" s="239"/>
      <c r="K462" s="240"/>
      <c r="L462" s="241"/>
    </row>
    <row r="463" spans="2:12" ht="12.5" x14ac:dyDescent="0.25">
      <c r="B463" s="232"/>
      <c r="C463" s="233"/>
      <c r="D463" s="234"/>
      <c r="E463" s="235"/>
      <c r="F463" s="236"/>
      <c r="G463" s="237"/>
      <c r="H463" s="238"/>
      <c r="I463" s="234"/>
      <c r="J463" s="239"/>
      <c r="K463" s="240"/>
      <c r="L463" s="241"/>
    </row>
    <row r="464" spans="2:12" ht="12.5" x14ac:dyDescent="0.25">
      <c r="B464" s="232"/>
      <c r="C464" s="233"/>
      <c r="D464" s="234"/>
      <c r="E464" s="235"/>
      <c r="F464" s="236"/>
      <c r="G464" s="237"/>
      <c r="H464" s="238"/>
      <c r="I464" s="234"/>
      <c r="J464" s="239"/>
      <c r="K464" s="240"/>
      <c r="L464" s="241"/>
    </row>
    <row r="465" spans="2:12" ht="12.5" x14ac:dyDescent="0.25">
      <c r="B465" s="232"/>
      <c r="C465" s="233"/>
      <c r="D465" s="234"/>
      <c r="E465" s="235"/>
      <c r="F465" s="236"/>
      <c r="G465" s="237"/>
      <c r="H465" s="238"/>
      <c r="I465" s="234"/>
      <c r="J465" s="239"/>
      <c r="K465" s="240"/>
      <c r="L465" s="241"/>
    </row>
    <row r="466" spans="2:12" ht="12.5" x14ac:dyDescent="0.25">
      <c r="B466" s="232"/>
      <c r="C466" s="233"/>
      <c r="D466" s="234"/>
      <c r="E466" s="235"/>
      <c r="F466" s="236"/>
      <c r="G466" s="237"/>
      <c r="H466" s="238"/>
      <c r="I466" s="234"/>
      <c r="J466" s="239"/>
      <c r="K466" s="240"/>
      <c r="L466" s="241"/>
    </row>
    <row r="467" spans="2:12" ht="12.5" x14ac:dyDescent="0.25">
      <c r="B467" s="232"/>
      <c r="C467" s="233"/>
      <c r="D467" s="234"/>
      <c r="E467" s="235"/>
      <c r="F467" s="236"/>
      <c r="G467" s="237"/>
      <c r="H467" s="238"/>
      <c r="I467" s="234"/>
      <c r="J467" s="239"/>
      <c r="K467" s="240"/>
      <c r="L467" s="241"/>
    </row>
    <row r="468" spans="2:12" ht="12.5" x14ac:dyDescent="0.25">
      <c r="B468" s="232"/>
      <c r="C468" s="233"/>
      <c r="D468" s="234"/>
      <c r="E468" s="235"/>
      <c r="F468" s="236"/>
      <c r="G468" s="237"/>
      <c r="H468" s="238"/>
      <c r="I468" s="234"/>
      <c r="J468" s="239"/>
      <c r="K468" s="240"/>
      <c r="L468" s="241"/>
    </row>
    <row r="469" spans="2:12" ht="12.5" x14ac:dyDescent="0.25">
      <c r="B469" s="232"/>
      <c r="C469" s="233"/>
      <c r="D469" s="234"/>
      <c r="E469" s="235"/>
      <c r="F469" s="236"/>
      <c r="G469" s="237"/>
      <c r="H469" s="238"/>
      <c r="I469" s="234"/>
      <c r="J469" s="239"/>
      <c r="K469" s="240"/>
      <c r="L469" s="241"/>
    </row>
    <row r="470" spans="2:12" ht="12.5" x14ac:dyDescent="0.25">
      <c r="B470" s="232"/>
      <c r="C470" s="233"/>
      <c r="D470" s="234"/>
      <c r="E470" s="235"/>
      <c r="F470" s="236"/>
      <c r="G470" s="237"/>
      <c r="H470" s="238"/>
      <c r="I470" s="234"/>
      <c r="J470" s="239"/>
      <c r="K470" s="240"/>
      <c r="L470" s="241"/>
    </row>
    <row r="471" spans="2:12" ht="12.5" x14ac:dyDescent="0.25">
      <c r="B471" s="232"/>
      <c r="C471" s="233"/>
      <c r="D471" s="234"/>
      <c r="E471" s="235"/>
      <c r="F471" s="236"/>
      <c r="G471" s="237"/>
      <c r="H471" s="238"/>
      <c r="I471" s="234"/>
      <c r="J471" s="239"/>
      <c r="K471" s="240"/>
      <c r="L471" s="241"/>
    </row>
    <row r="472" spans="2:12" ht="12.5" x14ac:dyDescent="0.25">
      <c r="B472" s="232"/>
      <c r="C472" s="233"/>
      <c r="D472" s="234"/>
      <c r="E472" s="235"/>
      <c r="F472" s="236"/>
      <c r="G472" s="237"/>
      <c r="H472" s="238"/>
      <c r="I472" s="234"/>
      <c r="J472" s="239"/>
      <c r="K472" s="240"/>
      <c r="L472" s="241"/>
    </row>
    <row r="473" spans="2:12" ht="12.5" x14ac:dyDescent="0.25">
      <c r="B473" s="232"/>
      <c r="C473" s="233"/>
      <c r="D473" s="234"/>
      <c r="E473" s="235"/>
      <c r="F473" s="236"/>
      <c r="G473" s="237"/>
      <c r="H473" s="238"/>
      <c r="I473" s="234"/>
      <c r="J473" s="239"/>
      <c r="K473" s="240"/>
      <c r="L473" s="241"/>
    </row>
    <row r="474" spans="2:12" ht="12.5" x14ac:dyDescent="0.25">
      <c r="B474" s="232"/>
      <c r="C474" s="233"/>
      <c r="D474" s="234"/>
      <c r="E474" s="235"/>
      <c r="F474" s="236"/>
      <c r="G474" s="237"/>
      <c r="H474" s="238"/>
      <c r="I474" s="234"/>
      <c r="J474" s="239"/>
      <c r="K474" s="240"/>
      <c r="L474" s="241"/>
    </row>
    <row r="475" spans="2:12" ht="12.5" x14ac:dyDescent="0.25">
      <c r="B475" s="232"/>
      <c r="C475" s="233"/>
      <c r="D475" s="234"/>
      <c r="E475" s="235"/>
      <c r="F475" s="236"/>
      <c r="G475" s="237"/>
      <c r="H475" s="238"/>
      <c r="I475" s="234"/>
      <c r="J475" s="239"/>
      <c r="K475" s="240"/>
      <c r="L475" s="241"/>
    </row>
    <row r="476" spans="2:12" ht="12.5" x14ac:dyDescent="0.25">
      <c r="B476" s="232"/>
      <c r="C476" s="233"/>
      <c r="D476" s="234"/>
      <c r="E476" s="235"/>
      <c r="F476" s="236"/>
      <c r="G476" s="237"/>
      <c r="H476" s="238"/>
      <c r="I476" s="234"/>
      <c r="J476" s="239"/>
      <c r="K476" s="240"/>
      <c r="L476" s="241"/>
    </row>
    <row r="477" spans="2:12" ht="12.5" x14ac:dyDescent="0.25">
      <c r="B477" s="232"/>
      <c r="C477" s="233"/>
      <c r="D477" s="234"/>
      <c r="E477" s="235"/>
      <c r="F477" s="236"/>
      <c r="G477" s="237"/>
      <c r="H477" s="238"/>
      <c r="I477" s="234"/>
      <c r="J477" s="239"/>
      <c r="K477" s="240"/>
      <c r="L477" s="241"/>
    </row>
    <row r="478" spans="2:12" ht="12.5" x14ac:dyDescent="0.25">
      <c r="B478" s="232"/>
      <c r="C478" s="233"/>
      <c r="D478" s="234"/>
      <c r="E478" s="235"/>
      <c r="F478" s="236"/>
      <c r="G478" s="237"/>
      <c r="H478" s="238"/>
      <c r="I478" s="234"/>
      <c r="J478" s="239"/>
      <c r="K478" s="240"/>
      <c r="L478" s="241"/>
    </row>
    <row r="479" spans="2:12" ht="12.5" x14ac:dyDescent="0.25">
      <c r="B479" s="232"/>
      <c r="C479" s="233"/>
      <c r="D479" s="234"/>
      <c r="E479" s="235"/>
      <c r="F479" s="236"/>
      <c r="G479" s="237"/>
      <c r="H479" s="238"/>
      <c r="I479" s="234"/>
      <c r="J479" s="239"/>
      <c r="K479" s="240"/>
      <c r="L479" s="241"/>
    </row>
    <row r="480" spans="2:12" ht="12.5" x14ac:dyDescent="0.25">
      <c r="B480" s="232"/>
      <c r="C480" s="233"/>
      <c r="D480" s="234"/>
      <c r="E480" s="235"/>
      <c r="F480" s="236"/>
      <c r="G480" s="237"/>
      <c r="H480" s="238"/>
      <c r="I480" s="234"/>
      <c r="J480" s="239"/>
      <c r="K480" s="240"/>
      <c r="L480" s="241"/>
    </row>
    <row r="481" spans="2:12" ht="12.5" x14ac:dyDescent="0.25">
      <c r="B481" s="232"/>
      <c r="C481" s="233"/>
      <c r="D481" s="234"/>
      <c r="E481" s="235"/>
      <c r="F481" s="236"/>
      <c r="G481" s="237"/>
      <c r="H481" s="238"/>
      <c r="I481" s="234"/>
      <c r="J481" s="239"/>
      <c r="K481" s="240"/>
      <c r="L481" s="241"/>
    </row>
    <row r="482" spans="2:12" ht="12.5" x14ac:dyDescent="0.25">
      <c r="B482" s="232"/>
      <c r="C482" s="233"/>
      <c r="D482" s="234"/>
      <c r="E482" s="235"/>
      <c r="F482" s="236"/>
      <c r="G482" s="237"/>
      <c r="H482" s="238"/>
      <c r="I482" s="234"/>
      <c r="J482" s="239"/>
      <c r="K482" s="240"/>
      <c r="L482" s="241"/>
    </row>
    <row r="483" spans="2:12" ht="12.5" x14ac:dyDescent="0.25">
      <c r="B483" s="232"/>
      <c r="C483" s="233"/>
      <c r="D483" s="234"/>
      <c r="E483" s="235"/>
      <c r="F483" s="236"/>
      <c r="G483" s="237"/>
      <c r="H483" s="238"/>
      <c r="I483" s="234"/>
      <c r="J483" s="239"/>
      <c r="K483" s="240"/>
      <c r="L483" s="241"/>
    </row>
    <row r="484" spans="2:12" ht="12.5" x14ac:dyDescent="0.25">
      <c r="B484" s="232"/>
      <c r="C484" s="233"/>
      <c r="D484" s="234"/>
      <c r="E484" s="235"/>
      <c r="F484" s="236"/>
      <c r="G484" s="237"/>
      <c r="H484" s="238"/>
      <c r="I484" s="234"/>
      <c r="J484" s="239"/>
      <c r="K484" s="240"/>
      <c r="L484" s="241"/>
    </row>
    <row r="485" spans="2:12" ht="12.5" x14ac:dyDescent="0.25">
      <c r="B485" s="232"/>
      <c r="C485" s="233"/>
      <c r="D485" s="234"/>
      <c r="E485" s="235"/>
      <c r="F485" s="236"/>
      <c r="G485" s="237"/>
      <c r="H485" s="238"/>
      <c r="I485" s="234"/>
      <c r="J485" s="239"/>
      <c r="K485" s="240"/>
      <c r="L485" s="241"/>
    </row>
    <row r="486" spans="2:12" ht="12.5" x14ac:dyDescent="0.25">
      <c r="B486" s="232"/>
      <c r="C486" s="233"/>
      <c r="D486" s="234"/>
      <c r="E486" s="235"/>
      <c r="F486" s="236"/>
      <c r="G486" s="237"/>
      <c r="H486" s="238"/>
      <c r="I486" s="234"/>
      <c r="J486" s="239"/>
      <c r="K486" s="240"/>
      <c r="L486" s="241"/>
    </row>
    <row r="487" spans="2:12" ht="12.5" x14ac:dyDescent="0.25">
      <c r="B487" s="232"/>
      <c r="C487" s="233"/>
      <c r="D487" s="234"/>
      <c r="E487" s="235"/>
      <c r="F487" s="236"/>
      <c r="G487" s="237"/>
      <c r="H487" s="238"/>
      <c r="I487" s="234"/>
      <c r="J487" s="239"/>
      <c r="K487" s="240"/>
      <c r="L487" s="241"/>
    </row>
    <row r="488" spans="2:12" ht="12.5" x14ac:dyDescent="0.25">
      <c r="B488" s="232"/>
      <c r="C488" s="233"/>
      <c r="D488" s="234"/>
      <c r="E488" s="235"/>
      <c r="F488" s="236"/>
      <c r="G488" s="237"/>
      <c r="H488" s="238"/>
      <c r="I488" s="234"/>
      <c r="J488" s="239"/>
      <c r="K488" s="240"/>
      <c r="L488" s="241"/>
    </row>
    <row r="489" spans="2:12" ht="12.5" x14ac:dyDescent="0.25">
      <c r="B489" s="232"/>
      <c r="C489" s="233"/>
      <c r="D489" s="234"/>
      <c r="E489" s="235"/>
      <c r="F489" s="236"/>
      <c r="G489" s="237"/>
      <c r="H489" s="238"/>
      <c r="I489" s="234"/>
      <c r="J489" s="239"/>
      <c r="K489" s="240"/>
      <c r="L489" s="241"/>
    </row>
    <row r="490" spans="2:12" ht="12.5" x14ac:dyDescent="0.25">
      <c r="B490" s="232"/>
      <c r="C490" s="233"/>
      <c r="D490" s="234"/>
      <c r="E490" s="235"/>
      <c r="F490" s="236"/>
      <c r="G490" s="237"/>
      <c r="H490" s="238"/>
      <c r="I490" s="234"/>
      <c r="J490" s="239"/>
      <c r="K490" s="240"/>
      <c r="L490" s="241"/>
    </row>
    <row r="491" spans="2:12" ht="12.5" x14ac:dyDescent="0.25">
      <c r="B491" s="232"/>
      <c r="C491" s="233"/>
      <c r="D491" s="234"/>
      <c r="E491" s="235"/>
      <c r="F491" s="236"/>
      <c r="G491" s="237"/>
      <c r="H491" s="238"/>
      <c r="I491" s="234"/>
      <c r="J491" s="239"/>
      <c r="K491" s="240"/>
      <c r="L491" s="241"/>
    </row>
    <row r="492" spans="2:12" ht="12.5" x14ac:dyDescent="0.25">
      <c r="B492" s="232"/>
      <c r="C492" s="233"/>
      <c r="D492" s="234"/>
      <c r="E492" s="235"/>
      <c r="F492" s="236"/>
      <c r="G492" s="237"/>
      <c r="H492" s="238"/>
      <c r="I492" s="234"/>
      <c r="J492" s="239"/>
      <c r="K492" s="240"/>
      <c r="L492" s="241"/>
    </row>
    <row r="493" spans="2:12" ht="12.5" x14ac:dyDescent="0.25">
      <c r="B493" s="232"/>
      <c r="C493" s="233"/>
      <c r="D493" s="234"/>
      <c r="E493" s="235"/>
      <c r="F493" s="236"/>
      <c r="G493" s="237"/>
      <c r="H493" s="238"/>
      <c r="I493" s="234"/>
      <c r="J493" s="239"/>
      <c r="K493" s="240"/>
      <c r="L493" s="241"/>
    </row>
    <row r="494" spans="2:12" ht="12.5" x14ac:dyDescent="0.25">
      <c r="B494" s="232"/>
      <c r="C494" s="233"/>
      <c r="D494" s="234"/>
      <c r="E494" s="235"/>
      <c r="F494" s="236"/>
      <c r="G494" s="237"/>
      <c r="H494" s="238"/>
      <c r="I494" s="234"/>
      <c r="J494" s="239"/>
      <c r="K494" s="240"/>
      <c r="L494" s="241"/>
    </row>
    <row r="495" spans="2:12" ht="12.5" x14ac:dyDescent="0.25">
      <c r="B495" s="232"/>
      <c r="C495" s="233"/>
      <c r="D495" s="234"/>
      <c r="E495" s="235"/>
      <c r="F495" s="236"/>
      <c r="G495" s="237"/>
      <c r="H495" s="238"/>
      <c r="I495" s="234"/>
      <c r="J495" s="239"/>
      <c r="K495" s="240"/>
      <c r="L495" s="241"/>
    </row>
    <row r="496" spans="2:12" ht="12.5" x14ac:dyDescent="0.25">
      <c r="B496" s="232"/>
      <c r="C496" s="233"/>
      <c r="D496" s="234"/>
      <c r="E496" s="235"/>
      <c r="F496" s="236"/>
      <c r="G496" s="237"/>
      <c r="H496" s="238"/>
      <c r="I496" s="234"/>
      <c r="J496" s="239"/>
      <c r="K496" s="240"/>
      <c r="L496" s="241"/>
    </row>
    <row r="497" spans="2:12" ht="12.5" x14ac:dyDescent="0.25">
      <c r="B497" s="232"/>
      <c r="C497" s="233"/>
      <c r="D497" s="234"/>
      <c r="E497" s="235"/>
      <c r="F497" s="236"/>
      <c r="G497" s="237"/>
      <c r="H497" s="238"/>
      <c r="I497" s="234"/>
      <c r="J497" s="239"/>
      <c r="K497" s="240"/>
      <c r="L497" s="241"/>
    </row>
    <row r="498" spans="2:12" ht="12.5" x14ac:dyDescent="0.25">
      <c r="B498" s="232"/>
      <c r="C498" s="233"/>
      <c r="D498" s="234"/>
      <c r="E498" s="235"/>
      <c r="F498" s="236"/>
      <c r="G498" s="237"/>
      <c r="H498" s="238"/>
      <c r="I498" s="234"/>
      <c r="J498" s="239"/>
      <c r="K498" s="240"/>
      <c r="L498" s="241"/>
    </row>
    <row r="499" spans="2:12" ht="12.5" x14ac:dyDescent="0.25">
      <c r="B499" s="232"/>
      <c r="C499" s="233"/>
      <c r="D499" s="234"/>
      <c r="E499" s="235"/>
      <c r="F499" s="236"/>
      <c r="G499" s="237"/>
      <c r="H499" s="238"/>
      <c r="I499" s="234"/>
      <c r="J499" s="239"/>
      <c r="K499" s="240"/>
      <c r="L499" s="241"/>
    </row>
    <row r="500" spans="2:12" ht="12.5" x14ac:dyDescent="0.25">
      <c r="B500" s="232"/>
      <c r="C500" s="233"/>
      <c r="D500" s="234"/>
      <c r="E500" s="235"/>
      <c r="F500" s="236"/>
      <c r="G500" s="237"/>
      <c r="H500" s="238"/>
      <c r="I500" s="234"/>
      <c r="J500" s="239"/>
      <c r="K500" s="240"/>
      <c r="L500" s="241"/>
    </row>
    <row r="501" spans="2:12" ht="12.5" x14ac:dyDescent="0.25">
      <c r="B501" s="232"/>
      <c r="C501" s="233"/>
      <c r="D501" s="234"/>
      <c r="E501" s="235"/>
      <c r="F501" s="236"/>
      <c r="G501" s="237"/>
      <c r="H501" s="238"/>
      <c r="I501" s="234"/>
      <c r="J501" s="239"/>
      <c r="K501" s="240"/>
      <c r="L501" s="241"/>
    </row>
    <row r="502" spans="2:12" ht="12.5" x14ac:dyDescent="0.25">
      <c r="B502" s="232"/>
      <c r="C502" s="233"/>
      <c r="D502" s="234"/>
      <c r="E502" s="235"/>
      <c r="F502" s="236"/>
      <c r="G502" s="237"/>
      <c r="H502" s="238"/>
      <c r="I502" s="234"/>
      <c r="J502" s="239"/>
      <c r="K502" s="240"/>
      <c r="L502" s="241"/>
    </row>
    <row r="503" spans="2:12" ht="12.5" x14ac:dyDescent="0.25">
      <c r="B503" s="232"/>
      <c r="C503" s="233"/>
      <c r="D503" s="234"/>
      <c r="E503" s="235"/>
      <c r="F503" s="236"/>
      <c r="G503" s="237"/>
      <c r="H503" s="238"/>
      <c r="I503" s="234"/>
      <c r="J503" s="239"/>
      <c r="K503" s="240"/>
      <c r="L503" s="241"/>
    </row>
    <row r="504" spans="2:12" ht="12.5" x14ac:dyDescent="0.25">
      <c r="B504" s="232"/>
      <c r="C504" s="233"/>
      <c r="D504" s="234"/>
      <c r="E504" s="235"/>
      <c r="F504" s="236"/>
      <c r="G504" s="237"/>
      <c r="H504" s="238"/>
      <c r="I504" s="234"/>
      <c r="J504" s="239"/>
      <c r="K504" s="240"/>
      <c r="L504" s="241"/>
    </row>
    <row r="505" spans="2:12" ht="12.5" x14ac:dyDescent="0.25">
      <c r="B505" s="232"/>
      <c r="C505" s="233"/>
      <c r="D505" s="234"/>
      <c r="E505" s="235"/>
      <c r="F505" s="236"/>
      <c r="G505" s="237"/>
      <c r="H505" s="238"/>
      <c r="I505" s="234"/>
      <c r="J505" s="239"/>
      <c r="K505" s="240"/>
      <c r="L505" s="241"/>
    </row>
    <row r="506" spans="2:12" ht="12.5" x14ac:dyDescent="0.25">
      <c r="B506" s="232"/>
      <c r="C506" s="233"/>
      <c r="D506" s="234"/>
      <c r="E506" s="235"/>
      <c r="F506" s="236"/>
      <c r="G506" s="237"/>
      <c r="H506" s="238"/>
      <c r="I506" s="234"/>
      <c r="J506" s="239"/>
      <c r="K506" s="240"/>
      <c r="L506" s="241"/>
    </row>
    <row r="507" spans="2:12" ht="12.5" x14ac:dyDescent="0.25">
      <c r="B507" s="232"/>
      <c r="C507" s="233"/>
      <c r="D507" s="234"/>
      <c r="E507" s="235"/>
      <c r="F507" s="236"/>
      <c r="G507" s="237"/>
      <c r="H507" s="238"/>
      <c r="I507" s="234"/>
      <c r="J507" s="239"/>
      <c r="K507" s="240"/>
      <c r="L507" s="241"/>
    </row>
    <row r="508" spans="2:12" ht="12.5" x14ac:dyDescent="0.25">
      <c r="B508" s="232"/>
      <c r="C508" s="233"/>
      <c r="D508" s="234"/>
      <c r="E508" s="235"/>
      <c r="F508" s="236"/>
      <c r="G508" s="237"/>
      <c r="H508" s="238"/>
      <c r="I508" s="234"/>
      <c r="J508" s="239"/>
      <c r="K508" s="240"/>
      <c r="L508" s="241"/>
    </row>
    <row r="509" spans="2:12" ht="12.5" x14ac:dyDescent="0.25">
      <c r="B509" s="232"/>
      <c r="C509" s="233"/>
      <c r="D509" s="234"/>
      <c r="E509" s="235"/>
      <c r="F509" s="236"/>
      <c r="G509" s="237"/>
      <c r="H509" s="238"/>
      <c r="I509" s="234"/>
      <c r="J509" s="239"/>
      <c r="K509" s="240"/>
      <c r="L509" s="241"/>
    </row>
    <row r="510" spans="2:12" ht="12.5" x14ac:dyDescent="0.25">
      <c r="B510" s="232"/>
      <c r="C510" s="233"/>
      <c r="D510" s="234"/>
      <c r="E510" s="235"/>
      <c r="F510" s="236"/>
      <c r="G510" s="237"/>
      <c r="H510" s="238"/>
      <c r="I510" s="234"/>
      <c r="J510" s="239"/>
      <c r="K510" s="240"/>
      <c r="L510" s="241"/>
    </row>
    <row r="511" spans="2:12" ht="12.5" x14ac:dyDescent="0.25">
      <c r="B511" s="232"/>
      <c r="C511" s="233"/>
      <c r="D511" s="234"/>
      <c r="E511" s="235"/>
      <c r="F511" s="236"/>
      <c r="G511" s="237"/>
      <c r="H511" s="238"/>
      <c r="I511" s="234"/>
      <c r="J511" s="239"/>
      <c r="K511" s="240"/>
      <c r="L511" s="241"/>
    </row>
    <row r="512" spans="2:12" ht="12.5" x14ac:dyDescent="0.25">
      <c r="B512" s="232"/>
      <c r="C512" s="233"/>
      <c r="D512" s="234"/>
      <c r="E512" s="235"/>
      <c r="F512" s="236"/>
      <c r="G512" s="237"/>
      <c r="H512" s="238"/>
      <c r="I512" s="234"/>
      <c r="J512" s="239"/>
      <c r="K512" s="240"/>
      <c r="L512" s="241"/>
    </row>
    <row r="513" spans="2:12" ht="12.5" x14ac:dyDescent="0.25">
      <c r="B513" s="232"/>
      <c r="C513" s="233"/>
      <c r="D513" s="234"/>
      <c r="E513" s="235"/>
      <c r="F513" s="236"/>
      <c r="G513" s="237"/>
      <c r="H513" s="238"/>
      <c r="I513" s="234"/>
      <c r="J513" s="239"/>
      <c r="K513" s="240"/>
      <c r="L513" s="241"/>
    </row>
    <row r="514" spans="2:12" ht="12.5" x14ac:dyDescent="0.25">
      <c r="B514" s="232"/>
      <c r="C514" s="233"/>
      <c r="D514" s="234"/>
      <c r="E514" s="235"/>
      <c r="F514" s="236"/>
      <c r="G514" s="237"/>
      <c r="H514" s="238"/>
      <c r="I514" s="234"/>
      <c r="J514" s="239"/>
      <c r="K514" s="240"/>
      <c r="L514" s="241"/>
    </row>
    <row r="515" spans="2:12" ht="12.5" x14ac:dyDescent="0.25">
      <c r="B515" s="232"/>
      <c r="C515" s="233"/>
      <c r="D515" s="234"/>
      <c r="E515" s="235"/>
      <c r="F515" s="236"/>
      <c r="G515" s="237"/>
      <c r="H515" s="238"/>
      <c r="I515" s="234"/>
      <c r="J515" s="239"/>
      <c r="K515" s="240"/>
      <c r="L515" s="241"/>
    </row>
    <row r="516" spans="2:12" ht="12.5" x14ac:dyDescent="0.25">
      <c r="B516" s="232"/>
      <c r="C516" s="233"/>
      <c r="D516" s="234"/>
      <c r="E516" s="235"/>
      <c r="F516" s="236"/>
      <c r="G516" s="237"/>
      <c r="H516" s="238"/>
      <c r="I516" s="234"/>
      <c r="J516" s="239"/>
      <c r="K516" s="240"/>
      <c r="L516" s="241"/>
    </row>
    <row r="517" spans="2:12" ht="12.5" x14ac:dyDescent="0.25">
      <c r="B517" s="232"/>
      <c r="C517" s="233"/>
      <c r="D517" s="234"/>
      <c r="E517" s="235"/>
      <c r="F517" s="236"/>
      <c r="G517" s="237"/>
      <c r="H517" s="238"/>
      <c r="I517" s="234"/>
      <c r="J517" s="239"/>
      <c r="K517" s="240"/>
      <c r="L517" s="241"/>
    </row>
    <row r="518" spans="2:12" ht="12.5" x14ac:dyDescent="0.25">
      <c r="B518" s="232"/>
      <c r="C518" s="233"/>
      <c r="D518" s="234"/>
      <c r="E518" s="235"/>
      <c r="F518" s="236"/>
      <c r="G518" s="237"/>
      <c r="H518" s="238"/>
      <c r="I518" s="234"/>
      <c r="J518" s="239"/>
      <c r="K518" s="240"/>
      <c r="L518" s="241"/>
    </row>
    <row r="519" spans="2:12" ht="12.5" x14ac:dyDescent="0.25">
      <c r="B519" s="232"/>
      <c r="C519" s="233"/>
      <c r="D519" s="234"/>
      <c r="E519" s="235"/>
      <c r="F519" s="236"/>
      <c r="G519" s="237"/>
      <c r="H519" s="238"/>
      <c r="I519" s="234"/>
      <c r="J519" s="239"/>
      <c r="K519" s="240"/>
      <c r="L519" s="241"/>
    </row>
    <row r="520" spans="2:12" ht="12.5" x14ac:dyDescent="0.25">
      <c r="B520" s="232"/>
      <c r="C520" s="233"/>
      <c r="D520" s="234"/>
      <c r="E520" s="235"/>
      <c r="F520" s="236"/>
      <c r="G520" s="237"/>
      <c r="H520" s="238"/>
      <c r="I520" s="234"/>
      <c r="J520" s="239"/>
      <c r="K520" s="240"/>
      <c r="L520" s="241"/>
    </row>
    <row r="521" spans="2:12" ht="12.5" x14ac:dyDescent="0.25">
      <c r="B521" s="232"/>
      <c r="C521" s="233"/>
      <c r="D521" s="234"/>
      <c r="E521" s="235"/>
      <c r="F521" s="236"/>
      <c r="G521" s="237"/>
      <c r="H521" s="238"/>
      <c r="I521" s="234"/>
      <c r="J521" s="239"/>
      <c r="K521" s="240"/>
      <c r="L521" s="241"/>
    </row>
    <row r="522" spans="2:12" ht="12.5" x14ac:dyDescent="0.25">
      <c r="B522" s="232"/>
      <c r="C522" s="233"/>
      <c r="D522" s="234"/>
      <c r="E522" s="235"/>
      <c r="F522" s="236"/>
      <c r="G522" s="237"/>
      <c r="H522" s="238"/>
      <c r="I522" s="234"/>
      <c r="J522" s="239"/>
      <c r="K522" s="240"/>
      <c r="L522" s="241"/>
    </row>
    <row r="523" spans="2:12" ht="12.5" x14ac:dyDescent="0.25">
      <c r="B523" s="232"/>
      <c r="C523" s="233"/>
      <c r="D523" s="234"/>
      <c r="E523" s="235"/>
      <c r="F523" s="236"/>
      <c r="G523" s="237"/>
      <c r="H523" s="238"/>
      <c r="I523" s="234"/>
      <c r="J523" s="239"/>
      <c r="K523" s="240"/>
      <c r="L523" s="241"/>
    </row>
    <row r="524" spans="2:12" ht="12.5" x14ac:dyDescent="0.25">
      <c r="B524" s="232"/>
      <c r="C524" s="233"/>
      <c r="D524" s="234"/>
      <c r="E524" s="235"/>
      <c r="F524" s="236"/>
      <c r="G524" s="237"/>
      <c r="H524" s="238"/>
      <c r="I524" s="234"/>
      <c r="J524" s="239"/>
      <c r="K524" s="240"/>
      <c r="L524" s="241"/>
    </row>
    <row r="525" spans="2:12" ht="12.5" x14ac:dyDescent="0.25">
      <c r="B525" s="232"/>
      <c r="C525" s="233"/>
      <c r="D525" s="234"/>
      <c r="E525" s="235"/>
      <c r="F525" s="236"/>
      <c r="G525" s="237"/>
      <c r="H525" s="238"/>
      <c r="I525" s="234"/>
      <c r="J525" s="239"/>
      <c r="K525" s="240"/>
      <c r="L525" s="241"/>
    </row>
    <row r="526" spans="2:12" ht="12.5" x14ac:dyDescent="0.25">
      <c r="B526" s="232"/>
      <c r="C526" s="233"/>
      <c r="D526" s="234"/>
      <c r="E526" s="235"/>
      <c r="F526" s="236"/>
      <c r="G526" s="237"/>
      <c r="H526" s="238"/>
      <c r="I526" s="234"/>
      <c r="J526" s="239"/>
      <c r="K526" s="240"/>
      <c r="L526" s="241"/>
    </row>
    <row r="527" spans="2:12" ht="12.5" x14ac:dyDescent="0.25">
      <c r="B527" s="232"/>
      <c r="C527" s="233"/>
      <c r="D527" s="234"/>
      <c r="E527" s="235"/>
      <c r="F527" s="236"/>
      <c r="G527" s="237"/>
      <c r="H527" s="238"/>
      <c r="I527" s="234"/>
      <c r="J527" s="239"/>
      <c r="K527" s="240"/>
      <c r="L527" s="241"/>
    </row>
    <row r="528" spans="2:12" ht="12.5" x14ac:dyDescent="0.25">
      <c r="B528" s="232"/>
      <c r="C528" s="233"/>
      <c r="D528" s="234"/>
      <c r="E528" s="235"/>
      <c r="F528" s="236"/>
      <c r="G528" s="237"/>
      <c r="H528" s="238"/>
      <c r="I528" s="234"/>
      <c r="J528" s="239"/>
      <c r="K528" s="240"/>
      <c r="L528" s="241"/>
    </row>
    <row r="529" spans="2:12" ht="12.5" x14ac:dyDescent="0.25">
      <c r="B529" s="232"/>
      <c r="C529" s="233"/>
      <c r="D529" s="234"/>
      <c r="E529" s="235"/>
      <c r="F529" s="236"/>
      <c r="G529" s="237"/>
      <c r="H529" s="238"/>
      <c r="I529" s="234"/>
      <c r="J529" s="239"/>
      <c r="K529" s="240"/>
      <c r="L529" s="241"/>
    </row>
    <row r="530" spans="2:12" ht="12.5" x14ac:dyDescent="0.25">
      <c r="B530" s="232"/>
      <c r="C530" s="233"/>
      <c r="D530" s="234"/>
      <c r="E530" s="235"/>
      <c r="F530" s="236"/>
      <c r="G530" s="237"/>
      <c r="H530" s="238"/>
      <c r="I530" s="234"/>
      <c r="J530" s="239"/>
      <c r="K530" s="240"/>
      <c r="L530" s="241"/>
    </row>
    <row r="531" spans="2:12" ht="12.5" x14ac:dyDescent="0.25">
      <c r="B531" s="232"/>
      <c r="C531" s="233"/>
      <c r="D531" s="234"/>
      <c r="E531" s="235"/>
      <c r="F531" s="236"/>
      <c r="G531" s="237"/>
      <c r="H531" s="238"/>
      <c r="I531" s="234"/>
      <c r="J531" s="239"/>
      <c r="K531" s="240"/>
      <c r="L531" s="241"/>
    </row>
    <row r="532" spans="2:12" ht="12.5" x14ac:dyDescent="0.25">
      <c r="B532" s="232"/>
      <c r="C532" s="233"/>
      <c r="D532" s="234"/>
      <c r="E532" s="235"/>
      <c r="F532" s="236"/>
      <c r="G532" s="237"/>
      <c r="H532" s="238"/>
      <c r="I532" s="234"/>
      <c r="J532" s="239"/>
      <c r="K532" s="240"/>
      <c r="L532" s="241"/>
    </row>
    <row r="533" spans="2:12" ht="12.5" x14ac:dyDescent="0.25">
      <c r="B533" s="232"/>
      <c r="C533" s="233"/>
      <c r="D533" s="234"/>
      <c r="E533" s="235"/>
      <c r="F533" s="236"/>
      <c r="G533" s="237"/>
      <c r="H533" s="238"/>
      <c r="I533" s="234"/>
      <c r="J533" s="239"/>
      <c r="K533" s="240"/>
      <c r="L533" s="241"/>
    </row>
    <row r="534" spans="2:12" ht="12.5" x14ac:dyDescent="0.25">
      <c r="B534" s="232"/>
      <c r="C534" s="233"/>
      <c r="D534" s="234"/>
      <c r="E534" s="235"/>
      <c r="F534" s="236"/>
      <c r="G534" s="237"/>
      <c r="H534" s="238"/>
      <c r="I534" s="234"/>
      <c r="J534" s="239"/>
      <c r="K534" s="240"/>
      <c r="L534" s="241"/>
    </row>
    <row r="535" spans="2:12" ht="12.5" x14ac:dyDescent="0.25">
      <c r="B535" s="232"/>
      <c r="C535" s="233"/>
      <c r="D535" s="234"/>
      <c r="E535" s="235"/>
      <c r="F535" s="236"/>
      <c r="G535" s="237"/>
      <c r="H535" s="238"/>
      <c r="I535" s="234"/>
      <c r="J535" s="239"/>
      <c r="K535" s="240"/>
      <c r="L535" s="241"/>
    </row>
    <row r="536" spans="2:12" ht="12.5" x14ac:dyDescent="0.25">
      <c r="B536" s="232"/>
      <c r="C536" s="233"/>
      <c r="D536" s="234"/>
      <c r="E536" s="235"/>
      <c r="F536" s="236"/>
      <c r="G536" s="237"/>
      <c r="H536" s="238"/>
      <c r="I536" s="234"/>
      <c r="J536" s="239"/>
      <c r="K536" s="240"/>
      <c r="L536" s="241"/>
    </row>
    <row r="537" spans="2:12" ht="12.5" x14ac:dyDescent="0.25">
      <c r="B537" s="232"/>
      <c r="C537" s="233"/>
      <c r="D537" s="234"/>
      <c r="E537" s="235"/>
      <c r="F537" s="236"/>
      <c r="G537" s="237"/>
      <c r="H537" s="238"/>
      <c r="I537" s="234"/>
      <c r="J537" s="239"/>
      <c r="K537" s="240"/>
      <c r="L537" s="241"/>
    </row>
    <row r="538" spans="2:12" ht="12.5" x14ac:dyDescent="0.25">
      <c r="B538" s="232"/>
      <c r="C538" s="233"/>
      <c r="D538" s="234"/>
      <c r="E538" s="235"/>
      <c r="F538" s="236"/>
      <c r="G538" s="237"/>
      <c r="H538" s="238"/>
      <c r="I538" s="234"/>
      <c r="J538" s="239"/>
      <c r="K538" s="240"/>
      <c r="L538" s="241"/>
    </row>
    <row r="539" spans="2:12" ht="12.5" x14ac:dyDescent="0.25">
      <c r="B539" s="232"/>
      <c r="C539" s="233"/>
      <c r="D539" s="234"/>
      <c r="E539" s="235"/>
      <c r="F539" s="236"/>
      <c r="G539" s="237"/>
      <c r="H539" s="238"/>
      <c r="I539" s="234"/>
      <c r="J539" s="239"/>
      <c r="K539" s="240"/>
      <c r="L539" s="241"/>
    </row>
    <row r="540" spans="2:12" ht="12.5" x14ac:dyDescent="0.25">
      <c r="B540" s="232"/>
      <c r="C540" s="233"/>
      <c r="D540" s="234"/>
      <c r="E540" s="235"/>
      <c r="F540" s="236"/>
      <c r="G540" s="237"/>
      <c r="H540" s="238"/>
      <c r="I540" s="234"/>
      <c r="J540" s="239"/>
      <c r="K540" s="240"/>
      <c r="L540" s="241"/>
    </row>
    <row r="541" spans="2:12" ht="12.5" x14ac:dyDescent="0.25">
      <c r="B541" s="232"/>
      <c r="C541" s="233"/>
      <c r="D541" s="234"/>
      <c r="E541" s="235"/>
      <c r="F541" s="236"/>
      <c r="G541" s="237"/>
      <c r="H541" s="238"/>
      <c r="I541" s="234"/>
      <c r="J541" s="239"/>
      <c r="K541" s="240"/>
      <c r="L541" s="241"/>
    </row>
    <row r="542" spans="2:12" ht="12.5" x14ac:dyDescent="0.25">
      <c r="B542" s="232"/>
      <c r="C542" s="233"/>
      <c r="D542" s="234"/>
      <c r="E542" s="235"/>
      <c r="F542" s="236"/>
      <c r="G542" s="237"/>
      <c r="H542" s="238"/>
      <c r="I542" s="234"/>
      <c r="J542" s="239"/>
      <c r="K542" s="240"/>
      <c r="L542" s="241"/>
    </row>
    <row r="543" spans="2:12" ht="12.5" x14ac:dyDescent="0.25">
      <c r="B543" s="232"/>
      <c r="C543" s="233"/>
      <c r="D543" s="234"/>
      <c r="E543" s="235"/>
      <c r="F543" s="236"/>
      <c r="G543" s="237"/>
      <c r="H543" s="238"/>
      <c r="I543" s="234"/>
      <c r="J543" s="239"/>
      <c r="K543" s="240"/>
      <c r="L543" s="241"/>
    </row>
    <row r="544" spans="2:12" ht="12.5" x14ac:dyDescent="0.25">
      <c r="B544" s="232"/>
      <c r="C544" s="233"/>
      <c r="D544" s="234"/>
      <c r="E544" s="235"/>
      <c r="F544" s="236"/>
      <c r="G544" s="237"/>
      <c r="H544" s="238"/>
      <c r="I544" s="234"/>
      <c r="J544" s="239"/>
      <c r="K544" s="240"/>
      <c r="L544" s="241"/>
    </row>
    <row r="545" spans="2:12" ht="12.5" x14ac:dyDescent="0.25">
      <c r="B545" s="232"/>
      <c r="C545" s="233"/>
      <c r="D545" s="234"/>
      <c r="E545" s="235"/>
      <c r="F545" s="236"/>
      <c r="G545" s="237"/>
      <c r="H545" s="238"/>
      <c r="I545" s="234"/>
      <c r="J545" s="239"/>
      <c r="K545" s="240"/>
      <c r="L545" s="241"/>
    </row>
    <row r="546" spans="2:12" ht="12.5" x14ac:dyDescent="0.25">
      <c r="B546" s="232"/>
      <c r="C546" s="233"/>
      <c r="D546" s="234"/>
      <c r="E546" s="235"/>
      <c r="F546" s="236"/>
      <c r="G546" s="237"/>
      <c r="H546" s="238"/>
      <c r="I546" s="234"/>
      <c r="J546" s="239"/>
      <c r="K546" s="240"/>
      <c r="L546" s="241"/>
    </row>
    <row r="547" spans="2:12" ht="12.5" x14ac:dyDescent="0.25">
      <c r="B547" s="232"/>
      <c r="C547" s="233"/>
      <c r="D547" s="234"/>
      <c r="E547" s="235"/>
      <c r="F547" s="236"/>
      <c r="G547" s="237"/>
      <c r="H547" s="238"/>
      <c r="I547" s="234"/>
      <c r="J547" s="239"/>
      <c r="K547" s="240"/>
      <c r="L547" s="241"/>
    </row>
    <row r="548" spans="2:12" ht="12.5" x14ac:dyDescent="0.25">
      <c r="B548" s="232"/>
      <c r="C548" s="233"/>
      <c r="D548" s="234"/>
      <c r="E548" s="235"/>
      <c r="F548" s="236"/>
      <c r="G548" s="237"/>
      <c r="H548" s="238"/>
      <c r="I548" s="234"/>
      <c r="J548" s="239"/>
      <c r="K548" s="240"/>
      <c r="L548" s="241"/>
    </row>
    <row r="549" spans="2:12" ht="12.5" x14ac:dyDescent="0.25">
      <c r="B549" s="232"/>
      <c r="C549" s="233"/>
      <c r="D549" s="234"/>
      <c r="E549" s="235"/>
      <c r="F549" s="236"/>
      <c r="G549" s="237"/>
      <c r="H549" s="238"/>
      <c r="I549" s="234"/>
      <c r="J549" s="239"/>
      <c r="K549" s="240"/>
      <c r="L549" s="241"/>
    </row>
    <row r="550" spans="2:12" ht="12.5" x14ac:dyDescent="0.25">
      <c r="B550" s="232"/>
      <c r="C550" s="233"/>
      <c r="D550" s="234"/>
      <c r="E550" s="235"/>
      <c r="F550" s="236"/>
      <c r="G550" s="237"/>
      <c r="H550" s="238"/>
      <c r="I550" s="234"/>
      <c r="J550" s="239"/>
      <c r="K550" s="240"/>
      <c r="L550" s="241"/>
    </row>
    <row r="551" spans="2:12" ht="12.5" x14ac:dyDescent="0.25">
      <c r="B551" s="232"/>
      <c r="C551" s="233"/>
      <c r="D551" s="234"/>
      <c r="E551" s="235"/>
      <c r="F551" s="236"/>
      <c r="G551" s="237"/>
      <c r="H551" s="238"/>
      <c r="I551" s="234"/>
      <c r="J551" s="239"/>
      <c r="K551" s="240"/>
      <c r="L551" s="241"/>
    </row>
    <row r="552" spans="2:12" ht="12.5" x14ac:dyDescent="0.25">
      <c r="B552" s="232"/>
      <c r="C552" s="233"/>
      <c r="D552" s="234"/>
      <c r="E552" s="235"/>
      <c r="F552" s="236"/>
      <c r="G552" s="237"/>
      <c r="H552" s="238"/>
      <c r="I552" s="234"/>
      <c r="J552" s="239"/>
      <c r="K552" s="240"/>
      <c r="L552" s="241"/>
    </row>
    <row r="553" spans="2:12" ht="12.5" x14ac:dyDescent="0.25">
      <c r="B553" s="232"/>
      <c r="C553" s="233"/>
      <c r="D553" s="234"/>
      <c r="E553" s="235"/>
      <c r="F553" s="236"/>
      <c r="G553" s="237"/>
      <c r="H553" s="238"/>
      <c r="I553" s="234"/>
      <c r="J553" s="239"/>
      <c r="K553" s="240"/>
      <c r="L553" s="241"/>
    </row>
    <row r="554" spans="2:12" ht="12.5" x14ac:dyDescent="0.25">
      <c r="B554" s="232"/>
      <c r="C554" s="233"/>
      <c r="D554" s="234"/>
      <c r="E554" s="235"/>
      <c r="F554" s="236"/>
      <c r="G554" s="237"/>
      <c r="H554" s="238"/>
      <c r="I554" s="234"/>
      <c r="J554" s="239"/>
      <c r="K554" s="240"/>
      <c r="L554" s="241"/>
    </row>
    <row r="555" spans="2:12" ht="12.5" x14ac:dyDescent="0.25">
      <c r="B555" s="232"/>
      <c r="C555" s="233"/>
      <c r="D555" s="234"/>
      <c r="E555" s="235"/>
      <c r="F555" s="236"/>
      <c r="G555" s="237"/>
      <c r="H555" s="238"/>
      <c r="I555" s="234"/>
      <c r="J555" s="239"/>
      <c r="K555" s="240"/>
      <c r="L555" s="241"/>
    </row>
    <row r="556" spans="2:12" ht="12.5" x14ac:dyDescent="0.25">
      <c r="B556" s="232"/>
      <c r="C556" s="233"/>
      <c r="D556" s="234"/>
      <c r="E556" s="235"/>
      <c r="F556" s="236"/>
      <c r="G556" s="237"/>
      <c r="H556" s="238"/>
      <c r="I556" s="234"/>
      <c r="J556" s="239"/>
      <c r="K556" s="240"/>
      <c r="L556" s="241"/>
    </row>
    <row r="557" spans="2:12" ht="12.5" x14ac:dyDescent="0.25">
      <c r="B557" s="232"/>
      <c r="C557" s="233"/>
      <c r="D557" s="234"/>
      <c r="E557" s="235"/>
      <c r="F557" s="236"/>
      <c r="G557" s="237"/>
      <c r="H557" s="238"/>
      <c r="I557" s="234"/>
      <c r="J557" s="239"/>
      <c r="K557" s="240"/>
      <c r="L557" s="241"/>
    </row>
    <row r="558" spans="2:12" ht="12.5" x14ac:dyDescent="0.25">
      <c r="B558" s="232"/>
      <c r="C558" s="233"/>
      <c r="D558" s="234"/>
      <c r="E558" s="235"/>
      <c r="F558" s="236"/>
      <c r="G558" s="237"/>
      <c r="H558" s="238"/>
      <c r="I558" s="234"/>
      <c r="J558" s="239"/>
      <c r="K558" s="240"/>
      <c r="L558" s="241"/>
    </row>
    <row r="559" spans="2:12" ht="12.5" x14ac:dyDescent="0.25">
      <c r="B559" s="232"/>
      <c r="C559" s="233"/>
      <c r="D559" s="234"/>
      <c r="E559" s="235"/>
      <c r="F559" s="236"/>
      <c r="G559" s="237"/>
      <c r="H559" s="238"/>
      <c r="I559" s="234"/>
      <c r="J559" s="239"/>
      <c r="K559" s="240"/>
      <c r="L559" s="241"/>
    </row>
    <row r="560" spans="2:12" ht="12.5" x14ac:dyDescent="0.25">
      <c r="B560" s="232"/>
      <c r="C560" s="233"/>
      <c r="D560" s="234"/>
      <c r="E560" s="235"/>
      <c r="F560" s="236"/>
      <c r="G560" s="237"/>
      <c r="H560" s="238"/>
      <c r="I560" s="234"/>
      <c r="J560" s="239"/>
      <c r="K560" s="240"/>
      <c r="L560" s="241"/>
    </row>
    <row r="561" spans="2:12" ht="12.5" x14ac:dyDescent="0.25">
      <c r="B561" s="232"/>
      <c r="C561" s="233"/>
      <c r="D561" s="234"/>
      <c r="E561" s="235"/>
      <c r="F561" s="236"/>
      <c r="G561" s="237"/>
      <c r="H561" s="238"/>
      <c r="I561" s="234"/>
      <c r="J561" s="239"/>
      <c r="K561" s="240"/>
      <c r="L561" s="241"/>
    </row>
    <row r="562" spans="2:12" ht="12.5" x14ac:dyDescent="0.25">
      <c r="B562" s="232"/>
      <c r="C562" s="233"/>
      <c r="D562" s="234"/>
      <c r="E562" s="235"/>
      <c r="F562" s="236"/>
      <c r="G562" s="237"/>
      <c r="H562" s="238"/>
      <c r="I562" s="234"/>
      <c r="J562" s="239"/>
      <c r="K562" s="240"/>
      <c r="L562" s="241"/>
    </row>
    <row r="563" spans="2:12" ht="12.5" x14ac:dyDescent="0.25">
      <c r="B563" s="232"/>
      <c r="C563" s="233"/>
      <c r="D563" s="234"/>
      <c r="E563" s="235"/>
      <c r="F563" s="236"/>
      <c r="G563" s="237"/>
      <c r="H563" s="238"/>
      <c r="I563" s="234"/>
      <c r="J563" s="239"/>
      <c r="K563" s="240"/>
      <c r="L563" s="241"/>
    </row>
    <row r="564" spans="2:12" ht="12.5" x14ac:dyDescent="0.25">
      <c r="B564" s="232"/>
      <c r="C564" s="233"/>
      <c r="D564" s="234"/>
      <c r="E564" s="235"/>
      <c r="F564" s="236"/>
      <c r="G564" s="237"/>
      <c r="H564" s="238"/>
      <c r="I564" s="234"/>
      <c r="J564" s="239"/>
      <c r="K564" s="240"/>
      <c r="L564" s="241"/>
    </row>
    <row r="565" spans="2:12" ht="12.5" x14ac:dyDescent="0.25">
      <c r="B565" s="232"/>
      <c r="C565" s="233"/>
      <c r="D565" s="234"/>
      <c r="E565" s="235"/>
      <c r="F565" s="236"/>
      <c r="G565" s="237"/>
      <c r="H565" s="238"/>
      <c r="I565" s="234"/>
      <c r="J565" s="239"/>
      <c r="K565" s="240"/>
      <c r="L565" s="241"/>
    </row>
    <row r="566" spans="2:12" ht="12.5" x14ac:dyDescent="0.25">
      <c r="B566" s="232"/>
      <c r="C566" s="233"/>
      <c r="D566" s="234"/>
      <c r="E566" s="235"/>
      <c r="F566" s="236"/>
      <c r="G566" s="237"/>
      <c r="H566" s="238"/>
      <c r="I566" s="234"/>
      <c r="J566" s="239"/>
      <c r="K566" s="240"/>
      <c r="L566" s="241"/>
    </row>
    <row r="567" spans="2:12" ht="12.5" x14ac:dyDescent="0.25">
      <c r="B567" s="232"/>
      <c r="C567" s="233"/>
      <c r="D567" s="234"/>
      <c r="E567" s="235"/>
      <c r="F567" s="236"/>
      <c r="G567" s="237"/>
      <c r="H567" s="238"/>
      <c r="I567" s="234"/>
      <c r="J567" s="239"/>
      <c r="K567" s="240"/>
      <c r="L567" s="241"/>
    </row>
    <row r="568" spans="2:12" ht="12.5" x14ac:dyDescent="0.25">
      <c r="B568" s="232"/>
      <c r="C568" s="233"/>
      <c r="D568" s="234"/>
      <c r="E568" s="235"/>
      <c r="F568" s="236"/>
      <c r="G568" s="237"/>
      <c r="H568" s="238"/>
      <c r="I568" s="234"/>
      <c r="J568" s="239"/>
      <c r="K568" s="240"/>
      <c r="L568" s="241"/>
    </row>
    <row r="569" spans="2:12" ht="12.5" x14ac:dyDescent="0.25">
      <c r="B569" s="232"/>
      <c r="C569" s="233"/>
      <c r="D569" s="234"/>
      <c r="E569" s="235"/>
      <c r="F569" s="236"/>
      <c r="G569" s="237"/>
      <c r="H569" s="238"/>
      <c r="I569" s="234"/>
      <c r="J569" s="239"/>
      <c r="K569" s="240"/>
      <c r="L569" s="241"/>
    </row>
    <row r="570" spans="2:12" ht="12.5" x14ac:dyDescent="0.25">
      <c r="B570" s="232"/>
      <c r="C570" s="233"/>
      <c r="D570" s="234"/>
      <c r="E570" s="235"/>
      <c r="F570" s="236"/>
      <c r="G570" s="237"/>
      <c r="H570" s="238"/>
      <c r="I570" s="234"/>
      <c r="J570" s="239"/>
      <c r="K570" s="240"/>
      <c r="L570" s="241"/>
    </row>
    <row r="571" spans="2:12" ht="12.5" x14ac:dyDescent="0.25">
      <c r="B571" s="232"/>
      <c r="C571" s="233"/>
      <c r="D571" s="234"/>
      <c r="E571" s="235"/>
      <c r="F571" s="236"/>
      <c r="G571" s="237"/>
      <c r="H571" s="238"/>
      <c r="I571" s="234"/>
      <c r="J571" s="239"/>
      <c r="K571" s="240"/>
      <c r="L571" s="241"/>
    </row>
    <row r="572" spans="2:12" ht="12.5" x14ac:dyDescent="0.25">
      <c r="B572" s="232"/>
      <c r="C572" s="233"/>
      <c r="D572" s="234"/>
      <c r="E572" s="235"/>
      <c r="F572" s="236"/>
      <c r="G572" s="237"/>
      <c r="H572" s="238"/>
      <c r="I572" s="234"/>
      <c r="J572" s="239"/>
      <c r="K572" s="240"/>
      <c r="L572" s="241"/>
    </row>
    <row r="573" spans="2:12" ht="12.5" x14ac:dyDescent="0.25">
      <c r="B573" s="232"/>
      <c r="C573" s="233"/>
      <c r="D573" s="234"/>
      <c r="E573" s="235"/>
      <c r="F573" s="236"/>
      <c r="G573" s="237"/>
      <c r="H573" s="238"/>
      <c r="I573" s="234"/>
      <c r="J573" s="239"/>
      <c r="K573" s="240"/>
      <c r="L573" s="241"/>
    </row>
    <row r="574" spans="2:12" ht="12.5" x14ac:dyDescent="0.25">
      <c r="B574" s="232"/>
      <c r="C574" s="233"/>
      <c r="D574" s="234"/>
      <c r="E574" s="235"/>
      <c r="F574" s="236"/>
      <c r="G574" s="237"/>
      <c r="H574" s="238"/>
      <c r="I574" s="234"/>
      <c r="J574" s="239"/>
      <c r="K574" s="240"/>
      <c r="L574" s="241"/>
    </row>
    <row r="575" spans="2:12" ht="12.5" x14ac:dyDescent="0.25">
      <c r="B575" s="232"/>
      <c r="C575" s="233"/>
      <c r="D575" s="234"/>
      <c r="E575" s="235"/>
      <c r="F575" s="236"/>
      <c r="G575" s="237"/>
      <c r="H575" s="238"/>
      <c r="I575" s="234"/>
      <c r="J575" s="239"/>
      <c r="K575" s="240"/>
      <c r="L575" s="241"/>
    </row>
    <row r="576" spans="2:12" ht="12.5" x14ac:dyDescent="0.25">
      <c r="B576" s="232"/>
      <c r="C576" s="233"/>
      <c r="D576" s="234"/>
      <c r="E576" s="235"/>
      <c r="F576" s="236"/>
      <c r="G576" s="237"/>
      <c r="H576" s="238"/>
      <c r="I576" s="234"/>
      <c r="J576" s="239"/>
      <c r="K576" s="240"/>
      <c r="L576" s="241"/>
    </row>
    <row r="577" spans="2:12" ht="12.5" x14ac:dyDescent="0.25">
      <c r="B577" s="232"/>
      <c r="C577" s="233"/>
      <c r="D577" s="234"/>
      <c r="E577" s="235"/>
      <c r="F577" s="236"/>
      <c r="G577" s="237"/>
      <c r="H577" s="238"/>
      <c r="I577" s="234"/>
      <c r="J577" s="239"/>
      <c r="K577" s="240"/>
      <c r="L577" s="241"/>
    </row>
    <row r="578" spans="2:12" ht="12.5" x14ac:dyDescent="0.25">
      <c r="B578" s="232"/>
      <c r="C578" s="233"/>
      <c r="D578" s="234"/>
      <c r="E578" s="235"/>
      <c r="F578" s="236"/>
      <c r="G578" s="237"/>
      <c r="H578" s="238"/>
      <c r="I578" s="234"/>
      <c r="J578" s="239"/>
      <c r="K578" s="240"/>
      <c r="L578" s="241"/>
    </row>
    <row r="579" spans="2:12" ht="12.5" x14ac:dyDescent="0.25">
      <c r="B579" s="232"/>
      <c r="C579" s="233"/>
      <c r="D579" s="234"/>
      <c r="E579" s="235"/>
      <c r="F579" s="236"/>
      <c r="G579" s="237"/>
      <c r="H579" s="238"/>
      <c r="I579" s="234"/>
      <c r="J579" s="239"/>
      <c r="K579" s="240"/>
      <c r="L579" s="241"/>
    </row>
    <row r="580" spans="2:12" ht="12.5" x14ac:dyDescent="0.25">
      <c r="B580" s="232"/>
      <c r="C580" s="233"/>
      <c r="D580" s="234"/>
      <c r="E580" s="235"/>
      <c r="F580" s="236"/>
      <c r="G580" s="237"/>
      <c r="H580" s="238"/>
      <c r="I580" s="234"/>
      <c r="J580" s="239"/>
      <c r="K580" s="240"/>
      <c r="L580" s="241"/>
    </row>
    <row r="581" spans="2:12" ht="12.5" x14ac:dyDescent="0.25">
      <c r="B581" s="232"/>
      <c r="C581" s="233"/>
      <c r="D581" s="234"/>
      <c r="E581" s="235"/>
      <c r="F581" s="236"/>
      <c r="G581" s="237"/>
      <c r="H581" s="238"/>
      <c r="I581" s="234"/>
      <c r="J581" s="239"/>
      <c r="K581" s="240"/>
      <c r="L581" s="241"/>
    </row>
    <row r="582" spans="2:12" ht="12.5" x14ac:dyDescent="0.25">
      <c r="B582" s="232"/>
      <c r="C582" s="233"/>
      <c r="D582" s="234"/>
      <c r="E582" s="235"/>
      <c r="F582" s="236"/>
      <c r="G582" s="237"/>
      <c r="H582" s="238"/>
      <c r="I582" s="234"/>
      <c r="J582" s="239"/>
      <c r="K582" s="240"/>
      <c r="L582" s="241"/>
    </row>
    <row r="583" spans="2:12" ht="12.5" x14ac:dyDescent="0.25">
      <c r="B583" s="232"/>
      <c r="C583" s="233"/>
      <c r="D583" s="234"/>
      <c r="E583" s="235"/>
      <c r="F583" s="236"/>
      <c r="G583" s="237"/>
      <c r="H583" s="238"/>
      <c r="I583" s="234"/>
      <c r="J583" s="239"/>
      <c r="K583" s="240"/>
      <c r="L583" s="241"/>
    </row>
    <row r="584" spans="2:12" ht="12.5" x14ac:dyDescent="0.25">
      <c r="B584" s="232"/>
      <c r="C584" s="233"/>
      <c r="D584" s="234"/>
      <c r="E584" s="235"/>
      <c r="F584" s="236"/>
      <c r="G584" s="237"/>
      <c r="H584" s="238"/>
      <c r="I584" s="234"/>
      <c r="J584" s="239"/>
      <c r="K584" s="240"/>
      <c r="L584" s="241"/>
    </row>
    <row r="585" spans="2:12" ht="12.5" x14ac:dyDescent="0.25">
      <c r="B585" s="232"/>
      <c r="C585" s="233"/>
      <c r="D585" s="234"/>
      <c r="E585" s="235"/>
      <c r="F585" s="236"/>
      <c r="G585" s="237"/>
      <c r="H585" s="238"/>
      <c r="I585" s="234"/>
      <c r="J585" s="239"/>
      <c r="K585" s="240"/>
      <c r="L585" s="241"/>
    </row>
    <row r="586" spans="2:12" ht="12.5" x14ac:dyDescent="0.25">
      <c r="B586" s="232"/>
      <c r="C586" s="233"/>
      <c r="D586" s="234"/>
      <c r="E586" s="235"/>
      <c r="F586" s="236"/>
      <c r="G586" s="237"/>
      <c r="H586" s="238"/>
      <c r="I586" s="234"/>
      <c r="J586" s="239"/>
      <c r="K586" s="240"/>
      <c r="L586" s="241"/>
    </row>
    <row r="587" spans="2:12" ht="12.5" x14ac:dyDescent="0.25">
      <c r="B587" s="232"/>
      <c r="C587" s="233"/>
      <c r="D587" s="234"/>
      <c r="E587" s="235"/>
      <c r="F587" s="236"/>
      <c r="G587" s="237"/>
      <c r="H587" s="238"/>
      <c r="I587" s="234"/>
      <c r="J587" s="239"/>
      <c r="K587" s="240"/>
      <c r="L587" s="241"/>
    </row>
    <row r="588" spans="2:12" ht="12.5" x14ac:dyDescent="0.25">
      <c r="B588" s="232"/>
      <c r="C588" s="233"/>
      <c r="D588" s="234"/>
      <c r="E588" s="235"/>
      <c r="F588" s="236"/>
      <c r="G588" s="237"/>
      <c r="H588" s="238"/>
      <c r="I588" s="234"/>
      <c r="J588" s="239"/>
      <c r="K588" s="240"/>
      <c r="L588" s="241"/>
    </row>
    <row r="589" spans="2:12" ht="12.5" x14ac:dyDescent="0.25">
      <c r="B589" s="232"/>
      <c r="C589" s="233"/>
      <c r="D589" s="234"/>
      <c r="E589" s="235"/>
      <c r="F589" s="236"/>
      <c r="G589" s="237"/>
      <c r="H589" s="238"/>
      <c r="I589" s="234"/>
      <c r="J589" s="239"/>
      <c r="K589" s="240"/>
      <c r="L589" s="241"/>
    </row>
    <row r="590" spans="2:12" ht="12.5" x14ac:dyDescent="0.25">
      <c r="B590" s="232"/>
      <c r="C590" s="233"/>
      <c r="D590" s="234"/>
      <c r="E590" s="235"/>
      <c r="F590" s="236"/>
      <c r="G590" s="237"/>
      <c r="H590" s="238"/>
      <c r="I590" s="234"/>
      <c r="J590" s="239"/>
      <c r="K590" s="240"/>
      <c r="L590" s="241"/>
    </row>
    <row r="591" spans="2:12" ht="12.5" x14ac:dyDescent="0.25">
      <c r="B591" s="232"/>
      <c r="C591" s="233"/>
      <c r="D591" s="234"/>
      <c r="E591" s="235"/>
      <c r="F591" s="236"/>
      <c r="G591" s="237"/>
      <c r="H591" s="238"/>
      <c r="I591" s="234"/>
      <c r="J591" s="239"/>
      <c r="K591" s="240"/>
      <c r="L591" s="241"/>
    </row>
    <row r="592" spans="2:12" ht="12.5" x14ac:dyDescent="0.25">
      <c r="B592" s="232"/>
      <c r="C592" s="233"/>
      <c r="D592" s="234"/>
      <c r="E592" s="235"/>
      <c r="F592" s="236"/>
      <c r="G592" s="237"/>
      <c r="H592" s="238"/>
      <c r="I592" s="234"/>
      <c r="J592" s="239"/>
      <c r="K592" s="240"/>
      <c r="L592" s="241"/>
    </row>
    <row r="593" spans="2:12" ht="12.5" x14ac:dyDescent="0.25">
      <c r="B593" s="232"/>
      <c r="C593" s="233"/>
      <c r="D593" s="234"/>
      <c r="E593" s="235"/>
      <c r="F593" s="236"/>
      <c r="G593" s="237"/>
      <c r="H593" s="238"/>
      <c r="I593" s="234"/>
      <c r="J593" s="239"/>
      <c r="K593" s="240"/>
      <c r="L593" s="241"/>
    </row>
    <row r="594" spans="2:12" ht="12.5" x14ac:dyDescent="0.25">
      <c r="B594" s="232"/>
      <c r="C594" s="233"/>
      <c r="D594" s="234"/>
      <c r="E594" s="235"/>
      <c r="F594" s="236"/>
      <c r="G594" s="237"/>
      <c r="H594" s="238"/>
      <c r="I594" s="234"/>
      <c r="J594" s="239"/>
      <c r="K594" s="240"/>
      <c r="L594" s="241"/>
    </row>
    <row r="595" spans="2:12" ht="12.5" x14ac:dyDescent="0.25">
      <c r="B595" s="232"/>
      <c r="C595" s="233"/>
      <c r="D595" s="234"/>
      <c r="E595" s="235"/>
      <c r="F595" s="236"/>
      <c r="G595" s="237"/>
      <c r="H595" s="238"/>
      <c r="I595" s="234"/>
      <c r="J595" s="239"/>
      <c r="K595" s="240"/>
      <c r="L595" s="241"/>
    </row>
    <row r="596" spans="2:12" ht="12.5" x14ac:dyDescent="0.25">
      <c r="B596" s="232"/>
      <c r="C596" s="233"/>
      <c r="D596" s="234"/>
      <c r="E596" s="235"/>
      <c r="F596" s="236"/>
      <c r="G596" s="237"/>
      <c r="H596" s="238"/>
      <c r="I596" s="234"/>
      <c r="J596" s="239"/>
      <c r="K596" s="240"/>
      <c r="L596" s="241"/>
    </row>
    <row r="597" spans="2:12" ht="12.5" x14ac:dyDescent="0.25">
      <c r="B597" s="232"/>
      <c r="C597" s="233"/>
      <c r="D597" s="234"/>
      <c r="E597" s="235"/>
      <c r="F597" s="236"/>
      <c r="G597" s="237"/>
      <c r="H597" s="238"/>
      <c r="I597" s="234"/>
      <c r="J597" s="239"/>
      <c r="K597" s="240"/>
      <c r="L597" s="241"/>
    </row>
    <row r="598" spans="2:12" ht="12.5" x14ac:dyDescent="0.25">
      <c r="B598" s="232"/>
      <c r="C598" s="233"/>
      <c r="D598" s="234"/>
      <c r="E598" s="235"/>
      <c r="F598" s="236"/>
      <c r="G598" s="237"/>
      <c r="H598" s="238"/>
      <c r="I598" s="234"/>
      <c r="J598" s="239"/>
      <c r="K598" s="240"/>
      <c r="L598" s="241"/>
    </row>
    <row r="599" spans="2:12" ht="12.5" x14ac:dyDescent="0.25">
      <c r="B599" s="232"/>
      <c r="C599" s="233"/>
      <c r="D599" s="234"/>
      <c r="E599" s="235"/>
      <c r="F599" s="236"/>
      <c r="G599" s="237"/>
      <c r="H599" s="238"/>
      <c r="I599" s="234"/>
      <c r="J599" s="239"/>
      <c r="K599" s="240"/>
      <c r="L599" s="241"/>
    </row>
    <row r="600" spans="2:12" ht="12.5" x14ac:dyDescent="0.25">
      <c r="B600" s="232"/>
      <c r="C600" s="233"/>
      <c r="D600" s="234"/>
      <c r="E600" s="235"/>
      <c r="F600" s="236"/>
      <c r="G600" s="237"/>
      <c r="H600" s="238"/>
      <c r="I600" s="234"/>
      <c r="J600" s="239"/>
      <c r="K600" s="240"/>
      <c r="L600" s="241"/>
    </row>
    <row r="601" spans="2:12" ht="12.5" x14ac:dyDescent="0.25">
      <c r="B601" s="232"/>
      <c r="C601" s="233"/>
      <c r="D601" s="234"/>
      <c r="E601" s="235"/>
      <c r="F601" s="236"/>
      <c r="G601" s="237"/>
      <c r="H601" s="238"/>
      <c r="I601" s="234"/>
      <c r="J601" s="239"/>
      <c r="K601" s="240"/>
      <c r="L601" s="241"/>
    </row>
    <row r="602" spans="2:12" ht="12.5" x14ac:dyDescent="0.25">
      <c r="B602" s="232"/>
      <c r="C602" s="233"/>
      <c r="D602" s="234"/>
      <c r="E602" s="235"/>
      <c r="F602" s="236"/>
      <c r="G602" s="237"/>
      <c r="H602" s="238"/>
      <c r="I602" s="234"/>
      <c r="J602" s="239"/>
      <c r="K602" s="240"/>
      <c r="L602" s="241"/>
    </row>
    <row r="603" spans="2:12" ht="12.5" x14ac:dyDescent="0.25">
      <c r="B603" s="232"/>
      <c r="C603" s="233"/>
      <c r="D603" s="234"/>
      <c r="E603" s="235"/>
      <c r="F603" s="236"/>
      <c r="G603" s="237"/>
      <c r="H603" s="238"/>
      <c r="I603" s="234"/>
      <c r="J603" s="239"/>
      <c r="K603" s="240"/>
      <c r="L603" s="241"/>
    </row>
    <row r="604" spans="2:12" ht="12.5" x14ac:dyDescent="0.25">
      <c r="B604" s="232"/>
      <c r="C604" s="233"/>
      <c r="D604" s="234"/>
      <c r="E604" s="235"/>
      <c r="F604" s="236"/>
      <c r="G604" s="237"/>
      <c r="H604" s="238"/>
      <c r="I604" s="234"/>
      <c r="J604" s="239"/>
      <c r="K604" s="240"/>
      <c r="L604" s="241"/>
    </row>
    <row r="605" spans="2:12" ht="12.5" x14ac:dyDescent="0.25">
      <c r="B605" s="232"/>
      <c r="C605" s="233"/>
      <c r="D605" s="234"/>
      <c r="E605" s="235"/>
      <c r="F605" s="236"/>
      <c r="G605" s="237"/>
      <c r="H605" s="238"/>
      <c r="I605" s="234"/>
      <c r="J605" s="239"/>
      <c r="K605" s="240"/>
      <c r="L605" s="241"/>
    </row>
    <row r="606" spans="2:12" ht="12.5" x14ac:dyDescent="0.25">
      <c r="B606" s="232"/>
      <c r="C606" s="233"/>
      <c r="D606" s="234"/>
      <c r="E606" s="235"/>
      <c r="F606" s="236"/>
      <c r="G606" s="237"/>
      <c r="H606" s="238"/>
      <c r="I606" s="234"/>
      <c r="J606" s="239"/>
      <c r="K606" s="240"/>
      <c r="L606" s="241"/>
    </row>
    <row r="607" spans="2:12" ht="12.5" x14ac:dyDescent="0.25">
      <c r="B607" s="232"/>
      <c r="C607" s="233"/>
      <c r="D607" s="234"/>
      <c r="E607" s="235"/>
      <c r="F607" s="236"/>
      <c r="G607" s="237"/>
      <c r="H607" s="238"/>
      <c r="I607" s="234"/>
      <c r="J607" s="239"/>
      <c r="K607" s="240"/>
      <c r="L607" s="241"/>
    </row>
    <row r="608" spans="2:12" ht="12.5" x14ac:dyDescent="0.25">
      <c r="B608" s="232"/>
      <c r="C608" s="233"/>
      <c r="D608" s="234"/>
      <c r="E608" s="235"/>
      <c r="F608" s="236"/>
      <c r="G608" s="237"/>
      <c r="H608" s="238"/>
      <c r="I608" s="234"/>
      <c r="J608" s="239"/>
      <c r="K608" s="240"/>
      <c r="L608" s="241"/>
    </row>
    <row r="609" spans="2:12" ht="12.5" x14ac:dyDescent="0.25">
      <c r="B609" s="232"/>
      <c r="C609" s="233"/>
      <c r="D609" s="234"/>
      <c r="E609" s="235"/>
      <c r="F609" s="236"/>
      <c r="G609" s="237"/>
      <c r="H609" s="238"/>
      <c r="I609" s="234"/>
      <c r="J609" s="239"/>
      <c r="K609" s="240"/>
      <c r="L609" s="241"/>
    </row>
    <row r="610" spans="2:12" ht="12.5" x14ac:dyDescent="0.25">
      <c r="B610" s="232"/>
      <c r="C610" s="233"/>
      <c r="D610" s="234"/>
      <c r="E610" s="235"/>
      <c r="F610" s="236"/>
      <c r="G610" s="237"/>
      <c r="H610" s="238"/>
      <c r="I610" s="234"/>
      <c r="J610" s="239"/>
      <c r="K610" s="240"/>
      <c r="L610" s="241"/>
    </row>
    <row r="611" spans="2:12" ht="12.5" x14ac:dyDescent="0.25">
      <c r="B611" s="232"/>
      <c r="C611" s="233"/>
      <c r="D611" s="234"/>
      <c r="E611" s="235"/>
      <c r="F611" s="236"/>
      <c r="G611" s="237"/>
      <c r="H611" s="238"/>
      <c r="I611" s="234"/>
      <c r="J611" s="239"/>
      <c r="K611" s="240"/>
      <c r="L611" s="241"/>
    </row>
    <row r="612" spans="2:12" ht="12.5" x14ac:dyDescent="0.25">
      <c r="B612" s="232"/>
      <c r="C612" s="233"/>
      <c r="D612" s="234"/>
      <c r="E612" s="235"/>
      <c r="F612" s="236"/>
      <c r="G612" s="237"/>
      <c r="H612" s="238"/>
      <c r="I612" s="234"/>
      <c r="J612" s="239"/>
      <c r="K612" s="240"/>
      <c r="L612" s="241"/>
    </row>
    <row r="613" spans="2:12" ht="12.5" x14ac:dyDescent="0.25">
      <c r="B613" s="232"/>
      <c r="C613" s="233"/>
      <c r="D613" s="234"/>
      <c r="E613" s="235"/>
      <c r="F613" s="236"/>
      <c r="G613" s="237"/>
      <c r="H613" s="238"/>
      <c r="I613" s="234"/>
      <c r="J613" s="239"/>
      <c r="K613" s="240"/>
      <c r="L613" s="241"/>
    </row>
    <row r="614" spans="2:12" ht="12.5" x14ac:dyDescent="0.25">
      <c r="B614" s="232"/>
      <c r="C614" s="233"/>
      <c r="D614" s="234"/>
      <c r="E614" s="235"/>
      <c r="F614" s="236"/>
      <c r="G614" s="237"/>
      <c r="H614" s="238"/>
      <c r="I614" s="234"/>
      <c r="J614" s="239"/>
      <c r="K614" s="240"/>
      <c r="L614" s="241"/>
    </row>
    <row r="615" spans="2:12" ht="12.5" x14ac:dyDescent="0.25">
      <c r="B615" s="232"/>
      <c r="C615" s="233"/>
      <c r="D615" s="234"/>
      <c r="E615" s="235"/>
      <c r="F615" s="236"/>
      <c r="G615" s="237"/>
      <c r="H615" s="238"/>
      <c r="I615" s="234"/>
      <c r="J615" s="239"/>
      <c r="K615" s="240"/>
      <c r="L615" s="241"/>
    </row>
    <row r="616" spans="2:12" ht="12.5" x14ac:dyDescent="0.25">
      <c r="B616" s="232"/>
      <c r="C616" s="233"/>
      <c r="D616" s="234"/>
      <c r="E616" s="235"/>
      <c r="F616" s="236"/>
      <c r="G616" s="237"/>
      <c r="H616" s="238"/>
      <c r="I616" s="234"/>
      <c r="J616" s="239"/>
      <c r="K616" s="240"/>
      <c r="L616" s="241"/>
    </row>
    <row r="617" spans="2:12" ht="12.5" x14ac:dyDescent="0.25">
      <c r="B617" s="232"/>
      <c r="C617" s="233"/>
      <c r="D617" s="234"/>
      <c r="E617" s="235"/>
      <c r="F617" s="236"/>
      <c r="G617" s="237"/>
      <c r="H617" s="238"/>
      <c r="I617" s="234"/>
      <c r="J617" s="239"/>
      <c r="K617" s="240"/>
      <c r="L617" s="241"/>
    </row>
    <row r="618" spans="2:12" ht="12.5" x14ac:dyDescent="0.25">
      <c r="B618" s="232"/>
      <c r="C618" s="233"/>
      <c r="D618" s="234"/>
      <c r="E618" s="235"/>
      <c r="F618" s="236"/>
      <c r="G618" s="237"/>
      <c r="H618" s="238"/>
      <c r="I618" s="234"/>
      <c r="J618" s="239"/>
      <c r="K618" s="240"/>
      <c r="L618" s="241"/>
    </row>
    <row r="619" spans="2:12" ht="12.5" x14ac:dyDescent="0.25">
      <c r="B619" s="232"/>
      <c r="C619" s="233"/>
      <c r="D619" s="234"/>
      <c r="E619" s="235"/>
      <c r="F619" s="236"/>
      <c r="G619" s="237"/>
      <c r="H619" s="238"/>
      <c r="I619" s="234"/>
      <c r="J619" s="239"/>
      <c r="K619" s="240"/>
      <c r="L619" s="241"/>
    </row>
    <row r="620" spans="2:12" ht="12.5" x14ac:dyDescent="0.25">
      <c r="B620" s="232"/>
      <c r="C620" s="233"/>
      <c r="D620" s="234"/>
      <c r="E620" s="235"/>
      <c r="F620" s="236"/>
      <c r="G620" s="237"/>
      <c r="H620" s="238"/>
      <c r="I620" s="234"/>
      <c r="J620" s="239"/>
      <c r="K620" s="240"/>
      <c r="L620" s="241"/>
    </row>
    <row r="621" spans="2:12" ht="12.5" x14ac:dyDescent="0.25">
      <c r="B621" s="232"/>
      <c r="C621" s="233"/>
      <c r="D621" s="234"/>
      <c r="E621" s="235"/>
      <c r="F621" s="236"/>
      <c r="G621" s="237"/>
      <c r="H621" s="238"/>
      <c r="I621" s="234"/>
      <c r="J621" s="239"/>
      <c r="K621" s="240"/>
      <c r="L621" s="241"/>
    </row>
    <row r="622" spans="2:12" ht="12.5" x14ac:dyDescent="0.25">
      <c r="B622" s="232"/>
      <c r="C622" s="233"/>
      <c r="D622" s="234"/>
      <c r="E622" s="235"/>
      <c r="F622" s="236"/>
      <c r="G622" s="237"/>
      <c r="H622" s="238"/>
      <c r="I622" s="234"/>
      <c r="J622" s="239"/>
      <c r="K622" s="240"/>
      <c r="L622" s="241"/>
    </row>
    <row r="623" spans="2:12" ht="12.5" x14ac:dyDescent="0.25">
      <c r="B623" s="232"/>
      <c r="C623" s="233"/>
      <c r="D623" s="234"/>
      <c r="E623" s="235"/>
      <c r="F623" s="236"/>
      <c r="G623" s="237"/>
      <c r="H623" s="238"/>
      <c r="I623" s="234"/>
      <c r="J623" s="239"/>
      <c r="K623" s="240"/>
      <c r="L623" s="241"/>
    </row>
    <row r="624" spans="2:12" ht="12.5" x14ac:dyDescent="0.25">
      <c r="B624" s="232"/>
      <c r="C624" s="233"/>
      <c r="D624" s="234"/>
      <c r="E624" s="235"/>
      <c r="F624" s="236"/>
      <c r="G624" s="237"/>
      <c r="H624" s="238"/>
      <c r="I624" s="234"/>
      <c r="J624" s="239"/>
      <c r="K624" s="240"/>
      <c r="L624" s="241"/>
    </row>
    <row r="625" spans="2:12" ht="12.5" x14ac:dyDescent="0.25">
      <c r="B625" s="232"/>
      <c r="C625" s="233"/>
      <c r="D625" s="234"/>
      <c r="E625" s="235"/>
      <c r="F625" s="236"/>
      <c r="G625" s="237"/>
      <c r="H625" s="238"/>
      <c r="I625" s="234"/>
      <c r="J625" s="239"/>
      <c r="K625" s="240"/>
      <c r="L625" s="241"/>
    </row>
    <row r="626" spans="2:12" ht="12.5" x14ac:dyDescent="0.25">
      <c r="B626" s="232"/>
      <c r="C626" s="233"/>
      <c r="D626" s="234"/>
      <c r="E626" s="235"/>
      <c r="F626" s="236"/>
      <c r="G626" s="237"/>
      <c r="H626" s="238"/>
      <c r="I626" s="234"/>
      <c r="J626" s="239"/>
      <c r="K626" s="240"/>
      <c r="L626" s="241"/>
    </row>
    <row r="627" spans="2:12" ht="12.5" x14ac:dyDescent="0.25">
      <c r="B627" s="232"/>
      <c r="C627" s="233"/>
      <c r="D627" s="234"/>
      <c r="E627" s="235"/>
      <c r="F627" s="236"/>
      <c r="G627" s="237"/>
      <c r="H627" s="238"/>
      <c r="I627" s="234"/>
      <c r="J627" s="239"/>
      <c r="K627" s="240"/>
      <c r="L627" s="241"/>
    </row>
    <row r="628" spans="2:12" ht="12.5" x14ac:dyDescent="0.25">
      <c r="B628" s="232"/>
      <c r="C628" s="233"/>
      <c r="D628" s="234"/>
      <c r="E628" s="235"/>
      <c r="F628" s="236"/>
      <c r="G628" s="237"/>
      <c r="H628" s="238"/>
      <c r="I628" s="234"/>
      <c r="J628" s="239"/>
      <c r="K628" s="240"/>
      <c r="L628" s="241"/>
    </row>
    <row r="629" spans="2:12" ht="12.5" x14ac:dyDescent="0.25">
      <c r="B629" s="232"/>
      <c r="C629" s="233"/>
      <c r="D629" s="234"/>
      <c r="E629" s="235"/>
      <c r="F629" s="236"/>
      <c r="G629" s="237"/>
      <c r="H629" s="238"/>
      <c r="I629" s="234"/>
      <c r="J629" s="239"/>
      <c r="K629" s="240"/>
      <c r="L629" s="241"/>
    </row>
    <row r="630" spans="2:12" ht="12.5" x14ac:dyDescent="0.25">
      <c r="B630" s="232"/>
      <c r="C630" s="233"/>
      <c r="D630" s="234"/>
      <c r="E630" s="235"/>
      <c r="F630" s="236"/>
      <c r="G630" s="237"/>
      <c r="H630" s="238"/>
      <c r="I630" s="234"/>
      <c r="J630" s="239"/>
      <c r="K630" s="240"/>
      <c r="L630" s="241"/>
    </row>
    <row r="631" spans="2:12" ht="12.5" x14ac:dyDescent="0.25">
      <c r="B631" s="232"/>
      <c r="C631" s="233"/>
      <c r="D631" s="234"/>
      <c r="E631" s="235"/>
      <c r="F631" s="236"/>
      <c r="G631" s="237"/>
      <c r="H631" s="238"/>
      <c r="I631" s="234"/>
      <c r="J631" s="239"/>
      <c r="K631" s="240"/>
      <c r="L631" s="241"/>
    </row>
    <row r="632" spans="2:12" ht="12.5" x14ac:dyDescent="0.25">
      <c r="B632" s="232"/>
      <c r="C632" s="233"/>
      <c r="D632" s="234"/>
      <c r="E632" s="235"/>
      <c r="F632" s="236"/>
      <c r="G632" s="237"/>
      <c r="H632" s="238"/>
      <c r="I632" s="234"/>
      <c r="J632" s="239"/>
      <c r="K632" s="240"/>
      <c r="L632" s="241"/>
    </row>
    <row r="633" spans="2:12" ht="12.5" x14ac:dyDescent="0.25">
      <c r="B633" s="232"/>
      <c r="C633" s="233"/>
      <c r="D633" s="234"/>
      <c r="E633" s="235"/>
      <c r="F633" s="236"/>
      <c r="G633" s="237"/>
      <c r="H633" s="238"/>
      <c r="I633" s="234"/>
      <c r="J633" s="239"/>
      <c r="K633" s="240"/>
      <c r="L633" s="241"/>
    </row>
    <row r="634" spans="2:12" ht="12.5" x14ac:dyDescent="0.25">
      <c r="B634" s="232"/>
      <c r="C634" s="233"/>
      <c r="D634" s="234"/>
      <c r="E634" s="235"/>
      <c r="F634" s="236"/>
      <c r="G634" s="237"/>
      <c r="H634" s="238"/>
      <c r="I634" s="234"/>
      <c r="J634" s="239"/>
      <c r="K634" s="240"/>
      <c r="L634" s="241"/>
    </row>
    <row r="635" spans="2:12" ht="12.5" x14ac:dyDescent="0.25">
      <c r="B635" s="232"/>
      <c r="C635" s="233"/>
      <c r="D635" s="234"/>
      <c r="E635" s="235"/>
      <c r="F635" s="236"/>
      <c r="G635" s="237"/>
      <c r="H635" s="238"/>
      <c r="I635" s="234"/>
      <c r="J635" s="239"/>
      <c r="K635" s="240"/>
      <c r="L635" s="241"/>
    </row>
    <row r="636" spans="2:12" ht="12.5" x14ac:dyDescent="0.25">
      <c r="B636" s="232"/>
      <c r="C636" s="233"/>
      <c r="D636" s="234"/>
      <c r="E636" s="235"/>
      <c r="F636" s="236"/>
      <c r="G636" s="237"/>
      <c r="H636" s="238"/>
      <c r="I636" s="234"/>
      <c r="J636" s="239"/>
      <c r="K636" s="240"/>
      <c r="L636" s="241"/>
    </row>
    <row r="637" spans="2:12" ht="12.5" x14ac:dyDescent="0.25">
      <c r="B637" s="232"/>
      <c r="C637" s="233"/>
      <c r="D637" s="234"/>
      <c r="E637" s="235"/>
      <c r="F637" s="236"/>
      <c r="G637" s="237"/>
      <c r="H637" s="238"/>
      <c r="I637" s="234"/>
      <c r="J637" s="239"/>
      <c r="K637" s="240"/>
      <c r="L637" s="241"/>
    </row>
    <row r="638" spans="2:12" ht="12.5" x14ac:dyDescent="0.25">
      <c r="B638" s="232"/>
      <c r="C638" s="233"/>
      <c r="D638" s="234"/>
      <c r="E638" s="235"/>
      <c r="F638" s="236"/>
      <c r="G638" s="237"/>
      <c r="H638" s="238"/>
      <c r="I638" s="234"/>
      <c r="J638" s="239"/>
      <c r="K638" s="240"/>
      <c r="L638" s="241"/>
    </row>
    <row r="639" spans="2:12" ht="12.5" x14ac:dyDescent="0.25">
      <c r="B639" s="232"/>
      <c r="C639" s="233"/>
      <c r="D639" s="234"/>
      <c r="E639" s="235"/>
      <c r="F639" s="236"/>
      <c r="G639" s="237"/>
      <c r="H639" s="238"/>
      <c r="I639" s="234"/>
      <c r="J639" s="239"/>
      <c r="K639" s="240"/>
      <c r="L639" s="241"/>
    </row>
    <row r="640" spans="2:12" ht="12.5" x14ac:dyDescent="0.25">
      <c r="B640" s="232"/>
      <c r="C640" s="233"/>
      <c r="D640" s="234"/>
      <c r="E640" s="235"/>
      <c r="F640" s="236"/>
      <c r="G640" s="237"/>
      <c r="H640" s="238"/>
      <c r="I640" s="234"/>
      <c r="J640" s="239"/>
      <c r="K640" s="240"/>
      <c r="L640" s="241"/>
    </row>
    <row r="641" spans="2:12" ht="12.5" x14ac:dyDescent="0.25">
      <c r="B641" s="232"/>
      <c r="C641" s="233"/>
      <c r="D641" s="234"/>
      <c r="E641" s="235"/>
      <c r="F641" s="236"/>
      <c r="G641" s="237"/>
      <c r="H641" s="238"/>
      <c r="I641" s="234"/>
      <c r="J641" s="239"/>
      <c r="K641" s="240"/>
      <c r="L641" s="241"/>
    </row>
    <row r="642" spans="2:12" ht="12.5" x14ac:dyDescent="0.25">
      <c r="B642" s="232"/>
      <c r="C642" s="233"/>
      <c r="D642" s="234"/>
      <c r="E642" s="235"/>
      <c r="F642" s="236"/>
      <c r="G642" s="237"/>
      <c r="H642" s="238"/>
      <c r="I642" s="234"/>
      <c r="J642" s="239"/>
      <c r="K642" s="240"/>
      <c r="L642" s="241"/>
    </row>
    <row r="643" spans="2:12" ht="12.5" x14ac:dyDescent="0.25">
      <c r="B643" s="232"/>
      <c r="C643" s="233"/>
      <c r="D643" s="234"/>
      <c r="E643" s="235"/>
      <c r="F643" s="236"/>
      <c r="G643" s="237"/>
      <c r="H643" s="238"/>
      <c r="I643" s="234"/>
      <c r="J643" s="239"/>
      <c r="K643" s="240"/>
      <c r="L643" s="241"/>
    </row>
    <row r="644" spans="2:12" ht="12.5" x14ac:dyDescent="0.25">
      <c r="B644" s="232"/>
      <c r="C644" s="233"/>
      <c r="D644" s="234"/>
      <c r="E644" s="235"/>
      <c r="F644" s="236"/>
      <c r="G644" s="237"/>
      <c r="H644" s="238"/>
      <c r="I644" s="234"/>
      <c r="J644" s="239"/>
      <c r="K644" s="240"/>
      <c r="L644" s="241"/>
    </row>
    <row r="645" spans="2:12" ht="12.5" x14ac:dyDescent="0.25">
      <c r="B645" s="232"/>
      <c r="C645" s="233"/>
      <c r="D645" s="234"/>
      <c r="E645" s="235"/>
      <c r="F645" s="236"/>
      <c r="G645" s="237"/>
      <c r="H645" s="238"/>
      <c r="I645" s="234"/>
      <c r="J645" s="239"/>
      <c r="K645" s="240"/>
      <c r="L645" s="241"/>
    </row>
    <row r="646" spans="2:12" ht="12.5" x14ac:dyDescent="0.25">
      <c r="B646" s="232"/>
      <c r="C646" s="233"/>
      <c r="D646" s="234"/>
      <c r="E646" s="235"/>
      <c r="F646" s="236"/>
      <c r="G646" s="237"/>
      <c r="H646" s="238"/>
      <c r="I646" s="234"/>
      <c r="J646" s="239"/>
      <c r="K646" s="240"/>
      <c r="L646" s="241"/>
    </row>
    <row r="647" spans="2:12" ht="12.5" x14ac:dyDescent="0.25">
      <c r="B647" s="232"/>
      <c r="C647" s="233"/>
      <c r="D647" s="234"/>
      <c r="E647" s="235"/>
      <c r="F647" s="236"/>
      <c r="G647" s="237"/>
      <c r="H647" s="238"/>
      <c r="I647" s="234"/>
      <c r="J647" s="239"/>
      <c r="K647" s="240"/>
      <c r="L647" s="241"/>
    </row>
    <row r="648" spans="2:12" ht="12.5" x14ac:dyDescent="0.25">
      <c r="B648" s="232"/>
      <c r="C648" s="233"/>
      <c r="D648" s="234"/>
      <c r="E648" s="235"/>
      <c r="F648" s="236"/>
      <c r="G648" s="237"/>
      <c r="H648" s="238"/>
      <c r="I648" s="234"/>
      <c r="J648" s="239"/>
      <c r="K648" s="240"/>
      <c r="L648" s="241"/>
    </row>
    <row r="649" spans="2:12" ht="12.5" x14ac:dyDescent="0.25">
      <c r="B649" s="232"/>
      <c r="C649" s="233"/>
      <c r="D649" s="234"/>
      <c r="E649" s="235"/>
      <c r="F649" s="236"/>
      <c r="G649" s="237"/>
      <c r="H649" s="238"/>
      <c r="I649" s="234"/>
      <c r="J649" s="239"/>
      <c r="K649" s="240"/>
      <c r="L649" s="241"/>
    </row>
    <row r="650" spans="2:12" ht="12.5" x14ac:dyDescent="0.25">
      <c r="B650" s="232"/>
      <c r="C650" s="233"/>
      <c r="D650" s="234"/>
      <c r="E650" s="235"/>
      <c r="F650" s="236"/>
      <c r="G650" s="237"/>
      <c r="H650" s="238"/>
      <c r="I650" s="234"/>
      <c r="J650" s="239"/>
      <c r="K650" s="240"/>
      <c r="L650" s="241"/>
    </row>
    <row r="651" spans="2:12" ht="12.5" x14ac:dyDescent="0.25">
      <c r="B651" s="232"/>
      <c r="C651" s="233"/>
      <c r="D651" s="234"/>
      <c r="E651" s="235"/>
      <c r="F651" s="236"/>
      <c r="G651" s="237"/>
      <c r="H651" s="238"/>
      <c r="I651" s="234"/>
      <c r="J651" s="239"/>
      <c r="K651" s="240"/>
      <c r="L651" s="241"/>
    </row>
    <row r="652" spans="2:12" ht="12.5" x14ac:dyDescent="0.25">
      <c r="B652" s="232"/>
      <c r="C652" s="233"/>
      <c r="D652" s="234"/>
      <c r="E652" s="235"/>
      <c r="F652" s="236"/>
      <c r="G652" s="237"/>
      <c r="H652" s="238"/>
      <c r="I652" s="234"/>
      <c r="J652" s="239"/>
      <c r="K652" s="240"/>
      <c r="L652" s="241"/>
    </row>
    <row r="653" spans="2:12" ht="12.5" x14ac:dyDescent="0.25">
      <c r="B653" s="232"/>
      <c r="C653" s="233"/>
      <c r="D653" s="234"/>
      <c r="E653" s="235"/>
      <c r="F653" s="236"/>
      <c r="G653" s="237"/>
      <c r="H653" s="238"/>
      <c r="I653" s="234"/>
      <c r="J653" s="239"/>
      <c r="K653" s="240"/>
      <c r="L653" s="241"/>
    </row>
    <row r="654" spans="2:12" ht="12.5" x14ac:dyDescent="0.25">
      <c r="B654" s="232"/>
      <c r="C654" s="233"/>
      <c r="D654" s="234"/>
      <c r="E654" s="235"/>
      <c r="F654" s="236"/>
      <c r="G654" s="237"/>
      <c r="H654" s="238"/>
      <c r="I654" s="234"/>
      <c r="J654" s="239"/>
      <c r="K654" s="240"/>
      <c r="L654" s="241"/>
    </row>
    <row r="655" spans="2:12" ht="12.5" x14ac:dyDescent="0.25">
      <c r="B655" s="232"/>
      <c r="C655" s="233"/>
      <c r="D655" s="234"/>
      <c r="E655" s="235"/>
      <c r="F655" s="236"/>
      <c r="G655" s="237"/>
      <c r="H655" s="238"/>
      <c r="I655" s="234"/>
      <c r="J655" s="239"/>
      <c r="K655" s="240"/>
      <c r="L655" s="241"/>
    </row>
    <row r="656" spans="2:12" ht="12.5" x14ac:dyDescent="0.25">
      <c r="B656" s="232"/>
      <c r="C656" s="233"/>
      <c r="D656" s="234"/>
      <c r="E656" s="235"/>
      <c r="F656" s="236"/>
      <c r="G656" s="237"/>
      <c r="H656" s="238"/>
      <c r="I656" s="234"/>
      <c r="J656" s="239"/>
      <c r="K656" s="240"/>
      <c r="L656" s="241"/>
    </row>
    <row r="657" spans="2:12" ht="12.5" x14ac:dyDescent="0.25">
      <c r="B657" s="232"/>
      <c r="C657" s="233"/>
      <c r="D657" s="234"/>
      <c r="E657" s="235"/>
      <c r="F657" s="236"/>
      <c r="G657" s="237"/>
      <c r="H657" s="238"/>
      <c r="I657" s="234"/>
      <c r="J657" s="239"/>
      <c r="K657" s="240"/>
      <c r="L657" s="241"/>
    </row>
    <row r="658" spans="2:12" ht="12.5" x14ac:dyDescent="0.25">
      <c r="B658" s="232"/>
      <c r="C658" s="233"/>
      <c r="D658" s="234"/>
      <c r="E658" s="235"/>
      <c r="F658" s="236"/>
      <c r="G658" s="237"/>
      <c r="H658" s="238"/>
      <c r="I658" s="234"/>
      <c r="J658" s="239"/>
      <c r="K658" s="240"/>
      <c r="L658" s="241"/>
    </row>
    <row r="659" spans="2:12" ht="12.5" x14ac:dyDescent="0.25">
      <c r="B659" s="232"/>
      <c r="C659" s="233"/>
      <c r="D659" s="234"/>
      <c r="E659" s="235"/>
      <c r="F659" s="236"/>
      <c r="G659" s="237"/>
      <c r="H659" s="238"/>
      <c r="I659" s="234"/>
      <c r="J659" s="239"/>
      <c r="K659" s="240"/>
      <c r="L659" s="241"/>
    </row>
    <row r="660" spans="2:12" ht="12.5" x14ac:dyDescent="0.25">
      <c r="B660" s="232"/>
      <c r="C660" s="233"/>
      <c r="D660" s="234"/>
      <c r="E660" s="235"/>
      <c r="F660" s="236"/>
      <c r="G660" s="237"/>
      <c r="H660" s="238"/>
      <c r="I660" s="234"/>
      <c r="J660" s="239"/>
      <c r="K660" s="240"/>
      <c r="L660" s="241"/>
    </row>
    <row r="661" spans="2:12" ht="12.5" x14ac:dyDescent="0.25">
      <c r="B661" s="232"/>
      <c r="C661" s="233"/>
      <c r="D661" s="234"/>
      <c r="E661" s="235"/>
      <c r="F661" s="236"/>
      <c r="G661" s="237"/>
      <c r="H661" s="238"/>
      <c r="I661" s="234"/>
      <c r="J661" s="239"/>
      <c r="K661" s="240"/>
      <c r="L661" s="241"/>
    </row>
    <row r="662" spans="2:12" ht="12.5" x14ac:dyDescent="0.25">
      <c r="B662" s="232"/>
      <c r="C662" s="233"/>
      <c r="D662" s="234"/>
      <c r="E662" s="235"/>
      <c r="F662" s="236"/>
      <c r="G662" s="237"/>
      <c r="H662" s="238"/>
      <c r="I662" s="234"/>
      <c r="J662" s="239"/>
      <c r="K662" s="240"/>
      <c r="L662" s="241"/>
    </row>
    <row r="663" spans="2:12" ht="12.5" x14ac:dyDescent="0.25">
      <c r="B663" s="232"/>
      <c r="C663" s="233"/>
      <c r="D663" s="234"/>
      <c r="E663" s="235"/>
      <c r="F663" s="236"/>
      <c r="G663" s="237"/>
      <c r="H663" s="238"/>
      <c r="I663" s="234"/>
      <c r="J663" s="239"/>
      <c r="K663" s="240"/>
      <c r="L663" s="241"/>
    </row>
    <row r="664" spans="2:12" ht="12.5" x14ac:dyDescent="0.25">
      <c r="B664" s="232"/>
      <c r="C664" s="233"/>
      <c r="D664" s="234"/>
      <c r="E664" s="235"/>
      <c r="F664" s="236"/>
      <c r="G664" s="237"/>
      <c r="H664" s="238"/>
      <c r="I664" s="234"/>
      <c r="J664" s="239"/>
      <c r="K664" s="240"/>
      <c r="L664" s="241"/>
    </row>
    <row r="665" spans="2:12" ht="12.5" x14ac:dyDescent="0.25">
      <c r="B665" s="232"/>
      <c r="C665" s="233"/>
      <c r="D665" s="234"/>
      <c r="E665" s="235"/>
      <c r="F665" s="236"/>
      <c r="G665" s="237"/>
      <c r="H665" s="238"/>
      <c r="I665" s="234"/>
      <c r="J665" s="239"/>
      <c r="K665" s="240"/>
      <c r="L665" s="241"/>
    </row>
    <row r="666" spans="2:12" ht="12.5" x14ac:dyDescent="0.25">
      <c r="B666" s="232"/>
      <c r="C666" s="233"/>
      <c r="D666" s="234"/>
      <c r="E666" s="235"/>
      <c r="F666" s="236"/>
      <c r="G666" s="237"/>
      <c r="H666" s="238"/>
      <c r="I666" s="234"/>
      <c r="J666" s="239"/>
      <c r="K666" s="240"/>
      <c r="L666" s="241"/>
    </row>
    <row r="667" spans="2:12" ht="12.5" x14ac:dyDescent="0.25">
      <c r="B667" s="232"/>
      <c r="C667" s="233"/>
      <c r="D667" s="234"/>
      <c r="E667" s="235"/>
      <c r="F667" s="236"/>
      <c r="G667" s="237"/>
      <c r="H667" s="238"/>
      <c r="I667" s="234"/>
      <c r="J667" s="239"/>
      <c r="K667" s="240"/>
      <c r="L667" s="241"/>
    </row>
    <row r="668" spans="2:12" ht="12.5" x14ac:dyDescent="0.25">
      <c r="B668" s="232"/>
      <c r="C668" s="233"/>
      <c r="D668" s="234"/>
      <c r="E668" s="235"/>
      <c r="F668" s="236"/>
      <c r="G668" s="237"/>
      <c r="H668" s="238"/>
      <c r="I668" s="234"/>
      <c r="J668" s="239"/>
      <c r="K668" s="240"/>
      <c r="L668" s="241"/>
    </row>
    <row r="669" spans="2:12" ht="12.5" x14ac:dyDescent="0.25">
      <c r="B669" s="232"/>
      <c r="C669" s="233"/>
      <c r="D669" s="234"/>
      <c r="E669" s="235"/>
      <c r="F669" s="236"/>
      <c r="G669" s="237"/>
      <c r="H669" s="238"/>
      <c r="I669" s="234"/>
      <c r="J669" s="239"/>
      <c r="K669" s="240"/>
      <c r="L669" s="241"/>
    </row>
    <row r="670" spans="2:12" ht="12.5" x14ac:dyDescent="0.25">
      <c r="B670" s="232"/>
      <c r="C670" s="233"/>
      <c r="D670" s="234"/>
      <c r="E670" s="235"/>
      <c r="F670" s="236"/>
      <c r="G670" s="237"/>
      <c r="H670" s="238"/>
      <c r="I670" s="234"/>
      <c r="J670" s="239"/>
      <c r="K670" s="240"/>
      <c r="L670" s="241"/>
    </row>
    <row r="671" spans="2:12" ht="12.5" x14ac:dyDescent="0.25">
      <c r="B671" s="232"/>
      <c r="C671" s="233"/>
      <c r="D671" s="234"/>
      <c r="E671" s="235"/>
      <c r="F671" s="236"/>
      <c r="G671" s="237"/>
      <c r="H671" s="238"/>
      <c r="I671" s="234"/>
      <c r="J671" s="239"/>
      <c r="K671" s="240"/>
      <c r="L671" s="241"/>
    </row>
    <row r="672" spans="2:12" ht="12.5" x14ac:dyDescent="0.25">
      <c r="B672" s="232"/>
      <c r="C672" s="233"/>
      <c r="D672" s="234"/>
      <c r="E672" s="235"/>
      <c r="F672" s="236"/>
      <c r="G672" s="237"/>
      <c r="H672" s="238"/>
      <c r="I672" s="234"/>
      <c r="J672" s="239"/>
      <c r="K672" s="240"/>
      <c r="L672" s="241"/>
    </row>
    <row r="673" spans="2:12" ht="12.5" x14ac:dyDescent="0.25">
      <c r="B673" s="232"/>
      <c r="C673" s="233"/>
      <c r="D673" s="234"/>
      <c r="E673" s="235"/>
      <c r="F673" s="236"/>
      <c r="G673" s="237"/>
      <c r="H673" s="238"/>
      <c r="I673" s="234"/>
      <c r="J673" s="239"/>
      <c r="K673" s="240"/>
      <c r="L673" s="241"/>
    </row>
    <row r="674" spans="2:12" ht="12.5" x14ac:dyDescent="0.25">
      <c r="B674" s="232"/>
      <c r="C674" s="233"/>
      <c r="D674" s="234"/>
      <c r="E674" s="235"/>
      <c r="F674" s="236"/>
      <c r="G674" s="237"/>
      <c r="H674" s="238"/>
      <c r="I674" s="234"/>
      <c r="J674" s="239"/>
      <c r="K674" s="240"/>
      <c r="L674" s="241"/>
    </row>
    <row r="675" spans="2:12" ht="12.5" x14ac:dyDescent="0.25">
      <c r="B675" s="232"/>
      <c r="C675" s="233"/>
      <c r="D675" s="234"/>
      <c r="E675" s="235"/>
      <c r="F675" s="236"/>
      <c r="G675" s="237"/>
      <c r="H675" s="238"/>
      <c r="I675" s="234"/>
      <c r="J675" s="239"/>
      <c r="K675" s="240"/>
      <c r="L675" s="241"/>
    </row>
    <row r="676" spans="2:12" ht="12.5" x14ac:dyDescent="0.25">
      <c r="B676" s="232"/>
      <c r="C676" s="233"/>
      <c r="D676" s="234"/>
      <c r="E676" s="235"/>
      <c r="F676" s="236"/>
      <c r="G676" s="237"/>
      <c r="H676" s="238"/>
      <c r="I676" s="234"/>
      <c r="J676" s="239"/>
      <c r="K676" s="240"/>
      <c r="L676" s="241"/>
    </row>
    <row r="677" spans="2:12" ht="12.5" x14ac:dyDescent="0.25">
      <c r="B677" s="232"/>
      <c r="C677" s="233"/>
      <c r="D677" s="234"/>
      <c r="E677" s="235"/>
      <c r="F677" s="236"/>
      <c r="G677" s="237"/>
      <c r="H677" s="238"/>
      <c r="I677" s="234"/>
      <c r="J677" s="239"/>
      <c r="K677" s="240"/>
      <c r="L677" s="241"/>
    </row>
    <row r="678" spans="2:12" ht="12.5" x14ac:dyDescent="0.25">
      <c r="B678" s="232"/>
      <c r="C678" s="233"/>
      <c r="D678" s="234"/>
      <c r="E678" s="235"/>
      <c r="F678" s="236"/>
      <c r="G678" s="237"/>
      <c r="H678" s="238"/>
      <c r="I678" s="234"/>
      <c r="J678" s="239"/>
      <c r="K678" s="240"/>
      <c r="L678" s="241"/>
    </row>
    <row r="679" spans="2:12" ht="12.5" x14ac:dyDescent="0.25">
      <c r="B679" s="232"/>
      <c r="C679" s="233"/>
      <c r="D679" s="234"/>
      <c r="E679" s="235"/>
      <c r="F679" s="236"/>
      <c r="G679" s="237"/>
      <c r="H679" s="238"/>
      <c r="I679" s="234"/>
      <c r="J679" s="239"/>
      <c r="K679" s="240"/>
      <c r="L679" s="241"/>
    </row>
    <row r="680" spans="2:12" ht="12.5" x14ac:dyDescent="0.25">
      <c r="B680" s="232"/>
      <c r="C680" s="233"/>
      <c r="D680" s="234"/>
      <c r="E680" s="235"/>
      <c r="F680" s="236"/>
      <c r="G680" s="237"/>
      <c r="H680" s="238"/>
      <c r="I680" s="234"/>
      <c r="J680" s="239"/>
      <c r="K680" s="240"/>
      <c r="L680" s="241"/>
    </row>
    <row r="681" spans="2:12" ht="12.5" x14ac:dyDescent="0.25">
      <c r="B681" s="232"/>
      <c r="C681" s="233"/>
      <c r="D681" s="234"/>
      <c r="E681" s="235"/>
      <c r="F681" s="236"/>
      <c r="G681" s="237"/>
      <c r="H681" s="238"/>
      <c r="I681" s="234"/>
      <c r="J681" s="239"/>
      <c r="K681" s="240"/>
      <c r="L681" s="241"/>
    </row>
    <row r="682" spans="2:12" ht="12.5" x14ac:dyDescent="0.25">
      <c r="B682" s="232"/>
      <c r="C682" s="233"/>
      <c r="D682" s="234"/>
      <c r="E682" s="235"/>
      <c r="F682" s="236"/>
      <c r="G682" s="237"/>
      <c r="H682" s="238"/>
      <c r="I682" s="234"/>
      <c r="J682" s="239"/>
      <c r="K682" s="240"/>
      <c r="L682" s="241"/>
    </row>
    <row r="683" spans="2:12" ht="12.5" x14ac:dyDescent="0.25">
      <c r="B683" s="232"/>
      <c r="C683" s="233"/>
      <c r="D683" s="234"/>
      <c r="E683" s="235"/>
      <c r="F683" s="236"/>
      <c r="G683" s="237"/>
      <c r="H683" s="238"/>
      <c r="I683" s="234"/>
      <c r="J683" s="239"/>
      <c r="K683" s="240"/>
      <c r="L683" s="241"/>
    </row>
    <row r="684" spans="2:12" ht="12.5" x14ac:dyDescent="0.25">
      <c r="B684" s="232"/>
      <c r="C684" s="233"/>
      <c r="D684" s="234"/>
      <c r="E684" s="235"/>
      <c r="F684" s="236"/>
      <c r="G684" s="237"/>
      <c r="H684" s="238"/>
      <c r="I684" s="234"/>
      <c r="J684" s="239"/>
      <c r="K684" s="240"/>
      <c r="L684" s="241"/>
    </row>
    <row r="685" spans="2:12" ht="12.5" x14ac:dyDescent="0.25">
      <c r="B685" s="232"/>
      <c r="C685" s="233"/>
      <c r="D685" s="234"/>
      <c r="E685" s="235"/>
      <c r="F685" s="236"/>
      <c r="G685" s="237"/>
      <c r="H685" s="238"/>
      <c r="I685" s="234"/>
      <c r="J685" s="239"/>
      <c r="K685" s="240"/>
      <c r="L685" s="241"/>
    </row>
    <row r="686" spans="2:12" ht="12.5" x14ac:dyDescent="0.25">
      <c r="B686" s="232"/>
      <c r="C686" s="233"/>
      <c r="D686" s="234"/>
      <c r="E686" s="235"/>
      <c r="F686" s="236"/>
      <c r="G686" s="237"/>
      <c r="H686" s="238"/>
      <c r="I686" s="234"/>
      <c r="J686" s="239"/>
      <c r="K686" s="240"/>
      <c r="L686" s="241"/>
    </row>
    <row r="687" spans="2:12" ht="12.5" x14ac:dyDescent="0.25">
      <c r="B687" s="232"/>
      <c r="C687" s="233"/>
      <c r="D687" s="234"/>
      <c r="E687" s="235"/>
      <c r="F687" s="236"/>
      <c r="G687" s="237"/>
      <c r="H687" s="238"/>
      <c r="I687" s="234"/>
      <c r="J687" s="239"/>
      <c r="K687" s="240"/>
      <c r="L687" s="241"/>
    </row>
    <row r="688" spans="2:12" ht="12.5" x14ac:dyDescent="0.25">
      <c r="B688" s="232"/>
      <c r="C688" s="233"/>
      <c r="D688" s="234"/>
      <c r="E688" s="235"/>
      <c r="F688" s="236"/>
      <c r="G688" s="237"/>
      <c r="H688" s="238"/>
      <c r="I688" s="234"/>
      <c r="J688" s="239"/>
      <c r="K688" s="240"/>
      <c r="L688" s="241"/>
    </row>
    <row r="689" spans="2:12" ht="12.5" x14ac:dyDescent="0.25">
      <c r="B689" s="232"/>
      <c r="C689" s="233"/>
      <c r="D689" s="234"/>
      <c r="E689" s="235"/>
      <c r="F689" s="236"/>
      <c r="G689" s="237"/>
      <c r="H689" s="238"/>
      <c r="I689" s="234"/>
      <c r="J689" s="239"/>
      <c r="K689" s="240"/>
      <c r="L689" s="241"/>
    </row>
    <row r="690" spans="2:12" ht="12.5" x14ac:dyDescent="0.25">
      <c r="B690" s="232"/>
      <c r="C690" s="233"/>
      <c r="D690" s="234"/>
      <c r="E690" s="235"/>
      <c r="F690" s="236"/>
      <c r="G690" s="237"/>
      <c r="H690" s="238"/>
      <c r="I690" s="234"/>
      <c r="J690" s="239"/>
      <c r="K690" s="240"/>
      <c r="L690" s="241"/>
    </row>
    <row r="691" spans="2:12" ht="12.5" x14ac:dyDescent="0.25">
      <c r="B691" s="232"/>
      <c r="C691" s="233"/>
      <c r="D691" s="234"/>
      <c r="E691" s="235"/>
      <c r="F691" s="236"/>
      <c r="G691" s="237"/>
      <c r="H691" s="238"/>
      <c r="I691" s="234"/>
      <c r="J691" s="239"/>
      <c r="K691" s="240"/>
      <c r="L691" s="241"/>
    </row>
    <row r="692" spans="2:12" ht="12.5" x14ac:dyDescent="0.25">
      <c r="B692" s="232"/>
      <c r="C692" s="233"/>
      <c r="D692" s="234"/>
      <c r="E692" s="235"/>
      <c r="F692" s="236"/>
      <c r="G692" s="237"/>
      <c r="H692" s="238"/>
      <c r="I692" s="234"/>
      <c r="J692" s="239"/>
      <c r="K692" s="240"/>
      <c r="L692" s="241"/>
    </row>
    <row r="693" spans="2:12" ht="12.5" x14ac:dyDescent="0.25">
      <c r="B693" s="232"/>
      <c r="C693" s="233"/>
      <c r="D693" s="234"/>
      <c r="E693" s="235"/>
      <c r="F693" s="236"/>
      <c r="G693" s="237"/>
      <c r="H693" s="238"/>
      <c r="I693" s="234"/>
      <c r="J693" s="239"/>
      <c r="K693" s="240"/>
      <c r="L693" s="241"/>
    </row>
    <row r="694" spans="2:12" ht="12.5" x14ac:dyDescent="0.25">
      <c r="B694" s="232"/>
      <c r="C694" s="233"/>
      <c r="D694" s="234"/>
      <c r="E694" s="235"/>
      <c r="F694" s="236"/>
      <c r="G694" s="237"/>
      <c r="H694" s="238"/>
      <c r="I694" s="234"/>
      <c r="J694" s="239"/>
      <c r="K694" s="240"/>
      <c r="L694" s="241"/>
    </row>
    <row r="695" spans="2:12" ht="12.5" x14ac:dyDescent="0.25">
      <c r="B695" s="232"/>
      <c r="C695" s="233"/>
      <c r="D695" s="234"/>
      <c r="E695" s="235"/>
      <c r="F695" s="236"/>
      <c r="G695" s="237"/>
      <c r="H695" s="238"/>
      <c r="I695" s="234"/>
      <c r="J695" s="239"/>
      <c r="K695" s="240"/>
      <c r="L695" s="241"/>
    </row>
    <row r="696" spans="2:12" ht="12.5" x14ac:dyDescent="0.25">
      <c r="B696" s="232"/>
      <c r="C696" s="233"/>
      <c r="D696" s="234"/>
      <c r="E696" s="235"/>
      <c r="F696" s="236"/>
      <c r="G696" s="237"/>
      <c r="H696" s="238"/>
      <c r="I696" s="234"/>
      <c r="J696" s="239"/>
      <c r="K696" s="240"/>
      <c r="L696" s="241"/>
    </row>
    <row r="697" spans="2:12" ht="12.5" x14ac:dyDescent="0.25">
      <c r="B697" s="232"/>
      <c r="C697" s="233"/>
      <c r="D697" s="234"/>
      <c r="E697" s="235"/>
      <c r="F697" s="236"/>
      <c r="G697" s="237"/>
      <c r="H697" s="238"/>
      <c r="I697" s="234"/>
      <c r="J697" s="239"/>
      <c r="K697" s="240"/>
      <c r="L697" s="241"/>
    </row>
    <row r="698" spans="2:12" ht="12.5" x14ac:dyDescent="0.25">
      <c r="B698" s="232"/>
      <c r="C698" s="233"/>
      <c r="D698" s="234"/>
      <c r="E698" s="235"/>
      <c r="F698" s="236"/>
      <c r="G698" s="237"/>
      <c r="H698" s="238"/>
      <c r="I698" s="234"/>
      <c r="J698" s="239"/>
      <c r="K698" s="240"/>
      <c r="L698" s="241"/>
    </row>
    <row r="699" spans="2:12" ht="12.5" x14ac:dyDescent="0.25">
      <c r="B699" s="232"/>
      <c r="C699" s="233"/>
      <c r="D699" s="234"/>
      <c r="E699" s="235"/>
      <c r="F699" s="236"/>
      <c r="G699" s="237"/>
      <c r="H699" s="238"/>
      <c r="I699" s="234"/>
      <c r="J699" s="239"/>
      <c r="K699" s="240"/>
      <c r="L699" s="241"/>
    </row>
    <row r="700" spans="2:12" ht="12.5" x14ac:dyDescent="0.25">
      <c r="B700" s="232"/>
      <c r="C700" s="233"/>
      <c r="D700" s="234"/>
      <c r="E700" s="235"/>
      <c r="F700" s="236"/>
      <c r="G700" s="237"/>
      <c r="H700" s="238"/>
      <c r="I700" s="234"/>
      <c r="J700" s="239"/>
      <c r="K700" s="240"/>
      <c r="L700" s="241"/>
    </row>
    <row r="701" spans="2:12" ht="12.5" x14ac:dyDescent="0.25">
      <c r="B701" s="232"/>
      <c r="C701" s="233"/>
      <c r="D701" s="234"/>
      <c r="E701" s="235"/>
      <c r="F701" s="236"/>
      <c r="G701" s="237"/>
      <c r="H701" s="238"/>
      <c r="I701" s="234"/>
      <c r="J701" s="239"/>
      <c r="K701" s="240"/>
      <c r="L701" s="241"/>
    </row>
    <row r="702" spans="2:12" ht="12.5" x14ac:dyDescent="0.25">
      <c r="B702" s="232"/>
      <c r="C702" s="233"/>
      <c r="D702" s="234"/>
      <c r="E702" s="235"/>
      <c r="F702" s="236"/>
      <c r="G702" s="237"/>
      <c r="H702" s="238"/>
      <c r="I702" s="234"/>
      <c r="J702" s="239"/>
      <c r="K702" s="240"/>
      <c r="L702" s="241"/>
    </row>
    <row r="703" spans="2:12" ht="12.5" x14ac:dyDescent="0.25">
      <c r="B703" s="232"/>
      <c r="C703" s="233"/>
      <c r="D703" s="234"/>
      <c r="E703" s="235"/>
      <c r="F703" s="236"/>
      <c r="G703" s="237"/>
      <c r="H703" s="238"/>
      <c r="I703" s="234"/>
      <c r="J703" s="239"/>
      <c r="K703" s="240"/>
      <c r="L703" s="241"/>
    </row>
    <row r="704" spans="2:12" ht="12.5" x14ac:dyDescent="0.25">
      <c r="B704" s="232"/>
      <c r="C704" s="233"/>
      <c r="D704" s="234"/>
      <c r="E704" s="235"/>
      <c r="F704" s="236"/>
      <c r="G704" s="237"/>
      <c r="H704" s="238"/>
      <c r="I704" s="234"/>
      <c r="J704" s="239"/>
      <c r="K704" s="240"/>
      <c r="L704" s="241"/>
    </row>
    <row r="705" spans="2:12" ht="12.5" x14ac:dyDescent="0.25">
      <c r="B705" s="232"/>
      <c r="C705" s="233"/>
      <c r="D705" s="234"/>
      <c r="E705" s="235"/>
      <c r="F705" s="236"/>
      <c r="G705" s="237"/>
      <c r="H705" s="238"/>
      <c r="I705" s="234"/>
      <c r="J705" s="239"/>
      <c r="K705" s="240"/>
      <c r="L705" s="241"/>
    </row>
    <row r="706" spans="2:12" ht="12.5" x14ac:dyDescent="0.25">
      <c r="B706" s="232"/>
      <c r="C706" s="233"/>
      <c r="D706" s="234"/>
      <c r="E706" s="235"/>
      <c r="F706" s="236"/>
      <c r="G706" s="237"/>
      <c r="H706" s="238"/>
      <c r="I706" s="234"/>
      <c r="J706" s="239"/>
      <c r="K706" s="240"/>
      <c r="L706" s="241"/>
    </row>
    <row r="707" spans="2:12" ht="12.5" x14ac:dyDescent="0.25">
      <c r="B707" s="232"/>
      <c r="C707" s="233"/>
      <c r="D707" s="234"/>
      <c r="E707" s="235"/>
      <c r="F707" s="236"/>
      <c r="G707" s="237"/>
      <c r="H707" s="238"/>
      <c r="I707" s="234"/>
      <c r="J707" s="239"/>
      <c r="K707" s="240"/>
      <c r="L707" s="241"/>
    </row>
    <row r="708" spans="2:12" ht="12.5" x14ac:dyDescent="0.25">
      <c r="B708" s="232"/>
      <c r="C708" s="233"/>
      <c r="D708" s="234"/>
      <c r="E708" s="235"/>
      <c r="F708" s="236"/>
      <c r="G708" s="237"/>
      <c r="H708" s="238"/>
      <c r="I708" s="234"/>
      <c r="J708" s="239"/>
      <c r="K708" s="240"/>
      <c r="L708" s="241"/>
    </row>
    <row r="709" spans="2:12" ht="12.5" x14ac:dyDescent="0.25">
      <c r="B709" s="232"/>
      <c r="C709" s="233"/>
      <c r="D709" s="234"/>
      <c r="E709" s="235"/>
      <c r="F709" s="236"/>
      <c r="G709" s="237"/>
      <c r="H709" s="238"/>
      <c r="I709" s="234"/>
      <c r="J709" s="239"/>
      <c r="K709" s="240"/>
      <c r="L709" s="241"/>
    </row>
    <row r="710" spans="2:12" ht="12.5" x14ac:dyDescent="0.25">
      <c r="B710" s="232"/>
      <c r="C710" s="233"/>
      <c r="D710" s="234"/>
      <c r="E710" s="235"/>
      <c r="F710" s="236"/>
      <c r="G710" s="237"/>
      <c r="H710" s="238"/>
      <c r="I710" s="234"/>
      <c r="J710" s="239"/>
      <c r="K710" s="240"/>
      <c r="L710" s="241"/>
    </row>
    <row r="711" spans="2:12" ht="12.5" x14ac:dyDescent="0.25">
      <c r="B711" s="232"/>
      <c r="C711" s="233"/>
      <c r="D711" s="234"/>
      <c r="E711" s="235"/>
      <c r="F711" s="236"/>
      <c r="G711" s="237"/>
      <c r="H711" s="238"/>
      <c r="I711" s="234"/>
      <c r="J711" s="239"/>
      <c r="K711" s="240"/>
      <c r="L711" s="241"/>
    </row>
    <row r="712" spans="2:12" ht="12.5" x14ac:dyDescent="0.25">
      <c r="B712" s="232"/>
      <c r="C712" s="233"/>
      <c r="D712" s="234"/>
      <c r="E712" s="235"/>
      <c r="F712" s="236"/>
      <c r="G712" s="237"/>
      <c r="H712" s="238"/>
      <c r="I712" s="234"/>
      <c r="J712" s="239"/>
      <c r="K712" s="240"/>
      <c r="L712" s="241"/>
    </row>
    <row r="713" spans="2:12" ht="12.5" x14ac:dyDescent="0.25">
      <c r="B713" s="232"/>
      <c r="C713" s="233"/>
      <c r="D713" s="234"/>
      <c r="E713" s="235"/>
      <c r="F713" s="236"/>
      <c r="G713" s="237"/>
      <c r="H713" s="238"/>
      <c r="I713" s="234"/>
      <c r="J713" s="239"/>
      <c r="K713" s="240"/>
      <c r="L713" s="241"/>
    </row>
    <row r="714" spans="2:12" ht="12.5" x14ac:dyDescent="0.25">
      <c r="B714" s="232"/>
      <c r="C714" s="233"/>
      <c r="D714" s="234"/>
      <c r="E714" s="235"/>
      <c r="F714" s="236"/>
      <c r="G714" s="237"/>
      <c r="H714" s="238"/>
      <c r="I714" s="234"/>
      <c r="J714" s="239"/>
      <c r="K714" s="240"/>
      <c r="L714" s="241"/>
    </row>
    <row r="715" spans="2:12" ht="12.5" x14ac:dyDescent="0.25">
      <c r="B715" s="232"/>
      <c r="C715" s="233"/>
      <c r="D715" s="234"/>
      <c r="E715" s="235"/>
      <c r="F715" s="236"/>
      <c r="G715" s="237"/>
      <c r="H715" s="238"/>
      <c r="I715" s="234"/>
      <c r="J715" s="239"/>
      <c r="K715" s="240"/>
      <c r="L715" s="241"/>
    </row>
    <row r="716" spans="2:12" ht="12.5" x14ac:dyDescent="0.25">
      <c r="B716" s="232"/>
      <c r="C716" s="233"/>
      <c r="D716" s="234"/>
      <c r="E716" s="235"/>
      <c r="F716" s="236"/>
      <c r="G716" s="237"/>
      <c r="H716" s="238"/>
      <c r="I716" s="234"/>
      <c r="J716" s="239"/>
      <c r="K716" s="240"/>
      <c r="L716" s="241"/>
    </row>
    <row r="717" spans="2:12" ht="12.5" x14ac:dyDescent="0.25">
      <c r="B717" s="232"/>
      <c r="C717" s="233"/>
      <c r="D717" s="234"/>
      <c r="E717" s="235"/>
      <c r="F717" s="236"/>
      <c r="G717" s="237"/>
      <c r="H717" s="238"/>
      <c r="I717" s="234"/>
      <c r="J717" s="239"/>
      <c r="K717" s="240"/>
      <c r="L717" s="241"/>
    </row>
    <row r="718" spans="2:12" ht="12.5" x14ac:dyDescent="0.25">
      <c r="B718" s="232"/>
      <c r="C718" s="233"/>
      <c r="D718" s="234"/>
      <c r="E718" s="235"/>
      <c r="F718" s="236"/>
      <c r="G718" s="237"/>
      <c r="H718" s="238"/>
      <c r="I718" s="234"/>
      <c r="J718" s="239"/>
      <c r="K718" s="240"/>
      <c r="L718" s="241"/>
    </row>
    <row r="719" spans="2:12" ht="12.5" x14ac:dyDescent="0.25">
      <c r="B719" s="232"/>
      <c r="C719" s="233"/>
      <c r="D719" s="234"/>
      <c r="E719" s="235"/>
      <c r="F719" s="236"/>
      <c r="G719" s="237"/>
      <c r="H719" s="238"/>
      <c r="I719" s="234"/>
      <c r="J719" s="239"/>
      <c r="K719" s="240"/>
      <c r="L719" s="241"/>
    </row>
    <row r="720" spans="2:12" ht="12.5" x14ac:dyDescent="0.25">
      <c r="B720" s="232"/>
      <c r="C720" s="233"/>
      <c r="D720" s="234"/>
      <c r="E720" s="235"/>
      <c r="F720" s="236"/>
      <c r="G720" s="237"/>
      <c r="H720" s="238"/>
      <c r="I720" s="234"/>
      <c r="J720" s="239"/>
      <c r="K720" s="240"/>
      <c r="L720" s="241"/>
    </row>
    <row r="721" spans="2:12" ht="12.5" x14ac:dyDescent="0.25">
      <c r="B721" s="232"/>
      <c r="C721" s="233"/>
      <c r="D721" s="234"/>
      <c r="E721" s="235"/>
      <c r="F721" s="236"/>
      <c r="G721" s="237"/>
      <c r="H721" s="238"/>
      <c r="I721" s="234"/>
      <c r="J721" s="239"/>
      <c r="K721" s="240"/>
      <c r="L721" s="241"/>
    </row>
    <row r="722" spans="2:12" ht="12.5" x14ac:dyDescent="0.25">
      <c r="B722" s="232"/>
      <c r="C722" s="233"/>
      <c r="D722" s="234"/>
      <c r="E722" s="235"/>
      <c r="F722" s="236"/>
      <c r="G722" s="237"/>
      <c r="H722" s="238"/>
      <c r="I722" s="234"/>
      <c r="J722" s="239"/>
      <c r="K722" s="240"/>
      <c r="L722" s="241"/>
    </row>
    <row r="723" spans="2:12" ht="12.5" x14ac:dyDescent="0.25">
      <c r="B723" s="232"/>
      <c r="C723" s="233"/>
      <c r="D723" s="234"/>
      <c r="E723" s="235"/>
      <c r="F723" s="236"/>
      <c r="G723" s="237"/>
      <c r="H723" s="238"/>
      <c r="I723" s="234"/>
      <c r="J723" s="239"/>
      <c r="K723" s="240"/>
      <c r="L723" s="241"/>
    </row>
    <row r="724" spans="2:12" ht="12.5" x14ac:dyDescent="0.25">
      <c r="B724" s="232"/>
      <c r="C724" s="233"/>
      <c r="D724" s="234"/>
      <c r="E724" s="235"/>
      <c r="F724" s="236"/>
      <c r="G724" s="237"/>
      <c r="H724" s="238"/>
      <c r="I724" s="234"/>
      <c r="J724" s="239"/>
      <c r="K724" s="240"/>
      <c r="L724" s="241"/>
    </row>
    <row r="725" spans="2:12" ht="12.5" x14ac:dyDescent="0.25">
      <c r="B725" s="232"/>
      <c r="C725" s="233"/>
      <c r="D725" s="234"/>
      <c r="E725" s="235"/>
      <c r="F725" s="236"/>
      <c r="G725" s="237"/>
      <c r="H725" s="238"/>
      <c r="I725" s="234"/>
      <c r="J725" s="239"/>
      <c r="K725" s="240"/>
      <c r="L725" s="241"/>
    </row>
    <row r="726" spans="2:12" ht="12.5" x14ac:dyDescent="0.25">
      <c r="B726" s="232"/>
      <c r="C726" s="233"/>
      <c r="D726" s="234"/>
      <c r="E726" s="235"/>
      <c r="F726" s="236"/>
      <c r="G726" s="237"/>
      <c r="H726" s="238"/>
      <c r="I726" s="234"/>
      <c r="J726" s="239"/>
      <c r="K726" s="240"/>
      <c r="L726" s="241"/>
    </row>
    <row r="727" spans="2:12" ht="12.5" x14ac:dyDescent="0.25">
      <c r="B727" s="232"/>
      <c r="C727" s="233"/>
      <c r="D727" s="234"/>
      <c r="E727" s="235"/>
      <c r="F727" s="236"/>
      <c r="G727" s="237"/>
      <c r="H727" s="238"/>
      <c r="I727" s="234"/>
      <c r="J727" s="239"/>
      <c r="K727" s="240"/>
      <c r="L727" s="241"/>
    </row>
    <row r="728" spans="2:12" ht="12.5" x14ac:dyDescent="0.25">
      <c r="B728" s="232"/>
      <c r="C728" s="233"/>
      <c r="D728" s="234"/>
      <c r="E728" s="235"/>
      <c r="F728" s="236"/>
      <c r="G728" s="237"/>
      <c r="H728" s="238"/>
      <c r="I728" s="234"/>
      <c r="J728" s="239"/>
      <c r="K728" s="240"/>
      <c r="L728" s="241"/>
    </row>
    <row r="729" spans="2:12" ht="12.5" x14ac:dyDescent="0.25">
      <c r="B729" s="232"/>
      <c r="C729" s="233"/>
      <c r="D729" s="234"/>
      <c r="E729" s="235"/>
      <c r="F729" s="236"/>
      <c r="G729" s="237"/>
      <c r="H729" s="238"/>
      <c r="I729" s="234"/>
      <c r="J729" s="239"/>
      <c r="K729" s="240"/>
      <c r="L729" s="241"/>
    </row>
    <row r="730" spans="2:12" ht="12.5" x14ac:dyDescent="0.25">
      <c r="B730" s="232"/>
      <c r="C730" s="233"/>
      <c r="D730" s="234"/>
      <c r="E730" s="235"/>
      <c r="F730" s="236"/>
      <c r="G730" s="237"/>
      <c r="H730" s="238"/>
      <c r="I730" s="234"/>
      <c r="J730" s="239"/>
      <c r="K730" s="240"/>
      <c r="L730" s="241"/>
    </row>
    <row r="731" spans="2:12" ht="12.5" x14ac:dyDescent="0.25">
      <c r="B731" s="232"/>
      <c r="C731" s="233"/>
      <c r="D731" s="234"/>
      <c r="E731" s="235"/>
      <c r="F731" s="236"/>
      <c r="G731" s="237"/>
      <c r="H731" s="238"/>
      <c r="I731" s="234"/>
      <c r="J731" s="239"/>
      <c r="K731" s="240"/>
      <c r="L731" s="241"/>
    </row>
    <row r="732" spans="2:12" ht="12.5" x14ac:dyDescent="0.25">
      <c r="B732" s="232"/>
      <c r="C732" s="233"/>
      <c r="D732" s="234"/>
      <c r="E732" s="235"/>
      <c r="F732" s="236"/>
      <c r="G732" s="237"/>
      <c r="H732" s="238"/>
      <c r="I732" s="234"/>
      <c r="J732" s="239"/>
      <c r="K732" s="240"/>
      <c r="L732" s="241"/>
    </row>
    <row r="733" spans="2:12" ht="12.5" x14ac:dyDescent="0.25">
      <c r="B733" s="232"/>
      <c r="C733" s="233"/>
      <c r="D733" s="234"/>
      <c r="E733" s="235"/>
      <c r="F733" s="236"/>
      <c r="G733" s="237"/>
      <c r="H733" s="238"/>
      <c r="I733" s="234"/>
      <c r="J733" s="239"/>
      <c r="K733" s="240"/>
      <c r="L733" s="241"/>
    </row>
    <row r="734" spans="2:12" ht="12.5" x14ac:dyDescent="0.25">
      <c r="B734" s="232"/>
      <c r="C734" s="233"/>
      <c r="D734" s="234"/>
      <c r="E734" s="235"/>
      <c r="F734" s="236"/>
      <c r="G734" s="237"/>
      <c r="H734" s="238"/>
      <c r="I734" s="234"/>
      <c r="J734" s="239"/>
      <c r="K734" s="240"/>
      <c r="L734" s="241"/>
    </row>
    <row r="735" spans="2:12" ht="12.5" x14ac:dyDescent="0.25">
      <c r="B735" s="232"/>
      <c r="C735" s="233"/>
      <c r="D735" s="234"/>
      <c r="E735" s="235"/>
      <c r="F735" s="236"/>
      <c r="G735" s="237"/>
      <c r="H735" s="238"/>
      <c r="I735" s="234"/>
      <c r="J735" s="239"/>
      <c r="K735" s="240"/>
      <c r="L735" s="241"/>
    </row>
    <row r="736" spans="2:12" ht="12.5" x14ac:dyDescent="0.25">
      <c r="B736" s="232"/>
      <c r="C736" s="233"/>
      <c r="D736" s="234"/>
      <c r="E736" s="235"/>
      <c r="F736" s="236"/>
      <c r="G736" s="237"/>
      <c r="H736" s="238"/>
      <c r="I736" s="234"/>
      <c r="J736" s="239"/>
      <c r="K736" s="240"/>
      <c r="L736" s="241"/>
    </row>
    <row r="737" spans="2:12" ht="12.5" x14ac:dyDescent="0.25">
      <c r="B737" s="232"/>
      <c r="C737" s="233"/>
      <c r="D737" s="234"/>
      <c r="E737" s="235"/>
      <c r="F737" s="236"/>
      <c r="G737" s="237"/>
      <c r="H737" s="238"/>
      <c r="I737" s="234"/>
      <c r="J737" s="239"/>
      <c r="K737" s="240"/>
      <c r="L737" s="241"/>
    </row>
    <row r="738" spans="2:12" ht="12.5" x14ac:dyDescent="0.25">
      <c r="B738" s="232"/>
      <c r="C738" s="233"/>
      <c r="D738" s="234"/>
      <c r="E738" s="235"/>
      <c r="F738" s="236"/>
      <c r="G738" s="237"/>
      <c r="H738" s="238"/>
      <c r="I738" s="234"/>
      <c r="J738" s="239"/>
      <c r="K738" s="240"/>
      <c r="L738" s="241"/>
    </row>
    <row r="739" spans="2:12" ht="12.5" x14ac:dyDescent="0.25">
      <c r="B739" s="232"/>
      <c r="C739" s="233"/>
      <c r="D739" s="234"/>
      <c r="E739" s="235"/>
      <c r="F739" s="236"/>
      <c r="G739" s="237"/>
      <c r="H739" s="238"/>
      <c r="I739" s="234"/>
      <c r="J739" s="239"/>
      <c r="K739" s="240"/>
      <c r="L739" s="241"/>
    </row>
    <row r="740" spans="2:12" ht="12.5" x14ac:dyDescent="0.25">
      <c r="B740" s="232"/>
      <c r="C740" s="233"/>
      <c r="D740" s="234"/>
      <c r="E740" s="235"/>
      <c r="F740" s="236"/>
      <c r="G740" s="237"/>
      <c r="H740" s="238"/>
      <c r="I740" s="234"/>
      <c r="J740" s="239"/>
      <c r="K740" s="240"/>
      <c r="L740" s="241"/>
    </row>
    <row r="741" spans="2:12" ht="12.5" x14ac:dyDescent="0.25">
      <c r="B741" s="232"/>
      <c r="C741" s="233"/>
      <c r="D741" s="234"/>
      <c r="E741" s="235"/>
      <c r="F741" s="236"/>
      <c r="G741" s="237"/>
      <c r="H741" s="238"/>
      <c r="I741" s="234"/>
      <c r="J741" s="239"/>
      <c r="K741" s="240"/>
      <c r="L741" s="241"/>
    </row>
    <row r="742" spans="2:12" ht="12.5" x14ac:dyDescent="0.25">
      <c r="B742" s="232"/>
      <c r="C742" s="233"/>
      <c r="D742" s="234"/>
      <c r="E742" s="235"/>
      <c r="F742" s="236"/>
      <c r="G742" s="237"/>
      <c r="H742" s="238"/>
      <c r="I742" s="234"/>
      <c r="J742" s="239"/>
      <c r="K742" s="240"/>
      <c r="L742" s="241"/>
    </row>
    <row r="743" spans="2:12" ht="12.5" x14ac:dyDescent="0.25">
      <c r="B743" s="232"/>
      <c r="C743" s="233"/>
      <c r="D743" s="234"/>
      <c r="E743" s="235"/>
      <c r="F743" s="236"/>
      <c r="G743" s="237"/>
      <c r="H743" s="238"/>
      <c r="I743" s="234"/>
      <c r="J743" s="239"/>
      <c r="K743" s="240"/>
      <c r="L743" s="241"/>
    </row>
    <row r="744" spans="2:12" ht="12.5" x14ac:dyDescent="0.25">
      <c r="B744" s="232"/>
      <c r="C744" s="233"/>
      <c r="D744" s="234"/>
      <c r="E744" s="235"/>
      <c r="F744" s="236"/>
      <c r="G744" s="237"/>
      <c r="H744" s="238"/>
      <c r="I744" s="234"/>
      <c r="J744" s="239"/>
      <c r="K744" s="240"/>
      <c r="L744" s="241"/>
    </row>
    <row r="745" spans="2:12" ht="12.5" x14ac:dyDescent="0.25">
      <c r="B745" s="232"/>
      <c r="C745" s="233"/>
      <c r="D745" s="234"/>
      <c r="E745" s="235"/>
      <c r="F745" s="236"/>
      <c r="G745" s="237"/>
      <c r="H745" s="238"/>
      <c r="I745" s="234"/>
      <c r="J745" s="239"/>
      <c r="K745" s="240"/>
      <c r="L745" s="241"/>
    </row>
    <row r="746" spans="2:12" ht="12.5" x14ac:dyDescent="0.25">
      <c r="B746" s="232"/>
      <c r="C746" s="233"/>
      <c r="D746" s="234"/>
      <c r="E746" s="235"/>
      <c r="F746" s="236"/>
      <c r="G746" s="237"/>
      <c r="H746" s="238"/>
      <c r="I746" s="234"/>
      <c r="J746" s="239"/>
      <c r="K746" s="240"/>
      <c r="L746" s="241"/>
    </row>
    <row r="747" spans="2:12" ht="12.5" x14ac:dyDescent="0.25">
      <c r="B747" s="232"/>
      <c r="C747" s="233"/>
      <c r="D747" s="234"/>
      <c r="E747" s="235"/>
      <c r="F747" s="236"/>
      <c r="G747" s="237"/>
      <c r="H747" s="238"/>
      <c r="I747" s="234"/>
      <c r="J747" s="239"/>
      <c r="K747" s="240"/>
      <c r="L747" s="241"/>
    </row>
    <row r="748" spans="2:12" ht="12.5" x14ac:dyDescent="0.25">
      <c r="B748" s="232"/>
      <c r="C748" s="233"/>
      <c r="D748" s="234"/>
      <c r="E748" s="235"/>
      <c r="F748" s="236"/>
      <c r="G748" s="237"/>
      <c r="H748" s="238"/>
      <c r="I748" s="234"/>
      <c r="J748" s="239"/>
      <c r="K748" s="240"/>
      <c r="L748" s="241"/>
    </row>
    <row r="749" spans="2:12" ht="12.5" x14ac:dyDescent="0.25">
      <c r="B749" s="232"/>
      <c r="C749" s="233"/>
      <c r="D749" s="234"/>
      <c r="E749" s="235"/>
      <c r="F749" s="236"/>
      <c r="G749" s="237"/>
      <c r="H749" s="238"/>
      <c r="I749" s="234"/>
      <c r="J749" s="239"/>
      <c r="K749" s="240"/>
      <c r="L749" s="241"/>
    </row>
    <row r="750" spans="2:12" ht="12.5" x14ac:dyDescent="0.25">
      <c r="B750" s="232"/>
      <c r="C750" s="233"/>
      <c r="D750" s="234"/>
      <c r="E750" s="235"/>
      <c r="F750" s="236"/>
      <c r="G750" s="237"/>
      <c r="H750" s="238"/>
      <c r="I750" s="234"/>
      <c r="J750" s="239"/>
      <c r="K750" s="240"/>
      <c r="L750" s="241"/>
    </row>
    <row r="751" spans="2:12" ht="12.5" x14ac:dyDescent="0.25">
      <c r="B751" s="232"/>
      <c r="C751" s="233"/>
      <c r="D751" s="234"/>
      <c r="E751" s="235"/>
      <c r="F751" s="236"/>
      <c r="G751" s="237"/>
      <c r="H751" s="238"/>
      <c r="I751" s="234"/>
      <c r="J751" s="239"/>
      <c r="K751" s="240"/>
      <c r="L751" s="241"/>
    </row>
    <row r="752" spans="2:12" ht="12.5" x14ac:dyDescent="0.25">
      <c r="B752" s="232"/>
      <c r="C752" s="233"/>
      <c r="D752" s="234"/>
      <c r="E752" s="235"/>
      <c r="F752" s="236"/>
      <c r="G752" s="237"/>
      <c r="H752" s="238"/>
      <c r="I752" s="234"/>
      <c r="J752" s="239"/>
      <c r="K752" s="240"/>
      <c r="L752" s="241"/>
    </row>
    <row r="753" spans="2:12" ht="12.5" x14ac:dyDescent="0.25">
      <c r="B753" s="232"/>
      <c r="C753" s="233"/>
      <c r="D753" s="234"/>
      <c r="E753" s="235"/>
      <c r="F753" s="236"/>
      <c r="G753" s="237"/>
      <c r="H753" s="238"/>
      <c r="I753" s="234"/>
      <c r="J753" s="239"/>
      <c r="K753" s="240"/>
      <c r="L753" s="241"/>
    </row>
    <row r="754" spans="2:12" ht="12.5" x14ac:dyDescent="0.25">
      <c r="B754" s="232"/>
      <c r="C754" s="233"/>
      <c r="D754" s="234"/>
      <c r="E754" s="235"/>
      <c r="F754" s="236"/>
      <c r="G754" s="237"/>
      <c r="H754" s="238"/>
      <c r="I754" s="234"/>
      <c r="J754" s="239"/>
      <c r="K754" s="240"/>
      <c r="L754" s="241"/>
    </row>
    <row r="755" spans="2:12" ht="12.5" x14ac:dyDescent="0.25">
      <c r="B755" s="232"/>
      <c r="C755" s="233"/>
      <c r="D755" s="234"/>
      <c r="E755" s="235"/>
      <c r="F755" s="236"/>
      <c r="G755" s="237"/>
      <c r="H755" s="238"/>
      <c r="I755" s="234"/>
      <c r="J755" s="239"/>
      <c r="K755" s="240"/>
      <c r="L755" s="241"/>
    </row>
    <row r="756" spans="2:12" ht="12.5" x14ac:dyDescent="0.25">
      <c r="B756" s="232"/>
      <c r="C756" s="233"/>
      <c r="D756" s="234"/>
      <c r="E756" s="235"/>
      <c r="F756" s="236"/>
      <c r="G756" s="237"/>
      <c r="H756" s="238"/>
      <c r="I756" s="234"/>
      <c r="J756" s="239"/>
      <c r="K756" s="240"/>
      <c r="L756" s="241"/>
    </row>
    <row r="757" spans="2:12" ht="12.5" x14ac:dyDescent="0.25">
      <c r="B757" s="232"/>
      <c r="C757" s="233"/>
      <c r="D757" s="234"/>
      <c r="E757" s="235"/>
      <c r="F757" s="236"/>
      <c r="G757" s="237"/>
      <c r="H757" s="238"/>
      <c r="I757" s="234"/>
      <c r="J757" s="239"/>
      <c r="K757" s="240"/>
      <c r="L757" s="241"/>
    </row>
    <row r="758" spans="2:12" ht="12.5" x14ac:dyDescent="0.25">
      <c r="B758" s="232"/>
      <c r="C758" s="233"/>
      <c r="D758" s="234"/>
      <c r="E758" s="235"/>
      <c r="F758" s="236"/>
      <c r="G758" s="237"/>
      <c r="H758" s="238"/>
      <c r="I758" s="234"/>
      <c r="J758" s="239"/>
      <c r="K758" s="240"/>
      <c r="L758" s="241"/>
    </row>
    <row r="759" spans="2:12" ht="12.5" x14ac:dyDescent="0.25">
      <c r="B759" s="232"/>
      <c r="C759" s="233"/>
      <c r="D759" s="234"/>
      <c r="E759" s="235"/>
      <c r="F759" s="236"/>
      <c r="G759" s="237"/>
      <c r="H759" s="238"/>
      <c r="I759" s="234"/>
      <c r="J759" s="239"/>
      <c r="K759" s="240"/>
      <c r="L759" s="241"/>
    </row>
    <row r="760" spans="2:12" ht="12.5" x14ac:dyDescent="0.25">
      <c r="B760" s="232"/>
      <c r="C760" s="233"/>
      <c r="D760" s="234"/>
      <c r="E760" s="235"/>
      <c r="F760" s="236"/>
      <c r="G760" s="237"/>
      <c r="H760" s="238"/>
      <c r="I760" s="234"/>
      <c r="J760" s="239"/>
      <c r="K760" s="240"/>
      <c r="L760" s="241"/>
    </row>
    <row r="761" spans="2:12" ht="12.5" x14ac:dyDescent="0.25">
      <c r="B761" s="232"/>
      <c r="C761" s="233"/>
      <c r="D761" s="234"/>
      <c r="E761" s="235"/>
      <c r="F761" s="236"/>
      <c r="G761" s="237"/>
      <c r="H761" s="238"/>
      <c r="I761" s="234"/>
      <c r="J761" s="239"/>
      <c r="K761" s="240"/>
      <c r="L761" s="241"/>
    </row>
    <row r="762" spans="2:12" ht="12.5" x14ac:dyDescent="0.25">
      <c r="B762" s="232"/>
      <c r="C762" s="233"/>
      <c r="D762" s="234"/>
      <c r="E762" s="235"/>
      <c r="F762" s="236"/>
      <c r="G762" s="237"/>
      <c r="H762" s="238"/>
      <c r="I762" s="234"/>
      <c r="J762" s="239"/>
      <c r="K762" s="240"/>
      <c r="L762" s="241"/>
    </row>
    <row r="763" spans="2:12" ht="12.5" x14ac:dyDescent="0.25">
      <c r="B763" s="232"/>
      <c r="C763" s="233"/>
      <c r="D763" s="234"/>
      <c r="E763" s="235"/>
      <c r="F763" s="236"/>
      <c r="G763" s="237"/>
      <c r="H763" s="238"/>
      <c r="I763" s="234"/>
      <c r="J763" s="239"/>
      <c r="K763" s="240"/>
      <c r="L763" s="241"/>
    </row>
    <row r="764" spans="2:12" ht="12.5" x14ac:dyDescent="0.25">
      <c r="B764" s="232"/>
      <c r="C764" s="233"/>
      <c r="D764" s="234"/>
      <c r="E764" s="235"/>
      <c r="F764" s="236"/>
      <c r="G764" s="237"/>
      <c r="H764" s="238"/>
      <c r="I764" s="234"/>
      <c r="J764" s="239"/>
      <c r="K764" s="240"/>
      <c r="L764" s="241"/>
    </row>
    <row r="765" spans="2:12" ht="12.5" x14ac:dyDescent="0.25">
      <c r="B765" s="232"/>
      <c r="C765" s="233"/>
      <c r="D765" s="234"/>
      <c r="E765" s="235"/>
      <c r="F765" s="236"/>
      <c r="G765" s="237"/>
      <c r="H765" s="238"/>
      <c r="I765" s="234"/>
      <c r="J765" s="239"/>
      <c r="K765" s="240"/>
      <c r="L765" s="241"/>
    </row>
    <row r="766" spans="2:12" ht="12.5" x14ac:dyDescent="0.25">
      <c r="B766" s="232"/>
      <c r="C766" s="233"/>
      <c r="D766" s="234"/>
      <c r="E766" s="235"/>
      <c r="F766" s="236"/>
      <c r="G766" s="237"/>
      <c r="H766" s="238"/>
      <c r="I766" s="234"/>
      <c r="J766" s="239"/>
      <c r="K766" s="240"/>
      <c r="L766" s="241"/>
    </row>
    <row r="767" spans="2:12" ht="12.5" x14ac:dyDescent="0.25">
      <c r="B767" s="232"/>
      <c r="C767" s="233"/>
      <c r="D767" s="234"/>
      <c r="E767" s="235"/>
      <c r="F767" s="236"/>
      <c r="G767" s="237"/>
      <c r="H767" s="238"/>
      <c r="I767" s="234"/>
      <c r="J767" s="239"/>
      <c r="K767" s="240"/>
      <c r="L767" s="241"/>
    </row>
    <row r="768" spans="2:12" ht="12.5" x14ac:dyDescent="0.25">
      <c r="B768" s="232"/>
      <c r="C768" s="233"/>
      <c r="D768" s="234"/>
      <c r="E768" s="235"/>
      <c r="F768" s="236"/>
      <c r="G768" s="237"/>
      <c r="H768" s="238"/>
      <c r="I768" s="234"/>
      <c r="J768" s="239"/>
      <c r="K768" s="240"/>
      <c r="L768" s="241"/>
    </row>
    <row r="769" spans="2:12" ht="12.5" x14ac:dyDescent="0.25">
      <c r="B769" s="232"/>
      <c r="C769" s="233"/>
      <c r="D769" s="234"/>
      <c r="E769" s="235"/>
      <c r="F769" s="236"/>
      <c r="G769" s="237"/>
      <c r="H769" s="238"/>
      <c r="I769" s="234"/>
      <c r="J769" s="239"/>
      <c r="K769" s="240"/>
      <c r="L769" s="241"/>
    </row>
    <row r="770" spans="2:12" ht="12.5" x14ac:dyDescent="0.25">
      <c r="B770" s="232"/>
      <c r="C770" s="233"/>
      <c r="D770" s="234"/>
      <c r="E770" s="235"/>
      <c r="F770" s="236"/>
      <c r="G770" s="237"/>
      <c r="H770" s="238"/>
      <c r="I770" s="234"/>
      <c r="J770" s="239"/>
      <c r="K770" s="240"/>
      <c r="L770" s="241"/>
    </row>
    <row r="771" spans="2:12" ht="12.5" x14ac:dyDescent="0.25">
      <c r="B771" s="232"/>
      <c r="C771" s="233"/>
      <c r="D771" s="234"/>
      <c r="E771" s="235"/>
      <c r="F771" s="236"/>
      <c r="G771" s="237"/>
      <c r="H771" s="238"/>
      <c r="I771" s="234"/>
      <c r="J771" s="239"/>
      <c r="K771" s="240"/>
      <c r="L771" s="241"/>
    </row>
    <row r="772" spans="2:12" ht="12.5" x14ac:dyDescent="0.25">
      <c r="B772" s="232"/>
      <c r="C772" s="233"/>
      <c r="D772" s="234"/>
      <c r="E772" s="235"/>
      <c r="F772" s="236"/>
      <c r="G772" s="237"/>
      <c r="H772" s="238"/>
      <c r="I772" s="234"/>
      <c r="J772" s="239"/>
      <c r="K772" s="240"/>
      <c r="L772" s="241"/>
    </row>
    <row r="773" spans="2:12" ht="12.5" x14ac:dyDescent="0.25">
      <c r="B773" s="232"/>
      <c r="C773" s="233"/>
      <c r="D773" s="234"/>
      <c r="E773" s="235"/>
      <c r="F773" s="236"/>
      <c r="G773" s="237"/>
      <c r="H773" s="238"/>
      <c r="I773" s="234"/>
      <c r="J773" s="239"/>
      <c r="K773" s="240"/>
      <c r="L773" s="241"/>
    </row>
    <row r="774" spans="2:12" ht="12.5" x14ac:dyDescent="0.25">
      <c r="B774" s="232"/>
      <c r="C774" s="233"/>
      <c r="D774" s="234"/>
      <c r="E774" s="235"/>
      <c r="F774" s="236"/>
      <c r="G774" s="237"/>
      <c r="H774" s="238"/>
      <c r="I774" s="234"/>
      <c r="J774" s="239"/>
      <c r="K774" s="240"/>
      <c r="L774" s="241"/>
    </row>
    <row r="775" spans="2:12" ht="12.5" x14ac:dyDescent="0.25">
      <c r="B775" s="232"/>
      <c r="C775" s="233"/>
      <c r="D775" s="234"/>
      <c r="E775" s="235"/>
      <c r="F775" s="236"/>
      <c r="G775" s="237"/>
      <c r="H775" s="238"/>
      <c r="I775" s="234"/>
      <c r="J775" s="239"/>
      <c r="K775" s="240"/>
      <c r="L775" s="241"/>
    </row>
    <row r="776" spans="2:12" ht="12.5" x14ac:dyDescent="0.25">
      <c r="B776" s="232"/>
      <c r="C776" s="233"/>
      <c r="D776" s="234"/>
      <c r="E776" s="235"/>
      <c r="F776" s="236"/>
      <c r="G776" s="237"/>
      <c r="H776" s="238"/>
      <c r="I776" s="234"/>
      <c r="J776" s="239"/>
      <c r="K776" s="240"/>
      <c r="L776" s="241"/>
    </row>
    <row r="777" spans="2:12" ht="12.5" x14ac:dyDescent="0.25">
      <c r="B777" s="232"/>
      <c r="C777" s="233"/>
      <c r="D777" s="234"/>
      <c r="E777" s="235"/>
      <c r="F777" s="236"/>
      <c r="G777" s="237"/>
      <c r="H777" s="238"/>
      <c r="I777" s="234"/>
      <c r="J777" s="239"/>
      <c r="K777" s="240"/>
      <c r="L777" s="241"/>
    </row>
    <row r="778" spans="2:12" ht="12.5" x14ac:dyDescent="0.25">
      <c r="B778" s="232"/>
      <c r="C778" s="233"/>
      <c r="D778" s="234"/>
      <c r="E778" s="235"/>
      <c r="F778" s="236"/>
      <c r="G778" s="237"/>
      <c r="H778" s="238"/>
      <c r="I778" s="234"/>
      <c r="J778" s="239"/>
      <c r="K778" s="240"/>
      <c r="L778" s="241"/>
    </row>
    <row r="779" spans="2:12" ht="12.5" x14ac:dyDescent="0.25">
      <c r="B779" s="232"/>
      <c r="C779" s="233"/>
      <c r="D779" s="234"/>
      <c r="E779" s="235"/>
      <c r="F779" s="236"/>
      <c r="G779" s="237"/>
      <c r="H779" s="238"/>
      <c r="I779" s="234"/>
      <c r="J779" s="239"/>
      <c r="K779" s="240"/>
      <c r="L779" s="241"/>
    </row>
    <row r="780" spans="2:12" ht="12.5" x14ac:dyDescent="0.25">
      <c r="B780" s="232"/>
      <c r="C780" s="233"/>
      <c r="D780" s="234"/>
      <c r="E780" s="235"/>
      <c r="F780" s="236"/>
      <c r="G780" s="237"/>
      <c r="H780" s="238"/>
      <c r="I780" s="234"/>
      <c r="J780" s="239"/>
      <c r="K780" s="240"/>
      <c r="L780" s="241"/>
    </row>
    <row r="781" spans="2:12" ht="12.5" x14ac:dyDescent="0.25">
      <c r="B781" s="232"/>
      <c r="C781" s="233"/>
      <c r="D781" s="234"/>
      <c r="E781" s="235"/>
      <c r="F781" s="236"/>
      <c r="G781" s="237"/>
      <c r="H781" s="238"/>
      <c r="I781" s="234"/>
      <c r="J781" s="239"/>
      <c r="K781" s="240"/>
      <c r="L781" s="241"/>
    </row>
    <row r="782" spans="2:12" ht="12.5" x14ac:dyDescent="0.25">
      <c r="B782" s="232"/>
      <c r="C782" s="233"/>
      <c r="D782" s="234"/>
      <c r="E782" s="235"/>
      <c r="F782" s="236"/>
      <c r="G782" s="237"/>
      <c r="H782" s="238"/>
      <c r="I782" s="234"/>
      <c r="J782" s="239"/>
      <c r="K782" s="240"/>
      <c r="L782" s="241"/>
    </row>
    <row r="783" spans="2:12" ht="12.5" x14ac:dyDescent="0.25">
      <c r="B783" s="232"/>
      <c r="C783" s="233"/>
      <c r="D783" s="234"/>
      <c r="E783" s="235"/>
      <c r="F783" s="236"/>
      <c r="G783" s="237"/>
      <c r="H783" s="238"/>
      <c r="I783" s="234"/>
      <c r="J783" s="239"/>
      <c r="K783" s="240"/>
      <c r="L783" s="241"/>
    </row>
    <row r="784" spans="2:12" ht="12.5" x14ac:dyDescent="0.25">
      <c r="B784" s="232"/>
      <c r="C784" s="233"/>
      <c r="D784" s="234"/>
      <c r="E784" s="235"/>
      <c r="F784" s="236"/>
      <c r="G784" s="237"/>
      <c r="H784" s="238"/>
      <c r="I784" s="234"/>
      <c r="J784" s="239"/>
      <c r="K784" s="240"/>
      <c r="L784" s="241"/>
    </row>
    <row r="785" spans="2:12" ht="12.5" x14ac:dyDescent="0.25">
      <c r="B785" s="232"/>
      <c r="C785" s="233"/>
      <c r="D785" s="234"/>
      <c r="E785" s="235"/>
      <c r="F785" s="236"/>
      <c r="G785" s="237"/>
      <c r="H785" s="238"/>
      <c r="I785" s="234"/>
      <c r="J785" s="239"/>
      <c r="K785" s="240"/>
      <c r="L785" s="241"/>
    </row>
    <row r="786" spans="2:12" ht="12.5" x14ac:dyDescent="0.25">
      <c r="B786" s="232"/>
      <c r="C786" s="233"/>
      <c r="D786" s="234"/>
      <c r="E786" s="235"/>
      <c r="F786" s="236"/>
      <c r="G786" s="237"/>
      <c r="H786" s="238"/>
      <c r="I786" s="234"/>
      <c r="J786" s="239"/>
      <c r="K786" s="240"/>
      <c r="L786" s="241"/>
    </row>
    <row r="787" spans="2:12" ht="12.5" x14ac:dyDescent="0.25">
      <c r="B787" s="232"/>
      <c r="C787" s="233"/>
      <c r="D787" s="234"/>
      <c r="E787" s="235"/>
      <c r="F787" s="236"/>
      <c r="G787" s="237"/>
      <c r="H787" s="238"/>
      <c r="I787" s="234"/>
      <c r="J787" s="239"/>
      <c r="K787" s="240"/>
      <c r="L787" s="241"/>
    </row>
    <row r="788" spans="2:12" ht="12.5" x14ac:dyDescent="0.25">
      <c r="B788" s="232"/>
      <c r="C788" s="233"/>
      <c r="D788" s="234"/>
      <c r="E788" s="235"/>
      <c r="F788" s="236"/>
      <c r="G788" s="237"/>
      <c r="H788" s="238"/>
      <c r="I788" s="234"/>
      <c r="J788" s="239"/>
      <c r="K788" s="240"/>
      <c r="L788" s="241"/>
    </row>
    <row r="789" spans="2:12" ht="12.5" x14ac:dyDescent="0.25">
      <c r="B789" s="232"/>
      <c r="C789" s="233"/>
      <c r="D789" s="234"/>
      <c r="E789" s="235"/>
      <c r="F789" s="236"/>
      <c r="G789" s="237"/>
      <c r="H789" s="238"/>
      <c r="I789" s="234"/>
      <c r="J789" s="239"/>
      <c r="K789" s="240"/>
      <c r="L789" s="241"/>
    </row>
    <row r="790" spans="2:12" ht="12.5" x14ac:dyDescent="0.25">
      <c r="B790" s="232"/>
      <c r="C790" s="233"/>
      <c r="D790" s="234"/>
      <c r="E790" s="235"/>
      <c r="F790" s="236"/>
      <c r="G790" s="237"/>
      <c r="H790" s="238"/>
      <c r="I790" s="234"/>
      <c r="J790" s="239"/>
      <c r="K790" s="240"/>
      <c r="L790" s="241"/>
    </row>
    <row r="791" spans="2:12" ht="12.5" x14ac:dyDescent="0.25">
      <c r="B791" s="232"/>
      <c r="C791" s="233"/>
      <c r="D791" s="234"/>
      <c r="E791" s="235"/>
      <c r="F791" s="236"/>
      <c r="G791" s="237"/>
      <c r="H791" s="238"/>
      <c r="I791" s="234"/>
      <c r="J791" s="239"/>
      <c r="K791" s="240"/>
      <c r="L791" s="241"/>
    </row>
    <row r="792" spans="2:12" ht="12.5" x14ac:dyDescent="0.25">
      <c r="B792" s="232"/>
      <c r="C792" s="233"/>
      <c r="D792" s="234"/>
      <c r="E792" s="235"/>
      <c r="F792" s="236"/>
      <c r="G792" s="237"/>
      <c r="H792" s="238"/>
      <c r="I792" s="234"/>
      <c r="J792" s="239"/>
      <c r="K792" s="240"/>
      <c r="L792" s="241"/>
    </row>
    <row r="793" spans="2:12" ht="12.5" x14ac:dyDescent="0.25">
      <c r="B793" s="232"/>
      <c r="C793" s="233"/>
      <c r="D793" s="234"/>
      <c r="E793" s="235"/>
      <c r="F793" s="236"/>
      <c r="G793" s="237"/>
      <c r="H793" s="238"/>
      <c r="I793" s="234"/>
      <c r="J793" s="239"/>
      <c r="K793" s="240"/>
      <c r="L793" s="241"/>
    </row>
    <row r="794" spans="2:12" ht="12.5" x14ac:dyDescent="0.25">
      <c r="B794" s="232"/>
      <c r="C794" s="233"/>
      <c r="D794" s="234"/>
      <c r="E794" s="235"/>
      <c r="F794" s="236"/>
      <c r="G794" s="237"/>
      <c r="H794" s="238"/>
      <c r="I794" s="234"/>
      <c r="J794" s="239"/>
      <c r="K794" s="240"/>
      <c r="L794" s="241"/>
    </row>
    <row r="795" spans="2:12" ht="12.5" x14ac:dyDescent="0.25">
      <c r="B795" s="232"/>
      <c r="C795" s="233"/>
      <c r="D795" s="234"/>
      <c r="E795" s="235"/>
      <c r="F795" s="236"/>
      <c r="G795" s="237"/>
      <c r="H795" s="238"/>
      <c r="I795" s="234"/>
      <c r="J795" s="239"/>
      <c r="K795" s="240"/>
      <c r="L795" s="241"/>
    </row>
    <row r="796" spans="2:12" ht="12.5" x14ac:dyDescent="0.25">
      <c r="B796" s="232"/>
      <c r="C796" s="233"/>
      <c r="D796" s="234"/>
      <c r="E796" s="235"/>
      <c r="F796" s="236"/>
      <c r="G796" s="237"/>
      <c r="H796" s="238"/>
      <c r="I796" s="234"/>
      <c r="J796" s="239"/>
      <c r="K796" s="240"/>
      <c r="L796" s="241"/>
    </row>
    <row r="797" spans="2:12" ht="12.5" x14ac:dyDescent="0.25">
      <c r="B797" s="232"/>
      <c r="C797" s="233"/>
      <c r="D797" s="234"/>
      <c r="E797" s="235"/>
      <c r="F797" s="236"/>
      <c r="G797" s="237"/>
      <c r="H797" s="238"/>
      <c r="I797" s="234"/>
      <c r="J797" s="239"/>
      <c r="K797" s="240"/>
      <c r="L797" s="241"/>
    </row>
    <row r="798" spans="2:12" ht="12.5" x14ac:dyDescent="0.25">
      <c r="B798" s="232"/>
      <c r="C798" s="233"/>
      <c r="D798" s="234"/>
      <c r="E798" s="235"/>
      <c r="F798" s="236"/>
      <c r="G798" s="237"/>
      <c r="H798" s="238"/>
      <c r="I798" s="234"/>
      <c r="J798" s="239"/>
      <c r="K798" s="240"/>
      <c r="L798" s="241"/>
    </row>
    <row r="799" spans="2:12" ht="12.5" x14ac:dyDescent="0.25">
      <c r="B799" s="232"/>
      <c r="C799" s="233"/>
      <c r="D799" s="234"/>
      <c r="E799" s="235"/>
      <c r="F799" s="236"/>
      <c r="G799" s="237"/>
      <c r="H799" s="238"/>
      <c r="I799" s="234"/>
      <c r="J799" s="239"/>
      <c r="K799" s="240"/>
      <c r="L799" s="241"/>
    </row>
    <row r="800" spans="2:12" ht="12.5" x14ac:dyDescent="0.25">
      <c r="B800" s="232"/>
      <c r="C800" s="233"/>
      <c r="D800" s="234"/>
      <c r="E800" s="235"/>
      <c r="F800" s="236"/>
      <c r="G800" s="237"/>
      <c r="H800" s="238"/>
      <c r="I800" s="234"/>
      <c r="J800" s="239"/>
      <c r="K800" s="240"/>
      <c r="L800" s="241"/>
    </row>
    <row r="801" spans="2:12" ht="12.5" x14ac:dyDescent="0.25">
      <c r="B801" s="232"/>
      <c r="C801" s="233"/>
      <c r="D801" s="234"/>
      <c r="E801" s="235"/>
      <c r="F801" s="236"/>
      <c r="G801" s="237"/>
      <c r="H801" s="238"/>
      <c r="I801" s="234"/>
      <c r="J801" s="239"/>
      <c r="K801" s="240"/>
      <c r="L801" s="241"/>
    </row>
    <row r="802" spans="2:12" ht="12.5" x14ac:dyDescent="0.25">
      <c r="B802" s="232"/>
      <c r="C802" s="233"/>
      <c r="D802" s="234"/>
      <c r="E802" s="235"/>
      <c r="F802" s="236"/>
      <c r="G802" s="237"/>
      <c r="H802" s="238"/>
      <c r="I802" s="234"/>
      <c r="J802" s="239"/>
      <c r="K802" s="240"/>
      <c r="L802" s="241"/>
    </row>
    <row r="803" spans="2:12" ht="12.5" x14ac:dyDescent="0.25">
      <c r="B803" s="232"/>
      <c r="C803" s="233"/>
      <c r="D803" s="234"/>
      <c r="E803" s="235"/>
      <c r="F803" s="236"/>
      <c r="G803" s="237"/>
      <c r="H803" s="238"/>
      <c r="I803" s="234"/>
      <c r="J803" s="239"/>
      <c r="K803" s="240"/>
      <c r="L803" s="241"/>
    </row>
    <row r="804" spans="2:12" ht="12.5" x14ac:dyDescent="0.25">
      <c r="B804" s="232"/>
      <c r="C804" s="233"/>
      <c r="D804" s="234"/>
      <c r="E804" s="235"/>
      <c r="F804" s="236"/>
      <c r="G804" s="237"/>
      <c r="H804" s="238"/>
      <c r="I804" s="234"/>
      <c r="J804" s="239"/>
      <c r="K804" s="240"/>
      <c r="L804" s="241"/>
    </row>
    <row r="805" spans="2:12" ht="12.5" x14ac:dyDescent="0.25">
      <c r="B805" s="232"/>
      <c r="C805" s="233"/>
      <c r="D805" s="234"/>
      <c r="E805" s="235"/>
      <c r="F805" s="236"/>
      <c r="G805" s="237"/>
      <c r="H805" s="238"/>
      <c r="I805" s="234"/>
      <c r="J805" s="239"/>
      <c r="K805" s="240"/>
      <c r="L805" s="241"/>
    </row>
    <row r="806" spans="2:12" ht="12.5" x14ac:dyDescent="0.25">
      <c r="B806" s="232"/>
      <c r="C806" s="233"/>
      <c r="D806" s="234"/>
      <c r="E806" s="235"/>
      <c r="F806" s="236"/>
      <c r="G806" s="237"/>
      <c r="H806" s="238"/>
      <c r="I806" s="234"/>
      <c r="J806" s="239"/>
      <c r="K806" s="240"/>
      <c r="L806" s="241"/>
    </row>
    <row r="807" spans="2:12" ht="12.5" x14ac:dyDescent="0.25">
      <c r="B807" s="232"/>
      <c r="C807" s="233"/>
      <c r="D807" s="234"/>
      <c r="E807" s="235"/>
      <c r="F807" s="236"/>
      <c r="G807" s="237"/>
      <c r="H807" s="238"/>
      <c r="I807" s="234"/>
      <c r="J807" s="239"/>
      <c r="K807" s="240"/>
      <c r="L807" s="241"/>
    </row>
    <row r="808" spans="2:12" ht="12.5" x14ac:dyDescent="0.25">
      <c r="B808" s="232"/>
      <c r="C808" s="233"/>
      <c r="D808" s="234"/>
      <c r="E808" s="235"/>
      <c r="F808" s="236"/>
      <c r="G808" s="237"/>
      <c r="H808" s="238"/>
      <c r="I808" s="234"/>
      <c r="J808" s="239"/>
      <c r="K808" s="240"/>
      <c r="L808" s="241"/>
    </row>
    <row r="809" spans="2:12" ht="12.5" x14ac:dyDescent="0.25">
      <c r="B809" s="232"/>
      <c r="C809" s="233"/>
      <c r="D809" s="234"/>
      <c r="E809" s="235"/>
      <c r="F809" s="236"/>
      <c r="G809" s="237"/>
      <c r="H809" s="238"/>
      <c r="I809" s="234"/>
      <c r="J809" s="239"/>
      <c r="K809" s="240"/>
      <c r="L809" s="241"/>
    </row>
    <row r="810" spans="2:12" ht="12.5" x14ac:dyDescent="0.25">
      <c r="B810" s="232"/>
      <c r="C810" s="233"/>
      <c r="D810" s="234"/>
      <c r="E810" s="235"/>
      <c r="F810" s="236"/>
      <c r="G810" s="237"/>
      <c r="H810" s="238"/>
      <c r="I810" s="234"/>
      <c r="J810" s="239"/>
      <c r="K810" s="240"/>
      <c r="L810" s="241"/>
    </row>
    <row r="811" spans="2:12" ht="12.5" x14ac:dyDescent="0.25">
      <c r="B811" s="232"/>
      <c r="C811" s="233"/>
      <c r="D811" s="234"/>
      <c r="E811" s="235"/>
      <c r="F811" s="236"/>
      <c r="G811" s="237"/>
      <c r="H811" s="238"/>
      <c r="I811" s="234"/>
      <c r="J811" s="239"/>
      <c r="K811" s="240"/>
      <c r="L811" s="241"/>
    </row>
    <row r="812" spans="2:12" ht="12.5" x14ac:dyDescent="0.25">
      <c r="B812" s="232"/>
      <c r="C812" s="233"/>
      <c r="D812" s="234"/>
      <c r="E812" s="235"/>
      <c r="F812" s="236"/>
      <c r="G812" s="237"/>
      <c r="H812" s="238"/>
      <c r="I812" s="234"/>
      <c r="J812" s="239"/>
      <c r="K812" s="240"/>
      <c r="L812" s="241"/>
    </row>
    <row r="813" spans="2:12" ht="12.5" x14ac:dyDescent="0.25">
      <c r="B813" s="232"/>
      <c r="C813" s="233"/>
      <c r="D813" s="234"/>
      <c r="E813" s="235"/>
      <c r="F813" s="236"/>
      <c r="G813" s="237"/>
      <c r="H813" s="238"/>
      <c r="I813" s="234"/>
      <c r="J813" s="239"/>
      <c r="K813" s="240"/>
      <c r="L813" s="241"/>
    </row>
    <row r="814" spans="2:12" ht="12.5" x14ac:dyDescent="0.25">
      <c r="B814" s="232"/>
      <c r="C814" s="233"/>
      <c r="D814" s="234"/>
      <c r="E814" s="235"/>
      <c r="F814" s="236"/>
      <c r="G814" s="237"/>
      <c r="H814" s="238"/>
      <c r="I814" s="234"/>
      <c r="J814" s="239"/>
      <c r="K814" s="240"/>
      <c r="L814" s="241"/>
    </row>
    <row r="815" spans="2:12" ht="12.5" x14ac:dyDescent="0.25">
      <c r="B815" s="232"/>
      <c r="C815" s="233"/>
      <c r="D815" s="234"/>
      <c r="E815" s="235"/>
      <c r="F815" s="236"/>
      <c r="G815" s="237"/>
      <c r="H815" s="238"/>
      <c r="I815" s="234"/>
      <c r="J815" s="239"/>
      <c r="K815" s="240"/>
      <c r="L815" s="241"/>
    </row>
    <row r="816" spans="2:12" ht="12.5" x14ac:dyDescent="0.25">
      <c r="B816" s="232"/>
      <c r="C816" s="233"/>
      <c r="D816" s="234"/>
      <c r="E816" s="235"/>
      <c r="F816" s="236"/>
      <c r="G816" s="237"/>
      <c r="H816" s="238"/>
      <c r="I816" s="234"/>
      <c r="J816" s="239"/>
      <c r="K816" s="240"/>
      <c r="L816" s="241"/>
    </row>
    <row r="817" spans="2:12" ht="12.5" x14ac:dyDescent="0.25">
      <c r="B817" s="232"/>
      <c r="C817" s="233"/>
      <c r="D817" s="234"/>
      <c r="E817" s="235"/>
      <c r="F817" s="236"/>
      <c r="G817" s="237"/>
      <c r="H817" s="238"/>
      <c r="I817" s="234"/>
      <c r="J817" s="239"/>
      <c r="K817" s="240"/>
      <c r="L817" s="241"/>
    </row>
    <row r="818" spans="2:12" ht="12.5" x14ac:dyDescent="0.25">
      <c r="B818" s="232"/>
      <c r="C818" s="233"/>
      <c r="D818" s="234"/>
      <c r="E818" s="235"/>
      <c r="F818" s="236"/>
      <c r="G818" s="237"/>
      <c r="H818" s="238"/>
      <c r="I818" s="234"/>
      <c r="J818" s="239"/>
      <c r="K818" s="240"/>
      <c r="L818" s="241"/>
    </row>
    <row r="819" spans="2:12" ht="12.5" x14ac:dyDescent="0.25">
      <c r="B819" s="232"/>
      <c r="C819" s="233"/>
      <c r="D819" s="234"/>
      <c r="E819" s="235"/>
      <c r="F819" s="236"/>
      <c r="G819" s="237"/>
      <c r="H819" s="238"/>
      <c r="I819" s="234"/>
      <c r="J819" s="239"/>
      <c r="K819" s="240"/>
      <c r="L819" s="241"/>
    </row>
    <row r="820" spans="2:12" ht="12.5" x14ac:dyDescent="0.25">
      <c r="B820" s="232"/>
      <c r="C820" s="233"/>
      <c r="D820" s="234"/>
      <c r="E820" s="235"/>
      <c r="F820" s="236"/>
      <c r="G820" s="237"/>
      <c r="H820" s="238"/>
      <c r="I820" s="234"/>
      <c r="J820" s="239"/>
      <c r="K820" s="240"/>
      <c r="L820" s="241"/>
    </row>
    <row r="821" spans="2:12" ht="12.5" x14ac:dyDescent="0.25">
      <c r="B821" s="232"/>
      <c r="C821" s="233"/>
      <c r="D821" s="234"/>
      <c r="E821" s="235"/>
      <c r="F821" s="236"/>
      <c r="G821" s="237"/>
      <c r="H821" s="238"/>
      <c r="I821" s="234"/>
      <c r="J821" s="239"/>
      <c r="K821" s="240"/>
      <c r="L821" s="241"/>
    </row>
    <row r="822" spans="2:12" ht="12.5" x14ac:dyDescent="0.25">
      <c r="B822" s="232"/>
      <c r="C822" s="233"/>
      <c r="D822" s="234"/>
      <c r="E822" s="235"/>
      <c r="F822" s="236"/>
      <c r="G822" s="237"/>
      <c r="H822" s="238"/>
      <c r="I822" s="234"/>
      <c r="J822" s="239"/>
      <c r="K822" s="240"/>
      <c r="L822" s="241"/>
    </row>
    <row r="823" spans="2:12" ht="12.5" x14ac:dyDescent="0.25">
      <c r="B823" s="232"/>
      <c r="C823" s="233"/>
      <c r="D823" s="234"/>
      <c r="E823" s="235"/>
      <c r="F823" s="236"/>
      <c r="G823" s="237"/>
      <c r="H823" s="238"/>
      <c r="I823" s="234"/>
      <c r="J823" s="239"/>
      <c r="K823" s="240"/>
      <c r="L823" s="241"/>
    </row>
    <row r="824" spans="2:12" ht="12.5" x14ac:dyDescent="0.25">
      <c r="B824" s="232"/>
      <c r="C824" s="233"/>
      <c r="D824" s="234"/>
      <c r="E824" s="235"/>
      <c r="F824" s="236"/>
      <c r="G824" s="237"/>
      <c r="H824" s="238"/>
      <c r="I824" s="234"/>
      <c r="J824" s="239"/>
      <c r="K824" s="240"/>
      <c r="L824" s="241"/>
    </row>
    <row r="825" spans="2:12" ht="12.5" x14ac:dyDescent="0.25">
      <c r="B825" s="232"/>
      <c r="C825" s="233"/>
      <c r="D825" s="234"/>
      <c r="E825" s="235"/>
      <c r="F825" s="236"/>
      <c r="G825" s="237"/>
      <c r="H825" s="238"/>
      <c r="I825" s="234"/>
      <c r="J825" s="239"/>
      <c r="K825" s="240"/>
      <c r="L825" s="241"/>
    </row>
    <row r="826" spans="2:12" ht="12.5" x14ac:dyDescent="0.25">
      <c r="B826" s="232"/>
      <c r="C826" s="233"/>
      <c r="D826" s="234"/>
      <c r="E826" s="235"/>
      <c r="F826" s="236"/>
      <c r="G826" s="237"/>
      <c r="H826" s="238"/>
      <c r="I826" s="234"/>
      <c r="J826" s="239"/>
      <c r="K826" s="240"/>
      <c r="L826" s="241"/>
    </row>
    <row r="827" spans="2:12" ht="12.5" x14ac:dyDescent="0.25">
      <c r="B827" s="232"/>
      <c r="C827" s="233"/>
      <c r="D827" s="234"/>
      <c r="E827" s="235"/>
      <c r="F827" s="236"/>
      <c r="G827" s="237"/>
      <c r="H827" s="238"/>
      <c r="I827" s="234"/>
      <c r="J827" s="239"/>
      <c r="K827" s="240"/>
      <c r="L827" s="241"/>
    </row>
    <row r="828" spans="2:12" ht="12.5" x14ac:dyDescent="0.25">
      <c r="B828" s="232"/>
      <c r="C828" s="233"/>
      <c r="D828" s="234"/>
      <c r="E828" s="235"/>
      <c r="F828" s="236"/>
      <c r="G828" s="237"/>
      <c r="H828" s="238"/>
      <c r="I828" s="234"/>
      <c r="J828" s="239"/>
      <c r="K828" s="240"/>
      <c r="L828" s="241"/>
    </row>
    <row r="829" spans="2:12" ht="12.5" x14ac:dyDescent="0.25">
      <c r="B829" s="232"/>
      <c r="C829" s="233"/>
      <c r="D829" s="234"/>
      <c r="E829" s="235"/>
      <c r="F829" s="236"/>
      <c r="G829" s="237"/>
      <c r="H829" s="238"/>
      <c r="I829" s="234"/>
      <c r="J829" s="239"/>
      <c r="K829" s="240"/>
      <c r="L829" s="241"/>
    </row>
    <row r="830" spans="2:12" ht="12.5" x14ac:dyDescent="0.25">
      <c r="B830" s="232"/>
      <c r="C830" s="233"/>
      <c r="D830" s="234"/>
      <c r="E830" s="235"/>
      <c r="F830" s="236"/>
      <c r="G830" s="237"/>
      <c r="H830" s="238"/>
      <c r="I830" s="234"/>
      <c r="J830" s="239"/>
      <c r="K830" s="240"/>
      <c r="L830" s="241"/>
    </row>
    <row r="831" spans="2:12" ht="12.5" x14ac:dyDescent="0.25">
      <c r="B831" s="232"/>
      <c r="C831" s="233"/>
      <c r="D831" s="234"/>
      <c r="E831" s="235"/>
      <c r="F831" s="236"/>
      <c r="G831" s="237"/>
      <c r="H831" s="238"/>
      <c r="I831" s="234"/>
      <c r="J831" s="239"/>
      <c r="K831" s="240"/>
      <c r="L831" s="241"/>
    </row>
    <row r="832" spans="2:12" ht="12.5" x14ac:dyDescent="0.25">
      <c r="B832" s="232"/>
      <c r="C832" s="233"/>
      <c r="D832" s="234"/>
      <c r="E832" s="235"/>
      <c r="F832" s="236"/>
      <c r="G832" s="237"/>
      <c r="H832" s="238"/>
      <c r="I832" s="234"/>
      <c r="J832" s="239"/>
      <c r="K832" s="240"/>
      <c r="L832" s="241"/>
    </row>
    <row r="833" spans="2:12" ht="12.5" x14ac:dyDescent="0.25">
      <c r="B833" s="232"/>
      <c r="C833" s="233"/>
      <c r="D833" s="234"/>
      <c r="E833" s="235"/>
      <c r="F833" s="236"/>
      <c r="G833" s="237"/>
      <c r="H833" s="238"/>
      <c r="I833" s="234"/>
      <c r="J833" s="239"/>
      <c r="K833" s="240"/>
      <c r="L833" s="241"/>
    </row>
    <row r="834" spans="2:12" ht="12.5" x14ac:dyDescent="0.25">
      <c r="B834" s="232"/>
      <c r="C834" s="233"/>
      <c r="D834" s="234"/>
      <c r="E834" s="235"/>
      <c r="F834" s="236"/>
      <c r="G834" s="237"/>
      <c r="H834" s="238"/>
      <c r="I834" s="234"/>
      <c r="J834" s="239"/>
      <c r="K834" s="240"/>
      <c r="L834" s="241"/>
    </row>
    <row r="835" spans="2:12" ht="12.5" x14ac:dyDescent="0.25">
      <c r="B835" s="232"/>
      <c r="C835" s="233"/>
      <c r="D835" s="234"/>
      <c r="E835" s="235"/>
      <c r="F835" s="236"/>
      <c r="G835" s="237"/>
      <c r="H835" s="238"/>
      <c r="I835" s="234"/>
      <c r="J835" s="239"/>
      <c r="K835" s="240"/>
      <c r="L835" s="241"/>
    </row>
    <row r="836" spans="2:12" ht="12.5" x14ac:dyDescent="0.25">
      <c r="B836" s="232"/>
      <c r="C836" s="233"/>
      <c r="D836" s="234"/>
      <c r="E836" s="235"/>
      <c r="F836" s="236"/>
      <c r="G836" s="237"/>
      <c r="H836" s="238"/>
      <c r="I836" s="234"/>
      <c r="J836" s="239"/>
      <c r="K836" s="240"/>
      <c r="L836" s="241"/>
    </row>
    <row r="837" spans="2:12" ht="12.5" x14ac:dyDescent="0.25">
      <c r="B837" s="232"/>
      <c r="C837" s="233"/>
      <c r="D837" s="234"/>
      <c r="E837" s="235"/>
      <c r="F837" s="236"/>
      <c r="G837" s="237"/>
      <c r="H837" s="238"/>
      <c r="I837" s="234"/>
      <c r="J837" s="239"/>
      <c r="K837" s="240"/>
      <c r="L837" s="241"/>
    </row>
    <row r="838" spans="2:12" ht="12.5" x14ac:dyDescent="0.25">
      <c r="B838" s="232"/>
      <c r="C838" s="233"/>
      <c r="D838" s="234"/>
      <c r="E838" s="235"/>
      <c r="F838" s="236"/>
      <c r="G838" s="237"/>
      <c r="H838" s="238"/>
      <c r="I838" s="234"/>
      <c r="J838" s="239"/>
      <c r="K838" s="240"/>
      <c r="L838" s="241"/>
    </row>
    <row r="839" spans="2:12" ht="12.5" x14ac:dyDescent="0.25">
      <c r="B839" s="232"/>
      <c r="C839" s="233"/>
      <c r="D839" s="234"/>
      <c r="E839" s="235"/>
      <c r="F839" s="236"/>
      <c r="G839" s="237"/>
      <c r="H839" s="238"/>
      <c r="I839" s="234"/>
      <c r="J839" s="239"/>
      <c r="K839" s="240"/>
      <c r="L839" s="241"/>
    </row>
    <row r="840" spans="2:12" ht="12.5" x14ac:dyDescent="0.25">
      <c r="B840" s="232"/>
      <c r="C840" s="233"/>
      <c r="D840" s="234"/>
      <c r="E840" s="235"/>
      <c r="F840" s="236"/>
      <c r="G840" s="237"/>
      <c r="H840" s="238"/>
      <c r="I840" s="234"/>
      <c r="J840" s="239"/>
      <c r="K840" s="240"/>
      <c r="L840" s="241"/>
    </row>
    <row r="841" spans="2:12" ht="12.5" x14ac:dyDescent="0.25">
      <c r="B841" s="232"/>
      <c r="C841" s="233"/>
      <c r="D841" s="234"/>
      <c r="E841" s="235"/>
      <c r="F841" s="236"/>
      <c r="G841" s="237"/>
      <c r="H841" s="238"/>
      <c r="I841" s="234"/>
      <c r="J841" s="239"/>
      <c r="K841" s="240"/>
      <c r="L841" s="241"/>
    </row>
    <row r="842" spans="2:12" ht="12.5" x14ac:dyDescent="0.25">
      <c r="B842" s="232"/>
      <c r="C842" s="233"/>
      <c r="D842" s="234"/>
      <c r="E842" s="235"/>
      <c r="F842" s="236"/>
      <c r="G842" s="237"/>
      <c r="H842" s="238"/>
      <c r="I842" s="234"/>
      <c r="J842" s="239"/>
      <c r="K842" s="240"/>
      <c r="L842" s="241"/>
    </row>
    <row r="843" spans="2:12" ht="12.5" x14ac:dyDescent="0.25">
      <c r="B843" s="232"/>
      <c r="C843" s="233"/>
      <c r="D843" s="234"/>
      <c r="E843" s="235"/>
      <c r="F843" s="236"/>
      <c r="G843" s="237"/>
      <c r="H843" s="238"/>
      <c r="I843" s="234"/>
      <c r="J843" s="239"/>
      <c r="K843" s="240"/>
      <c r="L843" s="241"/>
    </row>
    <row r="844" spans="2:12" ht="12.5" x14ac:dyDescent="0.25">
      <c r="B844" s="232"/>
      <c r="C844" s="233"/>
      <c r="D844" s="234"/>
      <c r="E844" s="235"/>
      <c r="F844" s="236"/>
      <c r="G844" s="237"/>
      <c r="H844" s="238"/>
      <c r="I844" s="234"/>
      <c r="J844" s="239"/>
      <c r="K844" s="240"/>
      <c r="L844" s="241"/>
    </row>
    <row r="845" spans="2:12" ht="12.5" x14ac:dyDescent="0.25">
      <c r="B845" s="232"/>
      <c r="C845" s="233"/>
      <c r="D845" s="234"/>
      <c r="E845" s="235"/>
      <c r="F845" s="236"/>
      <c r="G845" s="237"/>
      <c r="H845" s="238"/>
      <c r="I845" s="234"/>
      <c r="J845" s="239"/>
      <c r="K845" s="240"/>
      <c r="L845" s="241"/>
    </row>
    <row r="846" spans="2:12" ht="12.5" x14ac:dyDescent="0.25">
      <c r="B846" s="232"/>
      <c r="C846" s="233"/>
      <c r="D846" s="234"/>
      <c r="E846" s="235"/>
      <c r="F846" s="236"/>
      <c r="G846" s="237"/>
      <c r="H846" s="238"/>
      <c r="I846" s="234"/>
      <c r="J846" s="239"/>
      <c r="K846" s="240"/>
      <c r="L846" s="241"/>
    </row>
    <row r="847" spans="2:12" ht="12.5" x14ac:dyDescent="0.25">
      <c r="B847" s="232"/>
      <c r="C847" s="233"/>
      <c r="D847" s="234"/>
      <c r="E847" s="235"/>
      <c r="F847" s="236"/>
      <c r="G847" s="237"/>
      <c r="H847" s="238"/>
      <c r="I847" s="234"/>
      <c r="J847" s="239"/>
      <c r="K847" s="240"/>
      <c r="L847" s="241"/>
    </row>
    <row r="848" spans="2:12" ht="12.5" x14ac:dyDescent="0.25">
      <c r="B848" s="232"/>
      <c r="C848" s="233"/>
      <c r="D848" s="234"/>
      <c r="E848" s="235"/>
      <c r="F848" s="236"/>
      <c r="G848" s="237"/>
      <c r="H848" s="238"/>
      <c r="I848" s="234"/>
      <c r="J848" s="239"/>
      <c r="K848" s="240"/>
      <c r="L848" s="241"/>
    </row>
    <row r="849" spans="2:12" ht="12.5" x14ac:dyDescent="0.25">
      <c r="B849" s="232"/>
      <c r="C849" s="233"/>
      <c r="D849" s="234"/>
      <c r="E849" s="235"/>
      <c r="F849" s="236"/>
      <c r="G849" s="237"/>
      <c r="H849" s="238"/>
      <c r="I849" s="234"/>
      <c r="J849" s="239"/>
      <c r="K849" s="240"/>
      <c r="L849" s="241"/>
    </row>
    <row r="850" spans="2:12" ht="12.5" x14ac:dyDescent="0.25">
      <c r="B850" s="232"/>
      <c r="C850" s="233"/>
      <c r="D850" s="234"/>
      <c r="E850" s="235"/>
      <c r="F850" s="236"/>
      <c r="G850" s="237"/>
      <c r="H850" s="238"/>
      <c r="I850" s="234"/>
      <c r="J850" s="239"/>
      <c r="K850" s="240"/>
      <c r="L850" s="241"/>
    </row>
    <row r="851" spans="2:12" ht="12.5" x14ac:dyDescent="0.25">
      <c r="B851" s="232"/>
      <c r="C851" s="233"/>
      <c r="D851" s="234"/>
      <c r="E851" s="235"/>
      <c r="F851" s="236"/>
      <c r="G851" s="237"/>
      <c r="H851" s="238"/>
      <c r="I851" s="234"/>
      <c r="J851" s="239"/>
      <c r="K851" s="240"/>
      <c r="L851" s="241"/>
    </row>
    <row r="852" spans="2:12" ht="12.5" x14ac:dyDescent="0.25">
      <c r="B852" s="232"/>
      <c r="C852" s="233"/>
      <c r="D852" s="234"/>
      <c r="E852" s="235"/>
      <c r="F852" s="236"/>
      <c r="G852" s="237"/>
      <c r="H852" s="238"/>
      <c r="I852" s="234"/>
      <c r="J852" s="239"/>
      <c r="K852" s="240"/>
      <c r="L852" s="241"/>
    </row>
    <row r="853" spans="2:12" ht="12.5" x14ac:dyDescent="0.25">
      <c r="B853" s="232"/>
      <c r="C853" s="233"/>
      <c r="D853" s="234"/>
      <c r="E853" s="235"/>
      <c r="F853" s="236"/>
      <c r="G853" s="237"/>
      <c r="H853" s="238"/>
      <c r="I853" s="234"/>
      <c r="J853" s="239"/>
      <c r="K853" s="240"/>
      <c r="L853" s="241"/>
    </row>
    <row r="854" spans="2:12" ht="12.5" x14ac:dyDescent="0.25">
      <c r="B854" s="232"/>
      <c r="C854" s="233"/>
      <c r="D854" s="234"/>
      <c r="E854" s="235"/>
      <c r="F854" s="236"/>
      <c r="G854" s="237"/>
      <c r="H854" s="238"/>
      <c r="I854" s="234"/>
      <c r="J854" s="239"/>
      <c r="K854" s="240"/>
      <c r="L854" s="241"/>
    </row>
    <row r="855" spans="2:12" ht="12.5" x14ac:dyDescent="0.25">
      <c r="B855" s="232"/>
      <c r="C855" s="233"/>
      <c r="D855" s="234"/>
      <c r="E855" s="235"/>
      <c r="F855" s="236"/>
      <c r="G855" s="237"/>
      <c r="H855" s="238"/>
      <c r="I855" s="234"/>
      <c r="J855" s="239"/>
      <c r="K855" s="240"/>
      <c r="L855" s="241"/>
    </row>
    <row r="856" spans="2:12" ht="12.5" x14ac:dyDescent="0.25">
      <c r="B856" s="232"/>
      <c r="C856" s="233"/>
      <c r="D856" s="234"/>
      <c r="E856" s="235"/>
      <c r="F856" s="236"/>
      <c r="G856" s="237"/>
      <c r="H856" s="238"/>
      <c r="I856" s="234"/>
      <c r="J856" s="239"/>
      <c r="K856" s="240"/>
      <c r="L856" s="241"/>
    </row>
    <row r="857" spans="2:12" ht="12.5" x14ac:dyDescent="0.25">
      <c r="B857" s="232"/>
      <c r="C857" s="233"/>
      <c r="D857" s="234"/>
      <c r="E857" s="235"/>
      <c r="F857" s="236"/>
      <c r="G857" s="237"/>
      <c r="H857" s="238"/>
      <c r="I857" s="234"/>
      <c r="J857" s="239"/>
      <c r="K857" s="240"/>
      <c r="L857" s="241"/>
    </row>
    <row r="858" spans="2:12" ht="12.5" x14ac:dyDescent="0.25">
      <c r="B858" s="232"/>
      <c r="C858" s="233"/>
      <c r="D858" s="234"/>
      <c r="E858" s="235"/>
      <c r="F858" s="236"/>
      <c r="G858" s="237"/>
      <c r="H858" s="238"/>
      <c r="I858" s="234"/>
      <c r="J858" s="239"/>
      <c r="K858" s="240"/>
      <c r="L858" s="241"/>
    </row>
    <row r="859" spans="2:12" ht="12.5" x14ac:dyDescent="0.25">
      <c r="B859" s="232"/>
      <c r="C859" s="233"/>
      <c r="D859" s="234"/>
      <c r="E859" s="235"/>
      <c r="F859" s="236"/>
      <c r="G859" s="237"/>
      <c r="H859" s="238"/>
      <c r="I859" s="234"/>
      <c r="J859" s="239"/>
      <c r="K859" s="240"/>
      <c r="L859" s="241"/>
    </row>
    <row r="860" spans="2:12" ht="12.5" x14ac:dyDescent="0.25">
      <c r="B860" s="232"/>
      <c r="C860" s="233"/>
      <c r="D860" s="234"/>
      <c r="E860" s="235"/>
      <c r="F860" s="236"/>
      <c r="G860" s="237"/>
      <c r="H860" s="238"/>
      <c r="I860" s="234"/>
      <c r="J860" s="239"/>
      <c r="K860" s="240"/>
      <c r="L860" s="241"/>
    </row>
    <row r="861" spans="2:12" ht="12.5" x14ac:dyDescent="0.25">
      <c r="B861" s="232"/>
      <c r="C861" s="233"/>
      <c r="D861" s="234"/>
      <c r="E861" s="235"/>
      <c r="F861" s="236"/>
      <c r="G861" s="237"/>
      <c r="H861" s="238"/>
      <c r="I861" s="234"/>
      <c r="J861" s="239"/>
      <c r="K861" s="240"/>
      <c r="L861" s="241"/>
    </row>
    <row r="862" spans="2:12" ht="12.5" x14ac:dyDescent="0.25">
      <c r="B862" s="232"/>
      <c r="C862" s="233"/>
      <c r="D862" s="234"/>
      <c r="E862" s="235"/>
      <c r="F862" s="236"/>
      <c r="G862" s="237"/>
      <c r="H862" s="238"/>
      <c r="I862" s="234"/>
      <c r="J862" s="239"/>
      <c r="K862" s="240"/>
      <c r="L862" s="241"/>
    </row>
    <row r="863" spans="2:12" ht="12.5" x14ac:dyDescent="0.25">
      <c r="B863" s="232"/>
      <c r="C863" s="233"/>
      <c r="D863" s="234"/>
      <c r="E863" s="235"/>
      <c r="F863" s="236"/>
      <c r="G863" s="237"/>
      <c r="H863" s="238"/>
      <c r="I863" s="234"/>
      <c r="J863" s="239"/>
      <c r="K863" s="240"/>
      <c r="L863" s="241"/>
    </row>
    <row r="864" spans="2:12" ht="12.5" x14ac:dyDescent="0.25">
      <c r="B864" s="232"/>
      <c r="C864" s="233"/>
      <c r="D864" s="234"/>
      <c r="E864" s="235"/>
      <c r="F864" s="236"/>
      <c r="G864" s="237"/>
      <c r="H864" s="238"/>
      <c r="I864" s="234"/>
      <c r="J864" s="239"/>
      <c r="K864" s="240"/>
      <c r="L864" s="241"/>
    </row>
    <row r="865" spans="2:12" ht="12.5" x14ac:dyDescent="0.25">
      <c r="B865" s="232"/>
      <c r="C865" s="233"/>
      <c r="D865" s="234"/>
      <c r="E865" s="235"/>
      <c r="F865" s="236"/>
      <c r="G865" s="237"/>
      <c r="H865" s="238"/>
      <c r="I865" s="234"/>
      <c r="J865" s="239"/>
      <c r="K865" s="240"/>
      <c r="L865" s="241"/>
    </row>
    <row r="866" spans="2:12" ht="12.5" x14ac:dyDescent="0.25">
      <c r="B866" s="232"/>
      <c r="C866" s="233"/>
      <c r="D866" s="234"/>
      <c r="E866" s="235"/>
      <c r="F866" s="236"/>
      <c r="G866" s="237"/>
      <c r="H866" s="238"/>
      <c r="I866" s="234"/>
      <c r="J866" s="239"/>
      <c r="K866" s="240"/>
      <c r="L866" s="241"/>
    </row>
    <row r="867" spans="2:12" ht="12.5" x14ac:dyDescent="0.25">
      <c r="B867" s="232"/>
      <c r="C867" s="233"/>
      <c r="D867" s="234"/>
      <c r="E867" s="235"/>
      <c r="F867" s="236"/>
      <c r="G867" s="237"/>
      <c r="H867" s="238"/>
      <c r="I867" s="234"/>
      <c r="J867" s="239"/>
      <c r="K867" s="240"/>
      <c r="L867" s="241"/>
    </row>
    <row r="868" spans="2:12" ht="12.5" x14ac:dyDescent="0.25">
      <c r="B868" s="232"/>
      <c r="C868" s="233"/>
      <c r="D868" s="234"/>
      <c r="E868" s="235"/>
      <c r="F868" s="236"/>
      <c r="G868" s="237"/>
      <c r="H868" s="238"/>
      <c r="I868" s="234"/>
      <c r="J868" s="239"/>
      <c r="K868" s="240"/>
      <c r="L868" s="241"/>
    </row>
    <row r="869" spans="2:12" ht="12.5" x14ac:dyDescent="0.25">
      <c r="B869" s="232"/>
      <c r="C869" s="233"/>
      <c r="D869" s="234"/>
      <c r="E869" s="235"/>
      <c r="F869" s="236"/>
      <c r="G869" s="237"/>
      <c r="H869" s="238"/>
      <c r="I869" s="234"/>
      <c r="J869" s="239"/>
      <c r="K869" s="240"/>
      <c r="L869" s="241"/>
    </row>
    <row r="870" spans="2:12" ht="12.5" x14ac:dyDescent="0.25">
      <c r="B870" s="232"/>
      <c r="C870" s="233"/>
      <c r="D870" s="234"/>
      <c r="E870" s="235"/>
      <c r="F870" s="236"/>
      <c r="G870" s="237"/>
      <c r="H870" s="238"/>
      <c r="I870" s="234"/>
      <c r="J870" s="239"/>
      <c r="K870" s="240"/>
      <c r="L870" s="241"/>
    </row>
    <row r="871" spans="2:12" ht="12.5" x14ac:dyDescent="0.25">
      <c r="B871" s="232"/>
      <c r="C871" s="233"/>
      <c r="D871" s="234"/>
      <c r="E871" s="235"/>
      <c r="F871" s="236"/>
      <c r="G871" s="237"/>
      <c r="H871" s="238"/>
      <c r="I871" s="234"/>
      <c r="J871" s="239"/>
      <c r="K871" s="240"/>
      <c r="L871" s="241"/>
    </row>
    <row r="872" spans="2:12" ht="12.5" x14ac:dyDescent="0.25">
      <c r="B872" s="232"/>
      <c r="C872" s="233"/>
      <c r="D872" s="234"/>
      <c r="E872" s="235"/>
      <c r="F872" s="236"/>
      <c r="G872" s="237"/>
      <c r="H872" s="238"/>
      <c r="I872" s="234"/>
      <c r="J872" s="239"/>
      <c r="K872" s="240"/>
      <c r="L872" s="241"/>
    </row>
    <row r="873" spans="2:12" ht="12.5" x14ac:dyDescent="0.25">
      <c r="B873" s="232"/>
      <c r="C873" s="233"/>
      <c r="D873" s="234"/>
      <c r="E873" s="235"/>
      <c r="F873" s="236"/>
      <c r="G873" s="237"/>
      <c r="H873" s="238"/>
      <c r="I873" s="234"/>
      <c r="J873" s="239"/>
      <c r="K873" s="240"/>
      <c r="L873" s="241"/>
    </row>
    <row r="874" spans="2:12" ht="12.5" x14ac:dyDescent="0.25">
      <c r="B874" s="232"/>
      <c r="C874" s="233"/>
      <c r="D874" s="234"/>
      <c r="E874" s="235"/>
      <c r="F874" s="236"/>
      <c r="G874" s="237"/>
      <c r="H874" s="238"/>
      <c r="I874" s="234"/>
      <c r="J874" s="239"/>
      <c r="K874" s="240"/>
      <c r="L874" s="241"/>
    </row>
    <row r="875" spans="2:12" ht="12.5" x14ac:dyDescent="0.25">
      <c r="B875" s="232"/>
      <c r="C875" s="233"/>
      <c r="D875" s="234"/>
      <c r="E875" s="235"/>
      <c r="F875" s="236"/>
      <c r="G875" s="237"/>
      <c r="H875" s="238"/>
      <c r="I875" s="234"/>
      <c r="J875" s="239"/>
      <c r="K875" s="240"/>
      <c r="L875" s="241"/>
    </row>
    <row r="876" spans="2:12" ht="12.5" x14ac:dyDescent="0.25">
      <c r="B876" s="232"/>
      <c r="C876" s="233"/>
      <c r="D876" s="234"/>
      <c r="E876" s="235"/>
      <c r="F876" s="236"/>
      <c r="G876" s="237"/>
      <c r="H876" s="238"/>
      <c r="I876" s="234"/>
      <c r="J876" s="239"/>
      <c r="K876" s="240"/>
      <c r="L876" s="241"/>
    </row>
    <row r="877" spans="2:12" ht="12.5" x14ac:dyDescent="0.25">
      <c r="B877" s="232"/>
      <c r="C877" s="233"/>
      <c r="D877" s="234"/>
      <c r="E877" s="235"/>
      <c r="F877" s="236"/>
      <c r="G877" s="237"/>
      <c r="H877" s="238"/>
      <c r="I877" s="234"/>
      <c r="J877" s="239"/>
      <c r="K877" s="240"/>
      <c r="L877" s="241"/>
    </row>
    <row r="878" spans="2:12" ht="12.5" x14ac:dyDescent="0.25">
      <c r="B878" s="232"/>
      <c r="C878" s="233"/>
      <c r="D878" s="234"/>
      <c r="E878" s="235"/>
      <c r="F878" s="236"/>
      <c r="G878" s="237"/>
      <c r="H878" s="238"/>
      <c r="I878" s="234"/>
      <c r="J878" s="239"/>
      <c r="K878" s="240"/>
      <c r="L878" s="241"/>
    </row>
    <row r="879" spans="2:12" ht="12.5" x14ac:dyDescent="0.25">
      <c r="B879" s="232"/>
      <c r="C879" s="233"/>
      <c r="D879" s="234"/>
      <c r="E879" s="235"/>
      <c r="F879" s="236"/>
      <c r="G879" s="237"/>
      <c r="H879" s="238"/>
      <c r="I879" s="234"/>
      <c r="J879" s="239"/>
      <c r="K879" s="240"/>
      <c r="L879" s="241"/>
    </row>
    <row r="880" spans="2:12" ht="12.5" x14ac:dyDescent="0.25">
      <c r="B880" s="232"/>
      <c r="C880" s="233"/>
      <c r="D880" s="234"/>
      <c r="E880" s="235"/>
      <c r="F880" s="236"/>
      <c r="G880" s="237"/>
      <c r="H880" s="238"/>
      <c r="I880" s="234"/>
      <c r="J880" s="239"/>
      <c r="K880" s="240"/>
      <c r="L880" s="241"/>
    </row>
    <row r="881" spans="2:12" ht="12.5" x14ac:dyDescent="0.25">
      <c r="B881" s="232"/>
      <c r="C881" s="233"/>
      <c r="D881" s="234"/>
      <c r="E881" s="235"/>
      <c r="F881" s="236"/>
      <c r="G881" s="237"/>
      <c r="H881" s="238"/>
      <c r="I881" s="234"/>
      <c r="J881" s="239"/>
      <c r="K881" s="240"/>
      <c r="L881" s="241"/>
    </row>
    <row r="882" spans="2:12" ht="12.5" x14ac:dyDescent="0.25">
      <c r="B882" s="232"/>
      <c r="C882" s="233"/>
      <c r="D882" s="234"/>
      <c r="E882" s="235"/>
      <c r="F882" s="236"/>
      <c r="G882" s="237"/>
      <c r="H882" s="238"/>
      <c r="I882" s="234"/>
      <c r="J882" s="239"/>
      <c r="K882" s="240"/>
      <c r="L882" s="241"/>
    </row>
    <row r="883" spans="2:12" ht="12.5" x14ac:dyDescent="0.25">
      <c r="B883" s="232"/>
      <c r="C883" s="233"/>
      <c r="D883" s="234"/>
      <c r="E883" s="235"/>
      <c r="F883" s="236"/>
      <c r="G883" s="237"/>
      <c r="H883" s="238"/>
      <c r="I883" s="234"/>
      <c r="J883" s="239"/>
      <c r="K883" s="240"/>
      <c r="L883" s="241"/>
    </row>
    <row r="884" spans="2:12" ht="12.5" x14ac:dyDescent="0.25">
      <c r="B884" s="232"/>
      <c r="C884" s="233"/>
      <c r="D884" s="234"/>
      <c r="E884" s="235"/>
      <c r="F884" s="236"/>
      <c r="G884" s="237"/>
      <c r="H884" s="238"/>
      <c r="I884" s="234"/>
      <c r="J884" s="239"/>
      <c r="K884" s="240"/>
      <c r="L884" s="241"/>
    </row>
    <row r="885" spans="2:12" ht="12.5" x14ac:dyDescent="0.25">
      <c r="B885" s="232"/>
      <c r="C885" s="233"/>
      <c r="D885" s="234"/>
      <c r="E885" s="235"/>
      <c r="F885" s="236"/>
      <c r="G885" s="237"/>
      <c r="H885" s="238"/>
      <c r="I885" s="234"/>
      <c r="J885" s="239"/>
      <c r="K885" s="240"/>
      <c r="L885" s="241"/>
    </row>
    <row r="886" spans="2:12" ht="12.5" x14ac:dyDescent="0.25">
      <c r="B886" s="232"/>
      <c r="C886" s="233"/>
      <c r="D886" s="234"/>
      <c r="E886" s="235"/>
      <c r="F886" s="236"/>
      <c r="G886" s="237"/>
      <c r="H886" s="238"/>
      <c r="I886" s="234"/>
      <c r="J886" s="239"/>
      <c r="K886" s="240"/>
      <c r="L886" s="241"/>
    </row>
    <row r="887" spans="2:12" ht="12.5" x14ac:dyDescent="0.25">
      <c r="B887" s="232"/>
      <c r="C887" s="233"/>
      <c r="D887" s="234"/>
      <c r="E887" s="235"/>
      <c r="F887" s="236"/>
      <c r="G887" s="237"/>
      <c r="H887" s="238"/>
      <c r="I887" s="234"/>
      <c r="J887" s="239"/>
      <c r="K887" s="240"/>
      <c r="L887" s="241"/>
    </row>
    <row r="888" spans="2:12" ht="12.5" x14ac:dyDescent="0.25">
      <c r="B888" s="232"/>
      <c r="C888" s="233"/>
      <c r="D888" s="234"/>
      <c r="E888" s="235"/>
      <c r="F888" s="236"/>
      <c r="G888" s="237"/>
      <c r="H888" s="238"/>
      <c r="I888" s="234"/>
      <c r="J888" s="239"/>
      <c r="K888" s="240"/>
      <c r="L888" s="241"/>
    </row>
    <row r="889" spans="2:12" ht="12.5" x14ac:dyDescent="0.25">
      <c r="B889" s="232"/>
      <c r="C889" s="233"/>
      <c r="D889" s="234"/>
      <c r="E889" s="235"/>
      <c r="F889" s="236"/>
      <c r="G889" s="237"/>
      <c r="H889" s="238"/>
      <c r="I889" s="234"/>
      <c r="J889" s="239"/>
      <c r="K889" s="240"/>
      <c r="L889" s="241"/>
    </row>
    <row r="890" spans="2:12" ht="12.5" x14ac:dyDescent="0.25">
      <c r="B890" s="232"/>
      <c r="C890" s="233"/>
      <c r="D890" s="234"/>
      <c r="E890" s="235"/>
      <c r="F890" s="236"/>
      <c r="G890" s="237"/>
      <c r="H890" s="238"/>
      <c r="I890" s="234"/>
      <c r="J890" s="239"/>
      <c r="K890" s="240"/>
      <c r="L890" s="241"/>
    </row>
    <row r="891" spans="2:12" ht="12.5" x14ac:dyDescent="0.25">
      <c r="B891" s="232"/>
      <c r="C891" s="233"/>
      <c r="D891" s="234"/>
      <c r="E891" s="235"/>
      <c r="F891" s="236"/>
      <c r="G891" s="237"/>
      <c r="H891" s="238"/>
      <c r="I891" s="234"/>
      <c r="J891" s="239"/>
      <c r="K891" s="240"/>
      <c r="L891" s="241"/>
    </row>
    <row r="892" spans="2:12" ht="12.5" x14ac:dyDescent="0.25">
      <c r="B892" s="232"/>
      <c r="C892" s="233"/>
      <c r="D892" s="234"/>
      <c r="E892" s="235"/>
      <c r="F892" s="236"/>
      <c r="G892" s="237"/>
      <c r="H892" s="238"/>
      <c r="I892" s="234"/>
      <c r="J892" s="239"/>
      <c r="K892" s="240"/>
      <c r="L892" s="241"/>
    </row>
    <row r="893" spans="2:12" ht="12.5" x14ac:dyDescent="0.25">
      <c r="B893" s="232"/>
      <c r="C893" s="233"/>
      <c r="D893" s="234"/>
      <c r="E893" s="235"/>
      <c r="F893" s="236"/>
      <c r="G893" s="237"/>
      <c r="H893" s="238"/>
      <c r="I893" s="234"/>
      <c r="J893" s="239"/>
      <c r="K893" s="240"/>
      <c r="L893" s="241"/>
    </row>
    <row r="894" spans="2:12" ht="12.5" x14ac:dyDescent="0.25">
      <c r="B894" s="232"/>
      <c r="C894" s="233"/>
      <c r="D894" s="234"/>
      <c r="E894" s="235"/>
      <c r="F894" s="236"/>
      <c r="G894" s="237"/>
      <c r="H894" s="238"/>
      <c r="I894" s="234"/>
      <c r="J894" s="239"/>
      <c r="K894" s="240"/>
      <c r="L894" s="241"/>
    </row>
    <row r="895" spans="2:12" ht="12.5" x14ac:dyDescent="0.25">
      <c r="B895" s="232"/>
      <c r="C895" s="233"/>
      <c r="D895" s="234"/>
      <c r="E895" s="235"/>
      <c r="F895" s="236"/>
      <c r="G895" s="237"/>
      <c r="H895" s="238"/>
      <c r="I895" s="234"/>
      <c r="J895" s="239"/>
      <c r="K895" s="240"/>
      <c r="L895" s="241"/>
    </row>
    <row r="896" spans="2:12" ht="12.5" x14ac:dyDescent="0.25">
      <c r="B896" s="232"/>
      <c r="C896" s="233"/>
      <c r="D896" s="234"/>
      <c r="E896" s="235"/>
      <c r="F896" s="236"/>
      <c r="G896" s="237"/>
      <c r="H896" s="238"/>
      <c r="I896" s="234"/>
      <c r="J896" s="239"/>
      <c r="K896" s="240"/>
      <c r="L896" s="241"/>
    </row>
    <row r="897" spans="2:12" ht="12.5" x14ac:dyDescent="0.25">
      <c r="B897" s="232"/>
      <c r="C897" s="233"/>
      <c r="D897" s="234"/>
      <c r="E897" s="235"/>
      <c r="F897" s="236"/>
      <c r="G897" s="237"/>
      <c r="H897" s="238"/>
      <c r="I897" s="234"/>
      <c r="J897" s="239"/>
      <c r="K897" s="240"/>
      <c r="L897" s="241"/>
    </row>
    <row r="898" spans="2:12" ht="12.5" x14ac:dyDescent="0.25">
      <c r="B898" s="232"/>
      <c r="C898" s="233"/>
      <c r="D898" s="234"/>
      <c r="E898" s="235"/>
      <c r="F898" s="236"/>
      <c r="G898" s="237"/>
      <c r="H898" s="238"/>
      <c r="I898" s="234"/>
      <c r="J898" s="239"/>
      <c r="K898" s="240"/>
      <c r="L898" s="241"/>
    </row>
    <row r="899" spans="2:12" ht="12.5" x14ac:dyDescent="0.25">
      <c r="B899" s="232"/>
      <c r="C899" s="233"/>
      <c r="D899" s="234"/>
      <c r="E899" s="235"/>
      <c r="F899" s="236"/>
      <c r="G899" s="237"/>
      <c r="H899" s="238"/>
      <c r="I899" s="234"/>
      <c r="J899" s="239"/>
      <c r="K899" s="240"/>
      <c r="L899" s="241"/>
    </row>
    <row r="900" spans="2:12" ht="12.5" x14ac:dyDescent="0.25">
      <c r="B900" s="232"/>
      <c r="C900" s="233"/>
      <c r="D900" s="234"/>
      <c r="E900" s="235"/>
      <c r="F900" s="236"/>
      <c r="G900" s="237"/>
      <c r="H900" s="238"/>
      <c r="I900" s="234"/>
      <c r="J900" s="239"/>
      <c r="K900" s="240"/>
      <c r="L900" s="241"/>
    </row>
    <row r="901" spans="2:12" ht="12.5" x14ac:dyDescent="0.25">
      <c r="B901" s="232"/>
      <c r="C901" s="233"/>
      <c r="D901" s="234"/>
      <c r="E901" s="235"/>
      <c r="F901" s="236"/>
      <c r="G901" s="237"/>
      <c r="H901" s="238"/>
      <c r="I901" s="234"/>
      <c r="J901" s="239"/>
      <c r="K901" s="240"/>
      <c r="L901" s="241"/>
    </row>
    <row r="902" spans="2:12" ht="12.5" x14ac:dyDescent="0.25">
      <c r="B902" s="232"/>
      <c r="C902" s="233"/>
      <c r="D902" s="234"/>
      <c r="E902" s="235"/>
      <c r="F902" s="236"/>
      <c r="G902" s="237"/>
      <c r="H902" s="238"/>
      <c r="I902" s="234"/>
      <c r="J902" s="239"/>
      <c r="K902" s="240"/>
      <c r="L902" s="241"/>
    </row>
    <row r="903" spans="2:12" ht="12.5" x14ac:dyDescent="0.25">
      <c r="B903" s="232"/>
      <c r="C903" s="233"/>
      <c r="D903" s="234"/>
      <c r="E903" s="235"/>
      <c r="F903" s="236"/>
      <c r="G903" s="237"/>
      <c r="H903" s="238"/>
      <c r="I903" s="234"/>
      <c r="J903" s="239"/>
      <c r="K903" s="240"/>
      <c r="L903" s="241"/>
    </row>
    <row r="904" spans="2:12" ht="12.5" x14ac:dyDescent="0.25">
      <c r="B904" s="232"/>
      <c r="C904" s="233"/>
      <c r="D904" s="234"/>
      <c r="E904" s="235"/>
      <c r="F904" s="236"/>
      <c r="G904" s="237"/>
      <c r="H904" s="238"/>
      <c r="I904" s="234"/>
      <c r="J904" s="239"/>
      <c r="K904" s="240"/>
      <c r="L904" s="241"/>
    </row>
    <row r="905" spans="2:12" ht="12.5" x14ac:dyDescent="0.25">
      <c r="B905" s="232"/>
      <c r="C905" s="233"/>
      <c r="D905" s="234"/>
      <c r="E905" s="235"/>
      <c r="F905" s="236"/>
      <c r="G905" s="237"/>
      <c r="H905" s="238"/>
      <c r="I905" s="234"/>
      <c r="J905" s="239"/>
      <c r="K905" s="240"/>
      <c r="L905" s="241"/>
    </row>
    <row r="906" spans="2:12" ht="12.5" x14ac:dyDescent="0.25">
      <c r="B906" s="232"/>
      <c r="C906" s="233"/>
      <c r="D906" s="234"/>
      <c r="E906" s="235"/>
      <c r="F906" s="236"/>
      <c r="G906" s="237"/>
      <c r="H906" s="238"/>
      <c r="I906" s="234"/>
      <c r="J906" s="239"/>
      <c r="K906" s="240"/>
      <c r="L906" s="241"/>
    </row>
    <row r="907" spans="2:12" ht="12.5" x14ac:dyDescent="0.25">
      <c r="B907" s="232"/>
      <c r="C907" s="233"/>
      <c r="D907" s="234"/>
      <c r="E907" s="235"/>
      <c r="F907" s="236"/>
      <c r="G907" s="237"/>
      <c r="H907" s="238"/>
      <c r="I907" s="234"/>
      <c r="J907" s="239"/>
      <c r="K907" s="240"/>
      <c r="L907" s="241"/>
    </row>
    <row r="908" spans="2:12" ht="12.5" x14ac:dyDescent="0.25">
      <c r="B908" s="232"/>
      <c r="C908" s="233"/>
      <c r="D908" s="234"/>
      <c r="E908" s="235"/>
      <c r="F908" s="236"/>
      <c r="G908" s="237"/>
      <c r="H908" s="238"/>
      <c r="I908" s="234"/>
      <c r="J908" s="239"/>
      <c r="K908" s="240"/>
      <c r="L908" s="241"/>
    </row>
    <row r="909" spans="2:12" ht="12.5" x14ac:dyDescent="0.25">
      <c r="B909" s="232"/>
      <c r="C909" s="233"/>
      <c r="D909" s="234"/>
      <c r="E909" s="235"/>
      <c r="F909" s="236"/>
      <c r="G909" s="237"/>
      <c r="H909" s="238"/>
      <c r="I909" s="234"/>
      <c r="J909" s="239"/>
      <c r="K909" s="240"/>
      <c r="L909" s="241"/>
    </row>
    <row r="910" spans="2:12" ht="12.5" x14ac:dyDescent="0.25">
      <c r="B910" s="232"/>
      <c r="C910" s="233"/>
      <c r="D910" s="234"/>
      <c r="E910" s="235"/>
      <c r="F910" s="236"/>
      <c r="G910" s="237"/>
      <c r="H910" s="238"/>
      <c r="I910" s="234"/>
      <c r="J910" s="239"/>
      <c r="K910" s="240"/>
      <c r="L910" s="241"/>
    </row>
    <row r="911" spans="2:12" ht="12.5" x14ac:dyDescent="0.25">
      <c r="B911" s="232"/>
      <c r="C911" s="233"/>
      <c r="D911" s="234"/>
      <c r="E911" s="235"/>
      <c r="F911" s="236"/>
      <c r="G911" s="237"/>
      <c r="H911" s="238"/>
      <c r="I911" s="234"/>
      <c r="J911" s="239"/>
      <c r="K911" s="240"/>
      <c r="L911" s="241"/>
    </row>
    <row r="912" spans="2:12" ht="12.5" x14ac:dyDescent="0.25">
      <c r="B912" s="232"/>
      <c r="C912" s="233"/>
      <c r="D912" s="234"/>
      <c r="E912" s="235"/>
      <c r="F912" s="236"/>
      <c r="G912" s="237"/>
      <c r="H912" s="238"/>
      <c r="I912" s="234"/>
      <c r="J912" s="239"/>
      <c r="K912" s="240"/>
      <c r="L912" s="241"/>
    </row>
    <row r="913" spans="2:12" ht="12.5" x14ac:dyDescent="0.25">
      <c r="B913" s="232"/>
      <c r="C913" s="233"/>
      <c r="D913" s="234"/>
      <c r="E913" s="235"/>
      <c r="F913" s="236"/>
      <c r="G913" s="237"/>
      <c r="H913" s="238"/>
      <c r="I913" s="234"/>
      <c r="J913" s="239"/>
      <c r="K913" s="240"/>
      <c r="L913" s="241"/>
    </row>
    <row r="914" spans="2:12" ht="12.5" x14ac:dyDescent="0.25">
      <c r="B914" s="232"/>
      <c r="C914" s="233"/>
      <c r="D914" s="234"/>
      <c r="E914" s="235"/>
      <c r="F914" s="236"/>
      <c r="G914" s="237"/>
      <c r="H914" s="238"/>
      <c r="I914" s="234"/>
      <c r="J914" s="239"/>
      <c r="K914" s="240"/>
      <c r="L914" s="241"/>
    </row>
    <row r="915" spans="2:12" ht="12.5" x14ac:dyDescent="0.25">
      <c r="B915" s="232"/>
      <c r="C915" s="233"/>
      <c r="D915" s="234"/>
      <c r="E915" s="235"/>
      <c r="F915" s="236"/>
      <c r="G915" s="237"/>
      <c r="H915" s="238"/>
      <c r="I915" s="234"/>
      <c r="J915" s="239"/>
      <c r="K915" s="240"/>
      <c r="L915" s="241"/>
    </row>
    <row r="916" spans="2:12" ht="12.5" x14ac:dyDescent="0.25">
      <c r="B916" s="232"/>
      <c r="C916" s="233"/>
      <c r="D916" s="234"/>
      <c r="E916" s="235"/>
      <c r="F916" s="236"/>
      <c r="G916" s="237"/>
      <c r="H916" s="238"/>
      <c r="I916" s="234"/>
      <c r="J916" s="239"/>
      <c r="K916" s="240"/>
      <c r="L916" s="241"/>
    </row>
    <row r="917" spans="2:12" ht="12.5" x14ac:dyDescent="0.25">
      <c r="B917" s="232"/>
      <c r="C917" s="233"/>
      <c r="D917" s="234"/>
      <c r="E917" s="235"/>
      <c r="F917" s="236"/>
      <c r="G917" s="237"/>
      <c r="H917" s="238"/>
      <c r="I917" s="234"/>
      <c r="J917" s="239"/>
      <c r="K917" s="240"/>
      <c r="L917" s="241"/>
    </row>
    <row r="918" spans="2:12" ht="12.5" x14ac:dyDescent="0.25">
      <c r="B918" s="232"/>
      <c r="C918" s="233"/>
      <c r="D918" s="234"/>
      <c r="E918" s="235"/>
      <c r="F918" s="236"/>
      <c r="G918" s="237"/>
      <c r="H918" s="238"/>
      <c r="I918" s="234"/>
      <c r="J918" s="239"/>
      <c r="K918" s="240"/>
      <c r="L918" s="241"/>
    </row>
    <row r="919" spans="2:12" ht="12.5" x14ac:dyDescent="0.25">
      <c r="B919" s="232"/>
      <c r="C919" s="233"/>
      <c r="D919" s="234"/>
      <c r="E919" s="235"/>
      <c r="F919" s="236"/>
      <c r="G919" s="237"/>
      <c r="H919" s="238"/>
      <c r="I919" s="234"/>
      <c r="J919" s="239"/>
      <c r="K919" s="240"/>
      <c r="L919" s="241"/>
    </row>
    <row r="920" spans="2:12" ht="12.5" x14ac:dyDescent="0.25">
      <c r="B920" s="232"/>
      <c r="C920" s="233"/>
      <c r="D920" s="234"/>
      <c r="E920" s="235"/>
      <c r="F920" s="236"/>
      <c r="G920" s="237"/>
      <c r="H920" s="238"/>
      <c r="I920" s="234"/>
      <c r="J920" s="239"/>
      <c r="K920" s="240"/>
      <c r="L920" s="241"/>
    </row>
    <row r="921" spans="2:12" ht="12.5" x14ac:dyDescent="0.25">
      <c r="B921" s="232"/>
      <c r="C921" s="233"/>
      <c r="D921" s="234"/>
      <c r="E921" s="235"/>
      <c r="F921" s="236"/>
      <c r="G921" s="237"/>
      <c r="H921" s="238"/>
      <c r="I921" s="234"/>
      <c r="J921" s="239"/>
      <c r="K921" s="240"/>
      <c r="L921" s="241"/>
    </row>
    <row r="922" spans="2:12" ht="12.5" x14ac:dyDescent="0.25">
      <c r="B922" s="232"/>
      <c r="C922" s="233"/>
      <c r="D922" s="234"/>
      <c r="E922" s="235"/>
      <c r="F922" s="236"/>
      <c r="G922" s="237"/>
      <c r="H922" s="238"/>
      <c r="I922" s="234"/>
      <c r="J922" s="239"/>
      <c r="K922" s="240"/>
      <c r="L922" s="241"/>
    </row>
    <row r="923" spans="2:12" ht="12.5" x14ac:dyDescent="0.25">
      <c r="B923" s="232"/>
      <c r="C923" s="233"/>
      <c r="D923" s="234"/>
      <c r="E923" s="235"/>
      <c r="F923" s="236"/>
      <c r="G923" s="237"/>
      <c r="H923" s="238"/>
      <c r="I923" s="234"/>
      <c r="J923" s="239"/>
      <c r="K923" s="240"/>
      <c r="L923" s="241"/>
    </row>
    <row r="924" spans="2:12" ht="12.5" x14ac:dyDescent="0.25">
      <c r="B924" s="232"/>
      <c r="C924" s="233"/>
      <c r="D924" s="234"/>
      <c r="E924" s="235"/>
      <c r="F924" s="236"/>
      <c r="G924" s="237"/>
      <c r="H924" s="238"/>
      <c r="I924" s="234"/>
      <c r="J924" s="239"/>
      <c r="K924" s="240"/>
      <c r="L924" s="241"/>
    </row>
    <row r="925" spans="2:12" ht="12.5" x14ac:dyDescent="0.25">
      <c r="B925" s="232"/>
      <c r="C925" s="233"/>
      <c r="D925" s="234"/>
      <c r="E925" s="235"/>
      <c r="F925" s="236"/>
      <c r="G925" s="237"/>
      <c r="H925" s="238"/>
      <c r="I925" s="234"/>
      <c r="J925" s="239"/>
      <c r="K925" s="240"/>
      <c r="L925" s="241"/>
    </row>
    <row r="926" spans="2:12" ht="12.5" x14ac:dyDescent="0.25">
      <c r="B926" s="232"/>
      <c r="C926" s="233"/>
      <c r="D926" s="234"/>
      <c r="E926" s="235"/>
      <c r="F926" s="236"/>
      <c r="G926" s="237"/>
      <c r="H926" s="238"/>
      <c r="I926" s="234"/>
      <c r="J926" s="239"/>
      <c r="K926" s="240"/>
      <c r="L926" s="241"/>
    </row>
    <row r="927" spans="2:12" ht="12.5" x14ac:dyDescent="0.25">
      <c r="B927" s="232"/>
      <c r="C927" s="233"/>
      <c r="D927" s="234"/>
      <c r="E927" s="235"/>
      <c r="F927" s="236"/>
      <c r="G927" s="237"/>
      <c r="H927" s="238"/>
      <c r="I927" s="234"/>
      <c r="J927" s="239"/>
      <c r="K927" s="240"/>
      <c r="L927" s="241"/>
    </row>
    <row r="928" spans="2:12" ht="12.5" x14ac:dyDescent="0.25">
      <c r="B928" s="232"/>
      <c r="C928" s="233"/>
      <c r="D928" s="234"/>
      <c r="E928" s="235"/>
      <c r="F928" s="236"/>
      <c r="G928" s="237"/>
      <c r="H928" s="238"/>
      <c r="I928" s="234"/>
      <c r="J928" s="239"/>
      <c r="K928" s="240"/>
      <c r="L928" s="241"/>
    </row>
    <row r="929" spans="2:12" ht="12.5" x14ac:dyDescent="0.25">
      <c r="B929" s="232"/>
      <c r="C929" s="233"/>
      <c r="D929" s="234"/>
      <c r="E929" s="235"/>
      <c r="F929" s="236"/>
      <c r="G929" s="237"/>
      <c r="H929" s="238"/>
      <c r="I929" s="234"/>
      <c r="J929" s="239"/>
      <c r="K929" s="240"/>
      <c r="L929" s="241"/>
    </row>
    <row r="930" spans="2:12" ht="12.5" x14ac:dyDescent="0.25">
      <c r="B930" s="232"/>
      <c r="C930" s="233"/>
      <c r="D930" s="234"/>
      <c r="E930" s="235"/>
      <c r="F930" s="236"/>
      <c r="G930" s="237"/>
      <c r="H930" s="238"/>
      <c r="I930" s="234"/>
      <c r="J930" s="239"/>
      <c r="K930" s="240"/>
      <c r="L930" s="241"/>
    </row>
    <row r="931" spans="2:12" ht="12.5" x14ac:dyDescent="0.25">
      <c r="B931" s="232"/>
      <c r="C931" s="233"/>
      <c r="D931" s="234"/>
      <c r="E931" s="235"/>
      <c r="F931" s="236"/>
      <c r="G931" s="237"/>
      <c r="H931" s="238"/>
      <c r="I931" s="234"/>
      <c r="J931" s="239"/>
      <c r="K931" s="240"/>
      <c r="L931" s="241"/>
    </row>
    <row r="932" spans="2:12" ht="12.5" x14ac:dyDescent="0.25">
      <c r="B932" s="232"/>
      <c r="C932" s="233"/>
      <c r="D932" s="234"/>
      <c r="E932" s="235"/>
      <c r="F932" s="236"/>
      <c r="G932" s="237"/>
      <c r="H932" s="238"/>
      <c r="I932" s="234"/>
      <c r="J932" s="239"/>
      <c r="K932" s="240"/>
      <c r="L932" s="241"/>
    </row>
    <row r="933" spans="2:12" ht="12.5" x14ac:dyDescent="0.25">
      <c r="B933" s="232"/>
      <c r="C933" s="233"/>
      <c r="D933" s="234"/>
      <c r="E933" s="235"/>
      <c r="F933" s="236"/>
      <c r="G933" s="237"/>
      <c r="H933" s="238"/>
      <c r="I933" s="234"/>
      <c r="J933" s="239"/>
      <c r="K933" s="240"/>
      <c r="L933" s="241"/>
    </row>
    <row r="934" spans="2:12" ht="12.5" x14ac:dyDescent="0.25">
      <c r="B934" s="232"/>
      <c r="C934" s="233"/>
      <c r="D934" s="234"/>
      <c r="E934" s="235"/>
      <c r="F934" s="236"/>
      <c r="G934" s="237"/>
      <c r="H934" s="238"/>
      <c r="I934" s="234"/>
      <c r="J934" s="239"/>
      <c r="K934" s="240"/>
      <c r="L934" s="241"/>
    </row>
    <row r="935" spans="2:12" ht="12.5" x14ac:dyDescent="0.25">
      <c r="B935" s="232"/>
      <c r="C935" s="233"/>
      <c r="D935" s="234"/>
      <c r="E935" s="235"/>
      <c r="F935" s="236"/>
      <c r="G935" s="237"/>
      <c r="H935" s="238"/>
      <c r="I935" s="234"/>
      <c r="J935" s="239"/>
      <c r="K935" s="240"/>
      <c r="L935" s="241"/>
    </row>
    <row r="936" spans="2:12" ht="12.5" x14ac:dyDescent="0.25">
      <c r="B936" s="232"/>
      <c r="C936" s="233"/>
      <c r="D936" s="234"/>
      <c r="E936" s="235"/>
      <c r="F936" s="236"/>
      <c r="G936" s="237"/>
      <c r="H936" s="238"/>
      <c r="I936" s="234"/>
      <c r="J936" s="239"/>
      <c r="K936" s="240"/>
      <c r="L936" s="241"/>
    </row>
    <row r="937" spans="2:12" ht="12.5" x14ac:dyDescent="0.25">
      <c r="B937" s="232"/>
      <c r="C937" s="233"/>
      <c r="D937" s="234"/>
      <c r="E937" s="235"/>
      <c r="F937" s="236"/>
      <c r="G937" s="237"/>
      <c r="H937" s="238"/>
      <c r="I937" s="234"/>
      <c r="J937" s="239"/>
      <c r="K937" s="240"/>
      <c r="L937" s="241"/>
    </row>
    <row r="938" spans="2:12" ht="12.5" x14ac:dyDescent="0.25">
      <c r="B938" s="232"/>
      <c r="C938" s="233"/>
      <c r="D938" s="234"/>
      <c r="E938" s="235"/>
      <c r="F938" s="236"/>
      <c r="G938" s="237"/>
      <c r="H938" s="238"/>
      <c r="I938" s="234"/>
      <c r="J938" s="239"/>
      <c r="K938" s="240"/>
      <c r="L938" s="241"/>
    </row>
    <row r="939" spans="2:12" ht="12.5" x14ac:dyDescent="0.25">
      <c r="B939" s="232"/>
      <c r="C939" s="233"/>
      <c r="D939" s="234"/>
      <c r="E939" s="235"/>
      <c r="F939" s="236"/>
      <c r="G939" s="237"/>
      <c r="H939" s="238"/>
      <c r="I939" s="234"/>
      <c r="J939" s="239"/>
      <c r="K939" s="240"/>
      <c r="L939" s="241"/>
    </row>
    <row r="940" spans="2:12" ht="12.5" x14ac:dyDescent="0.25">
      <c r="B940" s="232"/>
      <c r="C940" s="233"/>
      <c r="D940" s="234"/>
      <c r="E940" s="235"/>
      <c r="F940" s="236"/>
      <c r="G940" s="237"/>
      <c r="H940" s="238"/>
      <c r="I940" s="234"/>
      <c r="J940" s="239"/>
      <c r="K940" s="240"/>
      <c r="L940" s="241"/>
    </row>
    <row r="941" spans="2:12" ht="12.5" x14ac:dyDescent="0.25">
      <c r="B941" s="232"/>
      <c r="C941" s="233"/>
      <c r="D941" s="234"/>
      <c r="E941" s="235"/>
      <c r="F941" s="236"/>
      <c r="G941" s="237"/>
      <c r="H941" s="238"/>
      <c r="I941" s="234"/>
      <c r="J941" s="239"/>
      <c r="K941" s="240"/>
      <c r="L941" s="241"/>
    </row>
    <row r="942" spans="2:12" ht="12.5" x14ac:dyDescent="0.25">
      <c r="B942" s="232"/>
      <c r="C942" s="233"/>
      <c r="D942" s="234"/>
      <c r="E942" s="235"/>
      <c r="F942" s="236"/>
      <c r="G942" s="237"/>
      <c r="H942" s="238"/>
      <c r="I942" s="234"/>
      <c r="J942" s="239"/>
      <c r="K942" s="240"/>
      <c r="L942" s="241"/>
    </row>
    <row r="943" spans="2:12" ht="12.5" x14ac:dyDescent="0.25">
      <c r="B943" s="232"/>
      <c r="C943" s="233"/>
      <c r="D943" s="234"/>
      <c r="E943" s="235"/>
      <c r="F943" s="236"/>
      <c r="G943" s="237"/>
      <c r="H943" s="238"/>
      <c r="I943" s="234"/>
      <c r="J943" s="239"/>
      <c r="K943" s="240"/>
      <c r="L943" s="241"/>
    </row>
    <row r="944" spans="2:12" ht="12.5" x14ac:dyDescent="0.25">
      <c r="B944" s="232"/>
      <c r="C944" s="233"/>
      <c r="D944" s="234"/>
      <c r="E944" s="235"/>
      <c r="F944" s="236"/>
      <c r="G944" s="237"/>
      <c r="H944" s="238"/>
      <c r="I944" s="234"/>
      <c r="J944" s="239"/>
      <c r="K944" s="240"/>
      <c r="L944" s="241"/>
    </row>
    <row r="945" spans="2:12" ht="12.5" x14ac:dyDescent="0.25">
      <c r="B945" s="232"/>
      <c r="C945" s="233"/>
      <c r="D945" s="234"/>
      <c r="E945" s="235"/>
      <c r="F945" s="236"/>
      <c r="G945" s="237"/>
      <c r="H945" s="238"/>
      <c r="I945" s="234"/>
      <c r="J945" s="239"/>
      <c r="K945" s="240"/>
      <c r="L945" s="241"/>
    </row>
    <row r="946" spans="2:12" ht="12.5" x14ac:dyDescent="0.25">
      <c r="B946" s="232"/>
      <c r="C946" s="233"/>
      <c r="D946" s="234"/>
      <c r="E946" s="235"/>
      <c r="F946" s="236"/>
      <c r="G946" s="237"/>
      <c r="H946" s="238"/>
      <c r="I946" s="234"/>
      <c r="J946" s="239"/>
      <c r="K946" s="240"/>
      <c r="L946" s="241"/>
    </row>
    <row r="947" spans="2:12" ht="12.5" x14ac:dyDescent="0.25">
      <c r="B947" s="232"/>
      <c r="C947" s="233"/>
      <c r="D947" s="234"/>
      <c r="E947" s="235"/>
      <c r="F947" s="236"/>
      <c r="G947" s="237"/>
      <c r="H947" s="238"/>
      <c r="I947" s="234"/>
      <c r="J947" s="239"/>
      <c r="K947" s="240"/>
      <c r="L947" s="241"/>
    </row>
    <row r="948" spans="2:12" ht="12.5" x14ac:dyDescent="0.25">
      <c r="B948" s="232"/>
      <c r="C948" s="233"/>
      <c r="D948" s="234"/>
      <c r="E948" s="235"/>
      <c r="F948" s="236"/>
      <c r="G948" s="237"/>
      <c r="H948" s="238"/>
      <c r="I948" s="234"/>
      <c r="J948" s="239"/>
      <c r="K948" s="240"/>
      <c r="L948" s="241"/>
    </row>
    <row r="949" spans="2:12" ht="12.5" x14ac:dyDescent="0.25">
      <c r="B949" s="232"/>
      <c r="C949" s="233"/>
      <c r="D949" s="234"/>
      <c r="E949" s="235"/>
      <c r="F949" s="236"/>
      <c r="G949" s="237"/>
      <c r="H949" s="238"/>
      <c r="I949" s="234"/>
      <c r="J949" s="239"/>
      <c r="K949" s="240"/>
      <c r="L949" s="241"/>
    </row>
    <row r="950" spans="2:12" ht="12.5" x14ac:dyDescent="0.25">
      <c r="B950" s="232"/>
      <c r="C950" s="233"/>
      <c r="D950" s="234"/>
      <c r="E950" s="235"/>
      <c r="F950" s="236"/>
      <c r="G950" s="237"/>
      <c r="H950" s="238"/>
      <c r="I950" s="234"/>
      <c r="J950" s="239"/>
      <c r="K950" s="240"/>
      <c r="L950" s="241"/>
    </row>
    <row r="951" spans="2:12" ht="12.5" x14ac:dyDescent="0.25">
      <c r="B951" s="232"/>
      <c r="C951" s="233"/>
      <c r="D951" s="234"/>
      <c r="E951" s="235"/>
      <c r="F951" s="236"/>
      <c r="G951" s="237"/>
      <c r="H951" s="238"/>
      <c r="I951" s="234"/>
      <c r="J951" s="239"/>
      <c r="K951" s="240"/>
      <c r="L951" s="241"/>
    </row>
    <row r="952" spans="2:12" ht="12.5" x14ac:dyDescent="0.25">
      <c r="B952" s="232"/>
      <c r="C952" s="233"/>
      <c r="D952" s="234"/>
      <c r="E952" s="235"/>
      <c r="F952" s="236"/>
      <c r="G952" s="237"/>
      <c r="H952" s="238"/>
      <c r="I952" s="234"/>
      <c r="J952" s="239"/>
      <c r="K952" s="240"/>
      <c r="L952" s="241"/>
    </row>
    <row r="953" spans="2:12" ht="12.5" x14ac:dyDescent="0.25">
      <c r="B953" s="232"/>
      <c r="C953" s="233"/>
      <c r="D953" s="234"/>
      <c r="E953" s="235"/>
      <c r="F953" s="236"/>
      <c r="G953" s="237"/>
      <c r="H953" s="238"/>
      <c r="I953" s="234"/>
      <c r="J953" s="239"/>
      <c r="K953" s="240"/>
      <c r="L953" s="241"/>
    </row>
    <row r="954" spans="2:12" ht="12.5" x14ac:dyDescent="0.25">
      <c r="B954" s="232"/>
      <c r="C954" s="233"/>
      <c r="D954" s="234"/>
      <c r="E954" s="235"/>
      <c r="F954" s="236"/>
      <c r="G954" s="237"/>
      <c r="H954" s="238"/>
      <c r="I954" s="234"/>
      <c r="J954" s="239"/>
      <c r="K954" s="240"/>
      <c r="L954" s="241"/>
    </row>
    <row r="955" spans="2:12" ht="12.5" x14ac:dyDescent="0.25">
      <c r="B955" s="232"/>
      <c r="C955" s="233"/>
      <c r="D955" s="234"/>
      <c r="E955" s="235"/>
      <c r="F955" s="236"/>
      <c r="G955" s="237"/>
      <c r="H955" s="238"/>
      <c r="I955" s="234"/>
      <c r="J955" s="239"/>
      <c r="K955" s="240"/>
      <c r="L955" s="241"/>
    </row>
    <row r="956" spans="2:12" ht="12.5" x14ac:dyDescent="0.25">
      <c r="B956" s="232"/>
      <c r="C956" s="233"/>
      <c r="D956" s="234"/>
      <c r="E956" s="235"/>
      <c r="F956" s="236"/>
      <c r="G956" s="237"/>
      <c r="H956" s="238"/>
      <c r="I956" s="234"/>
      <c r="J956" s="239"/>
      <c r="K956" s="240"/>
      <c r="L956" s="241"/>
    </row>
    <row r="957" spans="2:12" ht="12.5" x14ac:dyDescent="0.25">
      <c r="B957" s="232"/>
      <c r="C957" s="233"/>
      <c r="D957" s="234"/>
      <c r="E957" s="235"/>
      <c r="F957" s="236"/>
      <c r="G957" s="237"/>
      <c r="H957" s="238"/>
      <c r="I957" s="234"/>
      <c r="J957" s="239"/>
      <c r="K957" s="240"/>
      <c r="L957" s="241"/>
    </row>
    <row r="958" spans="2:12" ht="12.5" x14ac:dyDescent="0.25">
      <c r="B958" s="232"/>
      <c r="C958" s="233"/>
      <c r="D958" s="234"/>
      <c r="E958" s="235"/>
      <c r="F958" s="236"/>
      <c r="G958" s="237"/>
      <c r="H958" s="238"/>
      <c r="I958" s="234"/>
      <c r="J958" s="239"/>
      <c r="K958" s="240"/>
      <c r="L958" s="241"/>
    </row>
    <row r="959" spans="2:12" ht="12.5" x14ac:dyDescent="0.25">
      <c r="B959" s="232"/>
      <c r="C959" s="233"/>
      <c r="D959" s="234"/>
      <c r="E959" s="235"/>
      <c r="F959" s="236"/>
      <c r="G959" s="237"/>
      <c r="H959" s="238"/>
      <c r="I959" s="234"/>
      <c r="J959" s="239"/>
      <c r="K959" s="240"/>
      <c r="L959" s="241"/>
    </row>
    <row r="960" spans="2:12" ht="12.5" x14ac:dyDescent="0.25">
      <c r="B960" s="232"/>
      <c r="C960" s="233"/>
      <c r="D960" s="234"/>
      <c r="E960" s="235"/>
      <c r="F960" s="236"/>
      <c r="G960" s="237"/>
      <c r="H960" s="238"/>
      <c r="I960" s="234"/>
      <c r="J960" s="239"/>
      <c r="K960" s="240"/>
      <c r="L960" s="241"/>
    </row>
    <row r="961" spans="2:12" ht="12.5" x14ac:dyDescent="0.25">
      <c r="B961" s="232"/>
      <c r="C961" s="233"/>
      <c r="D961" s="234"/>
      <c r="E961" s="235"/>
      <c r="F961" s="236"/>
      <c r="G961" s="237"/>
      <c r="H961" s="238"/>
      <c r="I961" s="234"/>
      <c r="J961" s="239"/>
      <c r="K961" s="240"/>
      <c r="L961" s="241"/>
    </row>
    <row r="962" spans="2:12" ht="12.5" x14ac:dyDescent="0.25">
      <c r="B962" s="232"/>
      <c r="C962" s="233"/>
      <c r="D962" s="234"/>
      <c r="E962" s="235"/>
      <c r="F962" s="236"/>
      <c r="G962" s="237"/>
      <c r="H962" s="238"/>
      <c r="I962" s="234"/>
      <c r="J962" s="239"/>
      <c r="K962" s="240"/>
      <c r="L962" s="241"/>
    </row>
    <row r="963" spans="2:12" ht="12.5" x14ac:dyDescent="0.25">
      <c r="B963" s="232"/>
      <c r="C963" s="233"/>
      <c r="D963" s="234"/>
      <c r="E963" s="235"/>
      <c r="F963" s="236"/>
      <c r="G963" s="237"/>
      <c r="H963" s="238"/>
      <c r="I963" s="234"/>
      <c r="J963" s="239"/>
      <c r="K963" s="240"/>
      <c r="L963" s="241"/>
    </row>
    <row r="964" spans="2:12" ht="12.5" x14ac:dyDescent="0.25">
      <c r="B964" s="232"/>
      <c r="C964" s="233"/>
      <c r="D964" s="234"/>
      <c r="E964" s="235"/>
      <c r="F964" s="236"/>
      <c r="G964" s="237"/>
      <c r="H964" s="238"/>
      <c r="I964" s="234"/>
      <c r="J964" s="239"/>
      <c r="K964" s="240"/>
      <c r="L964" s="241"/>
    </row>
    <row r="965" spans="2:12" ht="12.5" x14ac:dyDescent="0.25">
      <c r="B965" s="232"/>
      <c r="C965" s="233"/>
      <c r="D965" s="234"/>
      <c r="E965" s="235"/>
      <c r="F965" s="236"/>
      <c r="G965" s="237"/>
      <c r="H965" s="238"/>
      <c r="I965" s="234"/>
      <c r="J965" s="239"/>
      <c r="K965" s="240"/>
      <c r="L965" s="241"/>
    </row>
    <row r="966" spans="2:12" ht="12.5" x14ac:dyDescent="0.25">
      <c r="B966" s="232"/>
      <c r="C966" s="233"/>
      <c r="D966" s="234"/>
      <c r="E966" s="235"/>
      <c r="F966" s="236"/>
      <c r="G966" s="237"/>
      <c r="H966" s="238"/>
      <c r="I966" s="234"/>
      <c r="J966" s="239"/>
      <c r="K966" s="240"/>
      <c r="L966" s="241"/>
    </row>
    <row r="967" spans="2:12" ht="12.5" x14ac:dyDescent="0.25">
      <c r="B967" s="232"/>
      <c r="C967" s="233"/>
      <c r="D967" s="234"/>
      <c r="E967" s="235"/>
      <c r="F967" s="236"/>
      <c r="G967" s="237"/>
      <c r="H967" s="238"/>
      <c r="I967" s="234"/>
      <c r="J967" s="239"/>
      <c r="K967" s="240"/>
      <c r="L967" s="241"/>
    </row>
    <row r="968" spans="2:12" ht="12.5" x14ac:dyDescent="0.25">
      <c r="B968" s="232"/>
      <c r="C968" s="233"/>
      <c r="D968" s="234"/>
      <c r="E968" s="235"/>
      <c r="F968" s="236"/>
      <c r="G968" s="237"/>
      <c r="H968" s="238"/>
      <c r="I968" s="234"/>
      <c r="J968" s="239"/>
      <c r="K968" s="240"/>
      <c r="L968" s="241"/>
    </row>
    <row r="969" spans="2:12" ht="12.5" x14ac:dyDescent="0.25">
      <c r="B969" s="232"/>
      <c r="C969" s="233"/>
      <c r="D969" s="234"/>
      <c r="E969" s="235"/>
      <c r="F969" s="236"/>
      <c r="G969" s="237"/>
      <c r="H969" s="238"/>
      <c r="I969" s="234"/>
      <c r="J969" s="239"/>
      <c r="K969" s="240"/>
      <c r="L969" s="241"/>
    </row>
    <row r="970" spans="2:12" ht="12.5" x14ac:dyDescent="0.25">
      <c r="B970" s="232"/>
      <c r="C970" s="233"/>
      <c r="D970" s="234"/>
      <c r="E970" s="235"/>
      <c r="F970" s="236"/>
      <c r="G970" s="237"/>
      <c r="H970" s="238"/>
      <c r="I970" s="234"/>
      <c r="J970" s="239"/>
      <c r="K970" s="240"/>
      <c r="L970" s="241"/>
    </row>
    <row r="971" spans="2:12" ht="12.5" x14ac:dyDescent="0.25">
      <c r="B971" s="232"/>
      <c r="C971" s="233"/>
      <c r="D971" s="234"/>
      <c r="E971" s="235"/>
      <c r="F971" s="236"/>
      <c r="G971" s="237"/>
      <c r="H971" s="238"/>
      <c r="I971" s="234"/>
      <c r="J971" s="239"/>
      <c r="K971" s="240"/>
      <c r="L971" s="241"/>
    </row>
    <row r="972" spans="2:12" ht="12.5" x14ac:dyDescent="0.25">
      <c r="B972" s="232"/>
      <c r="C972" s="233"/>
      <c r="D972" s="234"/>
      <c r="E972" s="235"/>
      <c r="F972" s="236"/>
      <c r="G972" s="237"/>
      <c r="H972" s="238"/>
      <c r="I972" s="234"/>
      <c r="J972" s="239"/>
      <c r="K972" s="240"/>
      <c r="L972" s="241"/>
    </row>
    <row r="973" spans="2:12" ht="12.5" x14ac:dyDescent="0.25">
      <c r="B973" s="232"/>
      <c r="C973" s="233"/>
      <c r="D973" s="234"/>
      <c r="E973" s="235"/>
      <c r="F973" s="236"/>
      <c r="G973" s="237"/>
      <c r="H973" s="238"/>
      <c r="I973" s="234"/>
      <c r="J973" s="239"/>
      <c r="K973" s="240"/>
      <c r="L973" s="241"/>
    </row>
    <row r="974" spans="2:12" ht="12.5" x14ac:dyDescent="0.25">
      <c r="B974" s="232"/>
      <c r="C974" s="233"/>
      <c r="D974" s="234"/>
      <c r="E974" s="235"/>
      <c r="F974" s="236"/>
      <c r="G974" s="237"/>
      <c r="H974" s="238"/>
      <c r="I974" s="234"/>
      <c r="J974" s="239"/>
      <c r="K974" s="240"/>
      <c r="L974" s="241"/>
    </row>
    <row r="975" spans="2:12" ht="12.5" x14ac:dyDescent="0.25">
      <c r="B975" s="232"/>
      <c r="C975" s="233"/>
      <c r="D975" s="234"/>
      <c r="E975" s="235"/>
      <c r="F975" s="236"/>
      <c r="G975" s="237"/>
      <c r="H975" s="238"/>
      <c r="I975" s="234"/>
      <c r="J975" s="239"/>
      <c r="K975" s="240"/>
      <c r="L975" s="241"/>
    </row>
    <row r="976" spans="2:12" ht="12.5" x14ac:dyDescent="0.25">
      <c r="B976" s="232"/>
      <c r="C976" s="233"/>
      <c r="D976" s="234"/>
      <c r="E976" s="235"/>
      <c r="F976" s="236"/>
      <c r="G976" s="237"/>
      <c r="H976" s="238"/>
      <c r="I976" s="234"/>
      <c r="J976" s="239"/>
      <c r="K976" s="240"/>
      <c r="L976" s="241"/>
    </row>
    <row r="977" spans="2:12" ht="12.5" x14ac:dyDescent="0.25">
      <c r="B977" s="232"/>
      <c r="C977" s="233"/>
      <c r="D977" s="234"/>
      <c r="E977" s="235"/>
      <c r="F977" s="236"/>
      <c r="G977" s="237"/>
      <c r="H977" s="238"/>
      <c r="I977" s="234"/>
      <c r="J977" s="239"/>
      <c r="K977" s="240"/>
      <c r="L977" s="241"/>
    </row>
    <row r="978" spans="2:12" ht="12.5" x14ac:dyDescent="0.25">
      <c r="B978" s="232"/>
      <c r="C978" s="233"/>
      <c r="D978" s="234"/>
      <c r="E978" s="235"/>
      <c r="F978" s="236"/>
      <c r="G978" s="237"/>
      <c r="H978" s="238"/>
      <c r="I978" s="234"/>
      <c r="J978" s="239"/>
      <c r="K978" s="240"/>
      <c r="L978" s="241"/>
    </row>
    <row r="979" spans="2:12" ht="12.5" x14ac:dyDescent="0.25">
      <c r="B979" s="232"/>
      <c r="C979" s="233"/>
      <c r="D979" s="234"/>
      <c r="E979" s="235"/>
      <c r="F979" s="236"/>
      <c r="G979" s="237"/>
      <c r="H979" s="238"/>
      <c r="I979" s="234"/>
      <c r="J979" s="239"/>
      <c r="K979" s="240"/>
      <c r="L979" s="241"/>
    </row>
    <row r="980" spans="2:12" ht="12.5" x14ac:dyDescent="0.25">
      <c r="B980" s="232"/>
      <c r="C980" s="233"/>
      <c r="D980" s="234"/>
      <c r="E980" s="235"/>
      <c r="F980" s="236"/>
      <c r="G980" s="237"/>
      <c r="H980" s="238"/>
      <c r="I980" s="234"/>
      <c r="J980" s="239"/>
      <c r="K980" s="240"/>
      <c r="L980" s="241"/>
    </row>
    <row r="981" spans="2:12" ht="12.5" x14ac:dyDescent="0.25">
      <c r="B981" s="232"/>
      <c r="C981" s="233"/>
      <c r="D981" s="234"/>
      <c r="E981" s="235"/>
      <c r="F981" s="236"/>
      <c r="G981" s="237"/>
      <c r="H981" s="238"/>
      <c r="I981" s="234"/>
      <c r="J981" s="239"/>
      <c r="K981" s="240"/>
      <c r="L981" s="241"/>
    </row>
    <row r="982" spans="2:12" ht="12.5" x14ac:dyDescent="0.25">
      <c r="B982" s="232"/>
      <c r="C982" s="233"/>
      <c r="D982" s="234"/>
      <c r="E982" s="235"/>
      <c r="F982" s="236"/>
      <c r="G982" s="237"/>
      <c r="H982" s="238"/>
      <c r="I982" s="234"/>
      <c r="J982" s="239"/>
      <c r="K982" s="240"/>
      <c r="L982" s="241"/>
    </row>
    <row r="983" spans="2:12" ht="12.5" x14ac:dyDescent="0.25">
      <c r="B983" s="232"/>
      <c r="C983" s="233"/>
      <c r="D983" s="234"/>
      <c r="E983" s="235"/>
      <c r="F983" s="236"/>
      <c r="G983" s="237"/>
      <c r="H983" s="238"/>
      <c r="I983" s="234"/>
      <c r="J983" s="239"/>
      <c r="K983" s="240"/>
      <c r="L983" s="241"/>
    </row>
    <row r="984" spans="2:12" ht="12.5" x14ac:dyDescent="0.25">
      <c r="B984" s="232"/>
      <c r="C984" s="233"/>
      <c r="D984" s="234"/>
      <c r="E984" s="235"/>
      <c r="F984" s="236"/>
      <c r="G984" s="237"/>
      <c r="H984" s="238"/>
      <c r="I984" s="234"/>
      <c r="J984" s="239"/>
      <c r="K984" s="240"/>
      <c r="L984" s="241"/>
    </row>
    <row r="985" spans="2:12" ht="12.5" x14ac:dyDescent="0.25">
      <c r="B985" s="232"/>
      <c r="C985" s="233"/>
      <c r="D985" s="234"/>
      <c r="E985" s="235"/>
      <c r="F985" s="236"/>
      <c r="G985" s="237"/>
      <c r="H985" s="238"/>
      <c r="I985" s="234"/>
      <c r="J985" s="239"/>
      <c r="K985" s="240"/>
      <c r="L985" s="241"/>
    </row>
    <row r="986" spans="2:12" ht="12.5" x14ac:dyDescent="0.25">
      <c r="B986" s="232"/>
      <c r="C986" s="233"/>
      <c r="D986" s="234"/>
      <c r="E986" s="235"/>
      <c r="F986" s="236"/>
      <c r="G986" s="237"/>
      <c r="H986" s="238"/>
      <c r="I986" s="234"/>
      <c r="J986" s="239"/>
      <c r="K986" s="240"/>
      <c r="L986" s="241"/>
    </row>
    <row r="987" spans="2:12" ht="12.5" x14ac:dyDescent="0.25">
      <c r="B987" s="232"/>
      <c r="C987" s="233"/>
      <c r="D987" s="234"/>
      <c r="E987" s="235"/>
      <c r="F987" s="236"/>
      <c r="G987" s="237"/>
      <c r="H987" s="238"/>
      <c r="I987" s="234"/>
      <c r="J987" s="239"/>
      <c r="K987" s="240"/>
      <c r="L987" s="241"/>
    </row>
    <row r="988" spans="2:12" ht="12.5" x14ac:dyDescent="0.25">
      <c r="B988" s="232"/>
      <c r="C988" s="233"/>
      <c r="D988" s="234"/>
      <c r="E988" s="235"/>
      <c r="F988" s="236"/>
      <c r="G988" s="237"/>
      <c r="H988" s="238"/>
      <c r="I988" s="234"/>
      <c r="J988" s="239"/>
      <c r="K988" s="240"/>
      <c r="L988" s="241"/>
    </row>
    <row r="989" spans="2:12" ht="12.5" x14ac:dyDescent="0.25">
      <c r="B989" s="232"/>
      <c r="C989" s="233"/>
      <c r="D989" s="234"/>
      <c r="E989" s="235"/>
      <c r="F989" s="236"/>
      <c r="G989" s="237"/>
      <c r="H989" s="238"/>
      <c r="I989" s="234"/>
      <c r="J989" s="239"/>
      <c r="K989" s="240"/>
      <c r="L989" s="241"/>
    </row>
    <row r="990" spans="2:12" ht="12.5" x14ac:dyDescent="0.25">
      <c r="B990" s="232"/>
      <c r="C990" s="233"/>
      <c r="D990" s="234"/>
      <c r="E990" s="235"/>
      <c r="F990" s="236"/>
      <c r="G990" s="237"/>
      <c r="H990" s="238"/>
      <c r="I990" s="234"/>
      <c r="J990" s="239"/>
      <c r="K990" s="240"/>
      <c r="L990" s="241"/>
    </row>
    <row r="991" spans="2:12" ht="12.5" x14ac:dyDescent="0.25">
      <c r="B991" s="232"/>
      <c r="C991" s="233"/>
      <c r="D991" s="234"/>
      <c r="E991" s="235"/>
      <c r="F991" s="236"/>
      <c r="G991" s="237"/>
      <c r="H991" s="238"/>
      <c r="I991" s="234"/>
      <c r="J991" s="239"/>
      <c r="K991" s="240"/>
      <c r="L991" s="241"/>
    </row>
    <row r="992" spans="2:12" ht="12.5" x14ac:dyDescent="0.25">
      <c r="B992" s="232"/>
      <c r="C992" s="233"/>
      <c r="D992" s="234"/>
      <c r="E992" s="235"/>
      <c r="F992" s="236"/>
      <c r="G992" s="237"/>
      <c r="H992" s="238"/>
      <c r="I992" s="234"/>
      <c r="J992" s="239"/>
      <c r="K992" s="240"/>
      <c r="L992" s="241"/>
    </row>
    <row r="993" spans="2:12" ht="12.5" x14ac:dyDescent="0.25">
      <c r="B993" s="232"/>
      <c r="C993" s="233"/>
      <c r="D993" s="234"/>
      <c r="E993" s="235"/>
      <c r="F993" s="236"/>
      <c r="G993" s="237"/>
      <c r="H993" s="238"/>
      <c r="I993" s="234"/>
      <c r="J993" s="239"/>
      <c r="K993" s="240"/>
      <c r="L993" s="241"/>
    </row>
    <row r="994" spans="2:12" ht="12.5" x14ac:dyDescent="0.25">
      <c r="B994" s="232"/>
      <c r="C994" s="233"/>
      <c r="D994" s="234"/>
      <c r="E994" s="235"/>
      <c r="F994" s="236"/>
      <c r="G994" s="237"/>
      <c r="H994" s="238"/>
      <c r="I994" s="234"/>
      <c r="J994" s="239"/>
      <c r="K994" s="240"/>
      <c r="L994" s="241"/>
    </row>
    <row r="995" spans="2:12" ht="12.5" x14ac:dyDescent="0.25">
      <c r="B995" s="232"/>
      <c r="C995" s="233"/>
      <c r="D995" s="234"/>
      <c r="E995" s="235"/>
      <c r="F995" s="236"/>
      <c r="G995" s="237"/>
      <c r="H995" s="238"/>
      <c r="I995" s="234"/>
      <c r="J995" s="239"/>
      <c r="K995" s="240"/>
      <c r="L995" s="241"/>
    </row>
    <row r="996" spans="2:12" ht="12.5" x14ac:dyDescent="0.25">
      <c r="B996" s="232"/>
      <c r="C996" s="233"/>
      <c r="D996" s="234"/>
      <c r="E996" s="235"/>
      <c r="F996" s="236"/>
      <c r="G996" s="237"/>
      <c r="H996" s="238"/>
      <c r="I996" s="234"/>
      <c r="J996" s="239"/>
      <c r="K996" s="240"/>
      <c r="L996" s="241"/>
    </row>
    <row r="997" spans="2:12" ht="12.5" x14ac:dyDescent="0.25">
      <c r="B997" s="232"/>
      <c r="C997" s="233"/>
      <c r="D997" s="234"/>
      <c r="E997" s="235"/>
      <c r="F997" s="236"/>
      <c r="G997" s="237"/>
      <c r="H997" s="238"/>
      <c r="I997" s="234"/>
      <c r="J997" s="239"/>
      <c r="K997" s="240"/>
      <c r="L997" s="241"/>
    </row>
    <row r="998" spans="2:12" ht="12.5" x14ac:dyDescent="0.25">
      <c r="B998" s="232"/>
      <c r="C998" s="233"/>
      <c r="D998" s="234"/>
      <c r="E998" s="235"/>
      <c r="F998" s="236"/>
      <c r="G998" s="237"/>
      <c r="H998" s="238"/>
      <c r="I998" s="234"/>
      <c r="J998" s="239"/>
      <c r="K998" s="240"/>
      <c r="L998" s="241"/>
    </row>
    <row r="999" spans="2:12" ht="12.5" x14ac:dyDescent="0.25">
      <c r="B999" s="232"/>
      <c r="C999" s="233"/>
      <c r="D999" s="234"/>
      <c r="E999" s="235"/>
      <c r="F999" s="236"/>
      <c r="G999" s="237"/>
      <c r="H999" s="238"/>
      <c r="I999" s="234"/>
      <c r="J999" s="239"/>
      <c r="K999" s="240"/>
      <c r="L999" s="241"/>
    </row>
    <row r="1000" spans="2:12" ht="12.5" x14ac:dyDescent="0.25">
      <c r="B1000" s="232"/>
      <c r="C1000" s="233"/>
      <c r="D1000" s="234"/>
      <c r="E1000" s="235"/>
      <c r="F1000" s="236"/>
      <c r="G1000" s="237"/>
      <c r="H1000" s="238"/>
      <c r="I1000" s="234"/>
      <c r="J1000" s="239"/>
      <c r="K1000" s="240"/>
      <c r="L1000" s="241"/>
    </row>
    <row r="1001" spans="2:12" ht="12.5" x14ac:dyDescent="0.25">
      <c r="B1001" s="232"/>
      <c r="C1001" s="233"/>
      <c r="D1001" s="234"/>
      <c r="E1001" s="235"/>
      <c r="F1001" s="236"/>
      <c r="G1001" s="237"/>
      <c r="H1001" s="238"/>
      <c r="I1001" s="234"/>
      <c r="J1001" s="239"/>
      <c r="K1001" s="240"/>
      <c r="L1001" s="241"/>
    </row>
    <row r="1002" spans="2:12" ht="12.5" x14ac:dyDescent="0.25">
      <c r="B1002" s="232"/>
      <c r="C1002" s="233"/>
      <c r="D1002" s="234"/>
      <c r="E1002" s="235"/>
      <c r="F1002" s="236"/>
      <c r="G1002" s="237"/>
      <c r="H1002" s="238"/>
      <c r="I1002" s="234"/>
      <c r="J1002" s="239"/>
      <c r="K1002" s="240"/>
      <c r="L1002" s="241"/>
    </row>
    <row r="1003" spans="2:12" ht="12.5" x14ac:dyDescent="0.25">
      <c r="B1003" s="232"/>
      <c r="C1003" s="233"/>
      <c r="D1003" s="234"/>
      <c r="E1003" s="235"/>
      <c r="F1003" s="236"/>
      <c r="G1003" s="237"/>
      <c r="H1003" s="238"/>
      <c r="I1003" s="234"/>
      <c r="J1003" s="239"/>
      <c r="K1003" s="240"/>
      <c r="L1003" s="241"/>
    </row>
    <row r="1004" spans="2:12" ht="12.5" x14ac:dyDescent="0.25">
      <c r="B1004" s="232"/>
      <c r="C1004" s="233"/>
      <c r="D1004" s="234"/>
      <c r="E1004" s="235"/>
      <c r="F1004" s="236"/>
      <c r="G1004" s="237"/>
      <c r="H1004" s="238"/>
      <c r="I1004" s="234"/>
      <c r="J1004" s="239"/>
      <c r="K1004" s="240"/>
      <c r="L1004" s="241"/>
    </row>
    <row r="1005" spans="2:12" ht="12.5" x14ac:dyDescent="0.25">
      <c r="B1005" s="232"/>
      <c r="C1005" s="233"/>
      <c r="D1005" s="234"/>
      <c r="E1005" s="235"/>
      <c r="F1005" s="236"/>
      <c r="G1005" s="237"/>
      <c r="H1005" s="238"/>
      <c r="I1005" s="234"/>
      <c r="J1005" s="239"/>
      <c r="K1005" s="240"/>
      <c r="L1005" s="241"/>
    </row>
    <row r="1006" spans="2:12" ht="12.5" x14ac:dyDescent="0.25">
      <c r="B1006" s="232"/>
      <c r="C1006" s="233"/>
      <c r="D1006" s="234"/>
      <c r="E1006" s="235"/>
      <c r="F1006" s="236"/>
      <c r="G1006" s="237"/>
      <c r="H1006" s="238"/>
      <c r="I1006" s="234"/>
      <c r="J1006" s="239"/>
      <c r="K1006" s="240"/>
      <c r="L1006" s="241"/>
    </row>
    <row r="1007" spans="2:12" ht="12.5" x14ac:dyDescent="0.25">
      <c r="B1007" s="232"/>
      <c r="C1007" s="233"/>
      <c r="D1007" s="234"/>
      <c r="E1007" s="235"/>
      <c r="F1007" s="236"/>
      <c r="G1007" s="237"/>
      <c r="H1007" s="238"/>
      <c r="I1007" s="234"/>
      <c r="J1007" s="239"/>
      <c r="K1007" s="240"/>
      <c r="L1007" s="241"/>
    </row>
    <row r="1008" spans="2:12" ht="12.5" x14ac:dyDescent="0.25">
      <c r="B1008" s="232"/>
      <c r="C1008" s="233"/>
      <c r="D1008" s="234"/>
      <c r="E1008" s="235"/>
      <c r="F1008" s="236"/>
      <c r="G1008" s="237"/>
      <c r="H1008" s="238"/>
      <c r="I1008" s="234"/>
      <c r="J1008" s="239"/>
      <c r="K1008" s="240"/>
      <c r="L1008" s="241"/>
    </row>
    <row r="1009" spans="2:12" ht="12.5" x14ac:dyDescent="0.25">
      <c r="B1009" s="232"/>
      <c r="C1009" s="233"/>
      <c r="D1009" s="234"/>
      <c r="E1009" s="235"/>
      <c r="F1009" s="236"/>
      <c r="G1009" s="237"/>
      <c r="H1009" s="238"/>
      <c r="I1009" s="234"/>
      <c r="J1009" s="239"/>
      <c r="K1009" s="240"/>
      <c r="L1009" s="241"/>
    </row>
    <row r="1010" spans="2:12" ht="12.5" x14ac:dyDescent="0.25">
      <c r="B1010" s="232"/>
      <c r="C1010" s="233"/>
      <c r="D1010" s="234"/>
      <c r="E1010" s="235"/>
      <c r="F1010" s="236"/>
      <c r="G1010" s="237"/>
      <c r="H1010" s="238"/>
      <c r="I1010" s="234"/>
      <c r="J1010" s="239"/>
      <c r="K1010" s="240"/>
      <c r="L1010" s="241"/>
    </row>
    <row r="1011" spans="2:12" ht="12.5" x14ac:dyDescent="0.25">
      <c r="B1011" s="232"/>
      <c r="C1011" s="233"/>
      <c r="D1011" s="234"/>
      <c r="E1011" s="235"/>
      <c r="F1011" s="236"/>
      <c r="G1011" s="237"/>
      <c r="H1011" s="238"/>
      <c r="I1011" s="234"/>
      <c r="J1011" s="239"/>
      <c r="K1011" s="240"/>
      <c r="L1011" s="241"/>
    </row>
    <row r="1012" spans="2:12" ht="12.5" x14ac:dyDescent="0.25">
      <c r="B1012" s="232"/>
      <c r="C1012" s="233"/>
      <c r="D1012" s="234"/>
      <c r="E1012" s="235"/>
      <c r="F1012" s="236"/>
      <c r="G1012" s="237"/>
      <c r="H1012" s="238"/>
      <c r="I1012" s="234"/>
      <c r="J1012" s="239"/>
      <c r="K1012" s="240"/>
      <c r="L1012" s="241"/>
    </row>
    <row r="1013" spans="2:12" ht="12.5" x14ac:dyDescent="0.25">
      <c r="B1013" s="232"/>
      <c r="C1013" s="233"/>
      <c r="D1013" s="234"/>
      <c r="E1013" s="235"/>
      <c r="F1013" s="236"/>
      <c r="G1013" s="237"/>
      <c r="H1013" s="238"/>
      <c r="I1013" s="234"/>
      <c r="J1013" s="239"/>
      <c r="K1013" s="240"/>
      <c r="L1013" s="241"/>
    </row>
    <row r="1014" spans="2:12" ht="12.5" x14ac:dyDescent="0.25">
      <c r="B1014" s="232"/>
      <c r="C1014" s="233"/>
      <c r="D1014" s="234"/>
      <c r="E1014" s="235"/>
      <c r="F1014" s="236"/>
      <c r="G1014" s="237"/>
      <c r="H1014" s="238"/>
      <c r="I1014" s="234"/>
      <c r="J1014" s="239"/>
      <c r="K1014" s="240"/>
      <c r="L1014" s="241"/>
    </row>
    <row r="1015" spans="2:12" ht="12.5" x14ac:dyDescent="0.25">
      <c r="B1015" s="232"/>
      <c r="C1015" s="233"/>
      <c r="D1015" s="234"/>
      <c r="E1015" s="235"/>
      <c r="F1015" s="236"/>
      <c r="G1015" s="237"/>
      <c r="H1015" s="238"/>
      <c r="I1015" s="234"/>
      <c r="J1015" s="239"/>
      <c r="K1015" s="240"/>
      <c r="L1015" s="241"/>
    </row>
    <row r="1016" spans="2:12" ht="12.5" x14ac:dyDescent="0.25">
      <c r="B1016" s="232"/>
      <c r="C1016" s="233"/>
      <c r="D1016" s="234"/>
      <c r="E1016" s="235"/>
      <c r="F1016" s="236"/>
      <c r="G1016" s="237"/>
      <c r="H1016" s="238"/>
      <c r="I1016" s="234"/>
      <c r="J1016" s="239"/>
      <c r="K1016" s="240"/>
      <c r="L1016" s="241"/>
    </row>
    <row r="1017" spans="2:12" ht="12.5" x14ac:dyDescent="0.25">
      <c r="B1017" s="232"/>
      <c r="C1017" s="233"/>
      <c r="D1017" s="234"/>
      <c r="E1017" s="235"/>
      <c r="F1017" s="236"/>
      <c r="G1017" s="237"/>
      <c r="H1017" s="238"/>
      <c r="I1017" s="234"/>
      <c r="J1017" s="239"/>
      <c r="K1017" s="240"/>
      <c r="L1017" s="241"/>
    </row>
    <row r="1018" spans="2:12" ht="12.5" x14ac:dyDescent="0.25">
      <c r="B1018" s="232"/>
      <c r="C1018" s="233"/>
      <c r="D1018" s="234"/>
      <c r="E1018" s="235"/>
      <c r="F1018" s="236"/>
      <c r="G1018" s="237"/>
      <c r="H1018" s="238"/>
      <c r="I1018" s="234"/>
      <c r="J1018" s="239"/>
      <c r="K1018" s="240"/>
      <c r="L1018" s="241"/>
    </row>
    <row r="1019" spans="2:12" ht="12.5" x14ac:dyDescent="0.25">
      <c r="B1019" s="232"/>
      <c r="C1019" s="233"/>
      <c r="D1019" s="234"/>
      <c r="E1019" s="235"/>
      <c r="F1019" s="236"/>
      <c r="G1019" s="237"/>
      <c r="H1019" s="238"/>
      <c r="I1019" s="234"/>
      <c r="J1019" s="239"/>
      <c r="K1019" s="240"/>
      <c r="L1019" s="241"/>
    </row>
    <row r="1020" spans="2:12" ht="12.5" x14ac:dyDescent="0.25">
      <c r="B1020" s="232"/>
      <c r="C1020" s="233"/>
      <c r="D1020" s="234"/>
      <c r="E1020" s="235"/>
      <c r="F1020" s="236"/>
      <c r="G1020" s="237"/>
      <c r="H1020" s="238"/>
      <c r="I1020" s="234"/>
      <c r="J1020" s="239"/>
      <c r="K1020" s="240"/>
      <c r="L1020" s="241"/>
    </row>
    <row r="1021" spans="2:12" ht="12.5" x14ac:dyDescent="0.25">
      <c r="B1021" s="232"/>
      <c r="C1021" s="233"/>
      <c r="D1021" s="234"/>
      <c r="E1021" s="235"/>
      <c r="F1021" s="236"/>
      <c r="G1021" s="237"/>
      <c r="H1021" s="238"/>
      <c r="I1021" s="234"/>
      <c r="J1021" s="239"/>
      <c r="K1021" s="240"/>
      <c r="L1021" s="241"/>
    </row>
    <row r="1022" spans="2:12" ht="12.5" x14ac:dyDescent="0.25">
      <c r="B1022" s="232"/>
      <c r="C1022" s="233"/>
      <c r="D1022" s="234"/>
      <c r="E1022" s="235"/>
      <c r="F1022" s="236"/>
      <c r="G1022" s="237"/>
      <c r="H1022" s="238"/>
      <c r="I1022" s="234"/>
      <c r="J1022" s="239"/>
      <c r="K1022" s="240"/>
      <c r="L1022" s="241"/>
    </row>
    <row r="1023" spans="2:12" ht="12.5" x14ac:dyDescent="0.25">
      <c r="B1023" s="232"/>
      <c r="C1023" s="233"/>
      <c r="D1023" s="234"/>
      <c r="E1023" s="235"/>
      <c r="F1023" s="236"/>
      <c r="G1023" s="237"/>
      <c r="H1023" s="238"/>
      <c r="I1023" s="234"/>
      <c r="J1023" s="239"/>
      <c r="K1023" s="240"/>
      <c r="L1023" s="241"/>
    </row>
    <row r="1024" spans="2:12" ht="12.5" x14ac:dyDescent="0.25">
      <c r="B1024" s="232"/>
      <c r="C1024" s="233"/>
      <c r="D1024" s="234"/>
      <c r="E1024" s="235"/>
      <c r="F1024" s="236"/>
      <c r="G1024" s="237"/>
      <c r="H1024" s="238"/>
      <c r="I1024" s="234"/>
      <c r="J1024" s="239"/>
      <c r="K1024" s="240"/>
      <c r="L1024" s="241"/>
    </row>
    <row r="1025" spans="2:12" ht="12.5" x14ac:dyDescent="0.25">
      <c r="B1025" s="232"/>
      <c r="C1025" s="233"/>
      <c r="D1025" s="234"/>
      <c r="E1025" s="235"/>
      <c r="F1025" s="236"/>
      <c r="G1025" s="237"/>
      <c r="H1025" s="238"/>
      <c r="I1025" s="234"/>
      <c r="J1025" s="239"/>
      <c r="K1025" s="240"/>
      <c r="L1025" s="241"/>
    </row>
    <row r="1026" spans="2:12" ht="12.5" x14ac:dyDescent="0.25">
      <c r="B1026" s="232"/>
      <c r="C1026" s="233"/>
      <c r="D1026" s="234"/>
      <c r="E1026" s="235"/>
      <c r="F1026" s="236"/>
      <c r="G1026" s="237"/>
      <c r="H1026" s="238"/>
      <c r="I1026" s="234"/>
      <c r="J1026" s="239"/>
      <c r="K1026" s="240"/>
      <c r="L1026" s="241"/>
    </row>
    <row r="1027" spans="2:12" ht="12.5" x14ac:dyDescent="0.25">
      <c r="B1027" s="232"/>
      <c r="C1027" s="233"/>
      <c r="D1027" s="234"/>
      <c r="E1027" s="235"/>
      <c r="F1027" s="236"/>
      <c r="G1027" s="237"/>
      <c r="H1027" s="238"/>
      <c r="I1027" s="234"/>
      <c r="J1027" s="239"/>
      <c r="K1027" s="240"/>
      <c r="L1027" s="241"/>
    </row>
    <row r="1028" spans="2:12" ht="12.5" x14ac:dyDescent="0.25">
      <c r="B1028" s="232"/>
      <c r="C1028" s="233"/>
      <c r="D1028" s="234"/>
      <c r="E1028" s="235"/>
      <c r="F1028" s="236"/>
      <c r="G1028" s="237"/>
      <c r="H1028" s="238"/>
      <c r="I1028" s="234"/>
      <c r="J1028" s="239"/>
      <c r="K1028" s="240"/>
      <c r="L1028" s="241"/>
    </row>
    <row r="1029" spans="2:12" ht="12.5" x14ac:dyDescent="0.25">
      <c r="B1029" s="232"/>
      <c r="C1029" s="233"/>
      <c r="D1029" s="234"/>
      <c r="E1029" s="235"/>
      <c r="F1029" s="236"/>
      <c r="G1029" s="237"/>
      <c r="H1029" s="238"/>
      <c r="I1029" s="234"/>
      <c r="J1029" s="239"/>
      <c r="K1029" s="240"/>
      <c r="L1029" s="241"/>
    </row>
    <row r="1030" spans="2:12" ht="12.5" x14ac:dyDescent="0.25">
      <c r="B1030" s="232"/>
      <c r="C1030" s="233"/>
      <c r="D1030" s="234"/>
      <c r="E1030" s="235"/>
      <c r="F1030" s="236"/>
      <c r="G1030" s="237"/>
      <c r="H1030" s="238"/>
      <c r="I1030" s="234"/>
      <c r="J1030" s="239"/>
      <c r="K1030" s="240"/>
      <c r="L1030" s="241"/>
    </row>
    <row r="1031" spans="2:12" ht="12.5" x14ac:dyDescent="0.25">
      <c r="B1031" s="232"/>
      <c r="C1031" s="233"/>
      <c r="D1031" s="234"/>
      <c r="E1031" s="235"/>
      <c r="F1031" s="236"/>
      <c r="G1031" s="237"/>
      <c r="H1031" s="238"/>
      <c r="I1031" s="234"/>
      <c r="J1031" s="239"/>
      <c r="K1031" s="240"/>
      <c r="L1031" s="241"/>
    </row>
    <row r="1032" spans="2:12" ht="12.5" x14ac:dyDescent="0.25">
      <c r="B1032" s="232"/>
      <c r="C1032" s="233"/>
      <c r="D1032" s="234"/>
      <c r="E1032" s="235"/>
      <c r="F1032" s="236"/>
      <c r="G1032" s="237"/>
      <c r="H1032" s="238"/>
      <c r="I1032" s="234"/>
      <c r="J1032" s="239"/>
      <c r="K1032" s="240"/>
      <c r="L1032" s="241"/>
    </row>
    <row r="1033" spans="2:12" ht="12.5" x14ac:dyDescent="0.25">
      <c r="B1033" s="232"/>
      <c r="C1033" s="233"/>
      <c r="D1033" s="234"/>
      <c r="E1033" s="235"/>
      <c r="F1033" s="236"/>
      <c r="G1033" s="237"/>
      <c r="H1033" s="238"/>
      <c r="I1033" s="234"/>
      <c r="J1033" s="239"/>
      <c r="K1033" s="240"/>
      <c r="L1033" s="241"/>
    </row>
    <row r="1034" spans="2:12" ht="12.5" x14ac:dyDescent="0.25">
      <c r="B1034" s="232"/>
      <c r="C1034" s="233"/>
      <c r="D1034" s="234"/>
      <c r="E1034" s="235"/>
      <c r="F1034" s="236"/>
      <c r="G1034" s="237"/>
      <c r="H1034" s="238"/>
      <c r="I1034" s="234"/>
      <c r="J1034" s="239"/>
      <c r="K1034" s="240"/>
      <c r="L1034" s="241"/>
    </row>
    <row r="1035" spans="2:12" ht="12.5" x14ac:dyDescent="0.25">
      <c r="B1035" s="232"/>
      <c r="C1035" s="233"/>
      <c r="D1035" s="234"/>
      <c r="E1035" s="235"/>
      <c r="F1035" s="236"/>
      <c r="G1035" s="237"/>
      <c r="H1035" s="238"/>
      <c r="I1035" s="234"/>
      <c r="J1035" s="239"/>
      <c r="K1035" s="240"/>
      <c r="L1035" s="241"/>
    </row>
    <row r="1036" spans="2:12" ht="12.5" x14ac:dyDescent="0.25">
      <c r="B1036" s="232"/>
      <c r="C1036" s="233"/>
      <c r="D1036" s="234"/>
      <c r="E1036" s="235"/>
      <c r="F1036" s="236"/>
      <c r="G1036" s="237"/>
      <c r="H1036" s="238"/>
      <c r="I1036" s="234"/>
      <c r="J1036" s="239"/>
      <c r="K1036" s="240"/>
      <c r="L1036" s="241"/>
    </row>
    <row r="1037" spans="2:12" ht="12.5" x14ac:dyDescent="0.25">
      <c r="B1037" s="232"/>
      <c r="C1037" s="233"/>
      <c r="D1037" s="234"/>
      <c r="E1037" s="235"/>
      <c r="F1037" s="236"/>
      <c r="G1037" s="237"/>
      <c r="H1037" s="238"/>
      <c r="I1037" s="234"/>
      <c r="J1037" s="239"/>
      <c r="K1037" s="240"/>
      <c r="L1037" s="241"/>
    </row>
    <row r="1038" spans="2:12" ht="12.5" x14ac:dyDescent="0.25">
      <c r="B1038" s="232"/>
      <c r="C1038" s="233"/>
      <c r="D1038" s="234"/>
      <c r="E1038" s="235"/>
      <c r="F1038" s="236"/>
      <c r="G1038" s="237"/>
      <c r="H1038" s="238"/>
      <c r="I1038" s="234"/>
      <c r="J1038" s="239"/>
      <c r="K1038" s="240"/>
      <c r="L1038" s="241"/>
    </row>
    <row r="1039" spans="2:12" ht="12.5" x14ac:dyDescent="0.25">
      <c r="B1039" s="232"/>
      <c r="C1039" s="233"/>
      <c r="D1039" s="234"/>
      <c r="E1039" s="235"/>
      <c r="F1039" s="236"/>
      <c r="G1039" s="237"/>
      <c r="H1039" s="238"/>
      <c r="I1039" s="234"/>
      <c r="J1039" s="239"/>
      <c r="K1039" s="240"/>
      <c r="L1039" s="241"/>
    </row>
    <row r="1040" spans="2:12" ht="12.5" x14ac:dyDescent="0.25">
      <c r="B1040" s="232"/>
      <c r="C1040" s="233"/>
      <c r="D1040" s="234"/>
      <c r="E1040" s="235"/>
      <c r="F1040" s="236"/>
      <c r="G1040" s="237"/>
      <c r="H1040" s="238"/>
      <c r="I1040" s="234"/>
      <c r="J1040" s="239"/>
      <c r="K1040" s="240"/>
      <c r="L1040" s="241"/>
    </row>
    <row r="1041" spans="2:12" ht="12.5" x14ac:dyDescent="0.25">
      <c r="B1041" s="232"/>
      <c r="C1041" s="233"/>
      <c r="D1041" s="234"/>
      <c r="E1041" s="235"/>
      <c r="F1041" s="236"/>
      <c r="G1041" s="237"/>
      <c r="H1041" s="238"/>
      <c r="I1041" s="234"/>
      <c r="J1041" s="239"/>
      <c r="K1041" s="240"/>
      <c r="L1041" s="241"/>
    </row>
    <row r="1042" spans="2:12" ht="12.5" x14ac:dyDescent="0.25">
      <c r="B1042" s="232"/>
      <c r="C1042" s="233"/>
      <c r="D1042" s="234"/>
      <c r="E1042" s="235"/>
      <c r="F1042" s="236"/>
      <c r="G1042" s="237"/>
      <c r="H1042" s="238"/>
      <c r="I1042" s="234"/>
      <c r="J1042" s="239"/>
      <c r="K1042" s="240"/>
      <c r="L1042" s="241"/>
    </row>
    <row r="1043" spans="2:12" ht="12.5" x14ac:dyDescent="0.25">
      <c r="B1043" s="232"/>
      <c r="C1043" s="233"/>
      <c r="D1043" s="234"/>
      <c r="E1043" s="235"/>
      <c r="F1043" s="236"/>
      <c r="G1043" s="237"/>
      <c r="H1043" s="238"/>
      <c r="I1043" s="234"/>
      <c r="J1043" s="239"/>
      <c r="K1043" s="240"/>
      <c r="L1043" s="241"/>
    </row>
    <row r="1044" spans="2:12" ht="12.5" x14ac:dyDescent="0.25">
      <c r="B1044" s="232"/>
      <c r="C1044" s="233"/>
      <c r="D1044" s="234"/>
      <c r="E1044" s="235"/>
      <c r="F1044" s="236"/>
      <c r="G1044" s="237"/>
      <c r="H1044" s="238"/>
      <c r="I1044" s="234"/>
      <c r="J1044" s="239"/>
      <c r="K1044" s="240"/>
      <c r="L1044" s="241"/>
    </row>
    <row r="1045" spans="2:12" ht="12.5" x14ac:dyDescent="0.25">
      <c r="B1045" s="232"/>
      <c r="C1045" s="233"/>
      <c r="D1045" s="234"/>
      <c r="E1045" s="235"/>
      <c r="F1045" s="236"/>
      <c r="G1045" s="237"/>
      <c r="H1045" s="238"/>
      <c r="I1045" s="234"/>
      <c r="J1045" s="239"/>
      <c r="K1045" s="240"/>
      <c r="L1045" s="241"/>
    </row>
    <row r="1046" spans="2:12" ht="12.5" x14ac:dyDescent="0.25">
      <c r="B1046" s="232"/>
      <c r="C1046" s="233"/>
      <c r="D1046" s="234"/>
      <c r="E1046" s="235"/>
      <c r="F1046" s="236"/>
      <c r="G1046" s="237"/>
      <c r="H1046" s="238"/>
      <c r="I1046" s="234"/>
      <c r="J1046" s="239"/>
      <c r="K1046" s="240"/>
      <c r="L1046" s="241"/>
    </row>
    <row r="1047" spans="2:12" ht="12.5" x14ac:dyDescent="0.25">
      <c r="B1047" s="232"/>
      <c r="C1047" s="233"/>
      <c r="D1047" s="234"/>
      <c r="E1047" s="235"/>
      <c r="F1047" s="236"/>
      <c r="G1047" s="237"/>
      <c r="H1047" s="238"/>
      <c r="I1047" s="234"/>
      <c r="J1047" s="239"/>
      <c r="K1047" s="240"/>
      <c r="L1047" s="241"/>
    </row>
    <row r="1048" spans="2:12" ht="12.5" x14ac:dyDescent="0.25">
      <c r="B1048" s="232"/>
      <c r="C1048" s="233"/>
      <c r="D1048" s="234"/>
      <c r="E1048" s="235"/>
      <c r="F1048" s="236"/>
      <c r="G1048" s="237"/>
      <c r="H1048" s="238"/>
      <c r="I1048" s="234"/>
      <c r="J1048" s="239"/>
      <c r="K1048" s="240"/>
      <c r="L1048" s="241"/>
    </row>
    <row r="1049" spans="2:12" ht="12.5" x14ac:dyDescent="0.25">
      <c r="B1049" s="232"/>
      <c r="C1049" s="233"/>
      <c r="D1049" s="234"/>
      <c r="E1049" s="235"/>
      <c r="F1049" s="236"/>
      <c r="G1049" s="237"/>
      <c r="H1049" s="238"/>
      <c r="I1049" s="234"/>
      <c r="J1049" s="239"/>
      <c r="K1049" s="240"/>
      <c r="L1049" s="241"/>
    </row>
    <row r="1050" spans="2:12" ht="12.5" x14ac:dyDescent="0.25">
      <c r="B1050" s="232"/>
      <c r="C1050" s="233"/>
      <c r="D1050" s="234"/>
      <c r="E1050" s="235"/>
      <c r="F1050" s="236"/>
      <c r="G1050" s="237"/>
      <c r="H1050" s="238"/>
      <c r="I1050" s="234"/>
      <c r="J1050" s="239"/>
      <c r="K1050" s="240"/>
      <c r="L1050" s="241"/>
    </row>
    <row r="1051" spans="2:12" ht="12.5" x14ac:dyDescent="0.25">
      <c r="B1051" s="232"/>
      <c r="C1051" s="233"/>
      <c r="D1051" s="234"/>
      <c r="E1051" s="235"/>
      <c r="F1051" s="236"/>
      <c r="G1051" s="237"/>
      <c r="H1051" s="238"/>
      <c r="I1051" s="234"/>
      <c r="J1051" s="239"/>
      <c r="K1051" s="240"/>
      <c r="L1051" s="241"/>
    </row>
    <row r="1052" spans="2:12" ht="12.5" x14ac:dyDescent="0.25">
      <c r="B1052" s="232"/>
      <c r="C1052" s="233"/>
      <c r="D1052" s="234"/>
      <c r="E1052" s="235"/>
      <c r="F1052" s="236"/>
      <c r="G1052" s="237"/>
      <c r="H1052" s="238"/>
      <c r="I1052" s="234"/>
      <c r="J1052" s="239"/>
      <c r="K1052" s="240"/>
      <c r="L1052" s="241"/>
    </row>
    <row r="1053" spans="2:12" ht="12.5" x14ac:dyDescent="0.25">
      <c r="B1053" s="232"/>
      <c r="C1053" s="233"/>
      <c r="D1053" s="234"/>
      <c r="E1053" s="235"/>
      <c r="F1053" s="236"/>
      <c r="G1053" s="237"/>
      <c r="H1053" s="238"/>
      <c r="I1053" s="234"/>
      <c r="J1053" s="239"/>
      <c r="K1053" s="240"/>
      <c r="L1053" s="241"/>
    </row>
    <row r="1054" spans="2:12" ht="12.5" x14ac:dyDescent="0.25">
      <c r="B1054" s="232"/>
      <c r="C1054" s="233"/>
      <c r="D1054" s="234"/>
      <c r="E1054" s="235"/>
      <c r="F1054" s="236"/>
      <c r="G1054" s="237"/>
      <c r="H1054" s="238"/>
      <c r="I1054" s="234"/>
      <c r="J1054" s="239"/>
      <c r="K1054" s="240"/>
      <c r="L1054" s="241"/>
    </row>
    <row r="1055" spans="2:12" ht="12.5" x14ac:dyDescent="0.25">
      <c r="B1055" s="232"/>
      <c r="C1055" s="233"/>
      <c r="D1055" s="234"/>
      <c r="E1055" s="235"/>
      <c r="F1055" s="236"/>
      <c r="G1055" s="237"/>
      <c r="H1055" s="238"/>
      <c r="I1055" s="234"/>
      <c r="J1055" s="239"/>
      <c r="K1055" s="240"/>
      <c r="L1055" s="241"/>
    </row>
    <row r="1056" spans="2:12" ht="12.5" x14ac:dyDescent="0.25">
      <c r="B1056" s="232"/>
      <c r="C1056" s="233"/>
      <c r="D1056" s="234"/>
      <c r="E1056" s="235"/>
      <c r="F1056" s="236"/>
      <c r="G1056" s="237"/>
      <c r="H1056" s="238"/>
      <c r="I1056" s="234"/>
      <c r="J1056" s="239"/>
      <c r="K1056" s="240"/>
      <c r="L1056" s="241"/>
    </row>
    <row r="1057" spans="2:12" ht="12.5" x14ac:dyDescent="0.25">
      <c r="B1057" s="232"/>
      <c r="C1057" s="233"/>
      <c r="D1057" s="234"/>
      <c r="E1057" s="235"/>
      <c r="F1057" s="236"/>
      <c r="G1057" s="237"/>
      <c r="H1057" s="238"/>
      <c r="I1057" s="234"/>
      <c r="J1057" s="239"/>
      <c r="K1057" s="240"/>
      <c r="L1057" s="241"/>
    </row>
    <row r="1058" spans="2:12" ht="12.5" x14ac:dyDescent="0.25">
      <c r="B1058" s="232"/>
      <c r="C1058" s="233"/>
      <c r="D1058" s="234"/>
      <c r="E1058" s="235"/>
      <c r="F1058" s="236"/>
      <c r="G1058" s="237"/>
      <c r="H1058" s="238"/>
      <c r="I1058" s="234"/>
      <c r="J1058" s="239"/>
      <c r="K1058" s="240"/>
      <c r="L1058" s="241"/>
    </row>
    <row r="1059" spans="2:12" ht="12.5" x14ac:dyDescent="0.25">
      <c r="B1059" s="232"/>
      <c r="C1059" s="233"/>
      <c r="D1059" s="234"/>
      <c r="E1059" s="235"/>
      <c r="F1059" s="236"/>
      <c r="G1059" s="237"/>
      <c r="H1059" s="238"/>
      <c r="I1059" s="234"/>
      <c r="J1059" s="239"/>
      <c r="K1059" s="240"/>
      <c r="L1059" s="241"/>
    </row>
    <row r="1060" spans="2:12" ht="12.5" x14ac:dyDescent="0.25">
      <c r="B1060" s="232"/>
      <c r="C1060" s="233"/>
      <c r="D1060" s="234"/>
      <c r="E1060" s="235"/>
      <c r="F1060" s="236"/>
      <c r="G1060" s="237"/>
      <c r="H1060" s="238"/>
      <c r="I1060" s="234"/>
      <c r="J1060" s="239"/>
      <c r="K1060" s="240"/>
      <c r="L1060" s="241"/>
    </row>
    <row r="1061" spans="2:12" ht="12.5" x14ac:dyDescent="0.25">
      <c r="B1061" s="232"/>
      <c r="C1061" s="233"/>
      <c r="D1061" s="234"/>
      <c r="E1061" s="235"/>
      <c r="F1061" s="236"/>
      <c r="G1061" s="237"/>
      <c r="H1061" s="238"/>
      <c r="I1061" s="234"/>
      <c r="J1061" s="239"/>
      <c r="K1061" s="240"/>
      <c r="L1061" s="241"/>
    </row>
    <row r="1062" spans="2:12" ht="12.5" x14ac:dyDescent="0.25">
      <c r="B1062" s="232"/>
      <c r="C1062" s="233"/>
      <c r="D1062" s="234"/>
      <c r="E1062" s="235"/>
      <c r="F1062" s="236"/>
      <c r="G1062" s="237"/>
      <c r="H1062" s="238"/>
      <c r="I1062" s="234"/>
      <c r="J1062" s="239"/>
      <c r="K1062" s="240"/>
      <c r="L1062" s="241"/>
    </row>
    <row r="1063" spans="2:12" ht="12.5" x14ac:dyDescent="0.25">
      <c r="B1063" s="232"/>
      <c r="C1063" s="233"/>
      <c r="D1063" s="234"/>
      <c r="E1063" s="235"/>
      <c r="F1063" s="236"/>
      <c r="G1063" s="237"/>
      <c r="H1063" s="238"/>
      <c r="I1063" s="234"/>
      <c r="J1063" s="239"/>
      <c r="K1063" s="240"/>
      <c r="L1063" s="241"/>
    </row>
    <row r="1064" spans="2:12" ht="12.5" x14ac:dyDescent="0.25">
      <c r="B1064" s="232"/>
      <c r="C1064" s="233"/>
      <c r="D1064" s="234"/>
      <c r="E1064" s="235"/>
      <c r="F1064" s="236"/>
      <c r="G1064" s="237"/>
      <c r="H1064" s="238"/>
      <c r="I1064" s="234"/>
      <c r="J1064" s="239"/>
      <c r="K1064" s="240"/>
      <c r="L1064" s="241"/>
    </row>
    <row r="1065" spans="2:12" ht="12.5" x14ac:dyDescent="0.25">
      <c r="B1065" s="232"/>
      <c r="C1065" s="233"/>
      <c r="D1065" s="234"/>
      <c r="E1065" s="235"/>
      <c r="F1065" s="236"/>
      <c r="G1065" s="237"/>
      <c r="H1065" s="238"/>
      <c r="I1065" s="234"/>
      <c r="J1065" s="239"/>
      <c r="K1065" s="240"/>
      <c r="L1065" s="241"/>
    </row>
    <row r="1066" spans="2:12" ht="12.5" x14ac:dyDescent="0.25">
      <c r="B1066" s="232"/>
      <c r="C1066" s="233"/>
      <c r="D1066" s="234"/>
      <c r="E1066" s="235"/>
      <c r="F1066" s="236"/>
      <c r="G1066" s="237"/>
      <c r="H1066" s="238"/>
      <c r="I1066" s="234"/>
      <c r="J1066" s="239"/>
      <c r="K1066" s="240"/>
      <c r="L1066" s="241"/>
    </row>
    <row r="1067" spans="2:12" ht="12.5" x14ac:dyDescent="0.25">
      <c r="B1067" s="232"/>
      <c r="C1067" s="233"/>
      <c r="D1067" s="234"/>
      <c r="E1067" s="235"/>
      <c r="F1067" s="236"/>
      <c r="G1067" s="237"/>
      <c r="H1067" s="238"/>
      <c r="I1067" s="234"/>
      <c r="J1067" s="239"/>
      <c r="K1067" s="240"/>
      <c r="L1067" s="241"/>
    </row>
    <row r="1068" spans="2:12" ht="12.5" x14ac:dyDescent="0.25">
      <c r="B1068" s="232"/>
      <c r="C1068" s="233"/>
      <c r="D1068" s="234"/>
      <c r="E1068" s="235"/>
      <c r="F1068" s="236"/>
      <c r="G1068" s="237"/>
      <c r="H1068" s="238"/>
      <c r="I1068" s="234"/>
      <c r="J1068" s="239"/>
      <c r="K1068" s="240"/>
      <c r="L1068" s="241"/>
    </row>
    <row r="1069" spans="2:12" ht="12.5" x14ac:dyDescent="0.25">
      <c r="B1069" s="232"/>
      <c r="C1069" s="233"/>
      <c r="D1069" s="234"/>
      <c r="E1069" s="235"/>
      <c r="F1069" s="236"/>
      <c r="G1069" s="237"/>
      <c r="H1069" s="238"/>
      <c r="I1069" s="234"/>
      <c r="J1069" s="239"/>
      <c r="K1069" s="240"/>
      <c r="L1069" s="241"/>
    </row>
    <row r="1070" spans="2:12" ht="12.5" x14ac:dyDescent="0.25">
      <c r="B1070" s="232"/>
      <c r="C1070" s="233"/>
      <c r="D1070" s="234"/>
      <c r="E1070" s="235"/>
      <c r="F1070" s="236"/>
      <c r="G1070" s="237"/>
      <c r="H1070" s="238"/>
      <c r="I1070" s="234"/>
      <c r="J1070" s="239"/>
      <c r="K1070" s="240"/>
      <c r="L1070" s="241"/>
    </row>
    <row r="1071" spans="2:12" ht="12.5" x14ac:dyDescent="0.25">
      <c r="B1071" s="232"/>
      <c r="C1071" s="233"/>
      <c r="D1071" s="234"/>
      <c r="E1071" s="235"/>
      <c r="F1071" s="236"/>
      <c r="G1071" s="237"/>
      <c r="H1071" s="238"/>
      <c r="I1071" s="234"/>
      <c r="J1071" s="239"/>
      <c r="K1071" s="240"/>
      <c r="L1071" s="241"/>
    </row>
    <row r="1072" spans="2:12" ht="12.5" x14ac:dyDescent="0.25">
      <c r="B1072" s="232"/>
      <c r="C1072" s="233"/>
      <c r="D1072" s="234"/>
      <c r="E1072" s="235"/>
      <c r="F1072" s="236"/>
      <c r="G1072" s="237"/>
      <c r="H1072" s="238"/>
      <c r="I1072" s="234"/>
      <c r="J1072" s="239"/>
      <c r="K1072" s="240"/>
      <c r="L1072" s="241"/>
    </row>
    <row r="1073" spans="2:12" ht="12.5" x14ac:dyDescent="0.25">
      <c r="B1073" s="232"/>
      <c r="C1073" s="233"/>
      <c r="D1073" s="234"/>
      <c r="E1073" s="235"/>
      <c r="F1073" s="236"/>
      <c r="G1073" s="237"/>
      <c r="H1073" s="238"/>
      <c r="I1073" s="234"/>
      <c r="J1073" s="239"/>
      <c r="K1073" s="240"/>
      <c r="L1073" s="241"/>
    </row>
    <row r="1074" spans="2:12" ht="12.5" x14ac:dyDescent="0.25">
      <c r="B1074" s="232"/>
      <c r="C1074" s="233"/>
      <c r="D1074" s="234"/>
      <c r="E1074" s="235"/>
      <c r="F1074" s="236"/>
      <c r="G1074" s="237"/>
      <c r="H1074" s="238"/>
      <c r="I1074" s="234"/>
      <c r="J1074" s="239"/>
      <c r="K1074" s="240"/>
      <c r="L1074" s="241"/>
    </row>
    <row r="1075" spans="2:12" ht="12.5" x14ac:dyDescent="0.25">
      <c r="B1075" s="232"/>
      <c r="C1075" s="233"/>
      <c r="D1075" s="234"/>
      <c r="E1075" s="235"/>
      <c r="F1075" s="236"/>
      <c r="G1075" s="237"/>
      <c r="H1075" s="238"/>
      <c r="I1075" s="234"/>
      <c r="J1075" s="239"/>
      <c r="K1075" s="240"/>
      <c r="L1075" s="241"/>
    </row>
    <row r="1076" spans="2:12" ht="12.5" x14ac:dyDescent="0.25">
      <c r="B1076" s="232"/>
      <c r="C1076" s="233"/>
      <c r="D1076" s="234"/>
      <c r="E1076" s="235"/>
      <c r="F1076" s="236"/>
      <c r="G1076" s="237"/>
      <c r="H1076" s="238"/>
      <c r="I1076" s="234"/>
      <c r="J1076" s="239"/>
      <c r="K1076" s="240"/>
      <c r="L1076" s="241"/>
    </row>
    <row r="1077" spans="2:12" ht="12.5" x14ac:dyDescent="0.25">
      <c r="B1077" s="232"/>
      <c r="C1077" s="233"/>
      <c r="D1077" s="234"/>
      <c r="E1077" s="235"/>
      <c r="F1077" s="236"/>
      <c r="G1077" s="237"/>
      <c r="H1077" s="238"/>
      <c r="I1077" s="234"/>
      <c r="J1077" s="239"/>
      <c r="K1077" s="240"/>
      <c r="L1077" s="241"/>
    </row>
    <row r="1078" spans="2:12" ht="12.5" x14ac:dyDescent="0.25">
      <c r="B1078" s="232"/>
      <c r="C1078" s="233"/>
      <c r="D1078" s="234"/>
      <c r="E1078" s="235"/>
      <c r="F1078" s="236"/>
      <c r="G1078" s="237"/>
      <c r="H1078" s="238"/>
      <c r="I1078" s="234"/>
      <c r="J1078" s="239"/>
      <c r="K1078" s="240"/>
      <c r="L1078" s="241"/>
    </row>
    <row r="1079" spans="2:12" ht="12.5" x14ac:dyDescent="0.25">
      <c r="B1079" s="232"/>
      <c r="C1079" s="233"/>
      <c r="D1079" s="234"/>
      <c r="E1079" s="235"/>
      <c r="F1079" s="236"/>
      <c r="G1079" s="237"/>
      <c r="H1079" s="238"/>
      <c r="I1079" s="234"/>
      <c r="J1079" s="239"/>
      <c r="K1079" s="240"/>
      <c r="L1079" s="241"/>
    </row>
    <row r="1080" spans="2:12" ht="12.5" x14ac:dyDescent="0.25">
      <c r="B1080" s="232"/>
      <c r="C1080" s="233"/>
      <c r="D1080" s="234"/>
      <c r="E1080" s="235"/>
      <c r="F1080" s="236"/>
      <c r="G1080" s="237"/>
      <c r="H1080" s="238"/>
      <c r="I1080" s="234"/>
      <c r="J1080" s="239"/>
      <c r="K1080" s="240"/>
      <c r="L1080" s="241"/>
    </row>
    <row r="1081" spans="2:12" ht="12.5" x14ac:dyDescent="0.25">
      <c r="B1081" s="232"/>
      <c r="C1081" s="233"/>
      <c r="D1081" s="234"/>
      <c r="E1081" s="235"/>
      <c r="F1081" s="236"/>
      <c r="G1081" s="237"/>
      <c r="H1081" s="238"/>
      <c r="I1081" s="234"/>
      <c r="J1081" s="239"/>
      <c r="K1081" s="240"/>
      <c r="L1081" s="241"/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B2:M327"/>
  <sheetViews>
    <sheetView workbookViewId="0"/>
  </sheetViews>
  <sheetFormatPr baseColWidth="10" defaultColWidth="12.6328125" defaultRowHeight="15.75" customHeight="1" x14ac:dyDescent="0.25"/>
  <sheetData>
    <row r="2" spans="2:13" ht="15.75" customHeight="1" x14ac:dyDescent="0.25">
      <c r="B2" s="1" t="s">
        <v>104</v>
      </c>
      <c r="C2" s="1" t="s">
        <v>182</v>
      </c>
      <c r="D2" s="1"/>
      <c r="E2" s="1"/>
      <c r="F2" s="1" t="s">
        <v>183</v>
      </c>
      <c r="G2" s="1">
        <v>496.2</v>
      </c>
      <c r="H2" s="1"/>
      <c r="I2" s="1" t="s">
        <v>184</v>
      </c>
      <c r="J2" s="1">
        <v>7.5</v>
      </c>
      <c r="K2" s="1"/>
      <c r="L2" s="1" t="s">
        <v>185</v>
      </c>
    </row>
    <row r="3" spans="2:13" ht="15.75" customHeight="1" x14ac:dyDescent="0.25">
      <c r="B3" s="1">
        <v>0</v>
      </c>
      <c r="F3" s="1">
        <v>12.225</v>
      </c>
      <c r="G3" s="1">
        <f>$G$2*F3</f>
        <v>6066.0450000000001</v>
      </c>
      <c r="H3" s="1"/>
      <c r="I3" s="1">
        <v>11.0311</v>
      </c>
      <c r="J3" s="275">
        <f>$J$2*I3</f>
        <v>82.733249999999998</v>
      </c>
    </row>
    <row r="4" spans="2:13" ht="15.75" customHeight="1" x14ac:dyDescent="0.25">
      <c r="B4" s="275">
        <f t="shared" ref="B4:D4" si="0">(B3+B5)/2</f>
        <v>0.5</v>
      </c>
      <c r="C4" s="275">
        <f t="shared" si="0"/>
        <v>0</v>
      </c>
      <c r="D4" s="275">
        <f t="shared" si="0"/>
        <v>0</v>
      </c>
      <c r="F4" s="275">
        <f t="shared" ref="F4:G4" si="1">(F3+F5)/2</f>
        <v>12.21895</v>
      </c>
      <c r="G4" s="275">
        <f t="shared" si="1"/>
        <v>6063.0429899999999</v>
      </c>
      <c r="H4" s="1"/>
      <c r="I4" s="275">
        <f t="shared" ref="I4:J4" si="2">(I3+I5)/2</f>
        <v>11.013400000000001</v>
      </c>
      <c r="J4" s="275">
        <f t="shared" si="2"/>
        <v>82.600499999999997</v>
      </c>
      <c r="L4" s="275">
        <f t="shared" ref="L4:M4" si="3">(L3+L5)/2</f>
        <v>0</v>
      </c>
      <c r="M4" s="275">
        <f t="shared" si="3"/>
        <v>0</v>
      </c>
    </row>
    <row r="5" spans="2:13" ht="15.75" customHeight="1" x14ac:dyDescent="0.25">
      <c r="B5" s="275">
        <f>B3+1</f>
        <v>1</v>
      </c>
      <c r="F5" s="1">
        <v>12.212899999999999</v>
      </c>
      <c r="G5" s="1">
        <f>$G$2*F5</f>
        <v>6060.0409799999998</v>
      </c>
      <c r="H5" s="1"/>
      <c r="I5" s="1">
        <v>10.995699999999999</v>
      </c>
      <c r="J5" s="275">
        <f>$J$2*I5</f>
        <v>82.467749999999995</v>
      </c>
    </row>
    <row r="6" spans="2:13" ht="15.75" customHeight="1" x14ac:dyDescent="0.25">
      <c r="B6" s="275">
        <f t="shared" ref="B6:D6" si="4">(B5+B7)/2</f>
        <v>1.5</v>
      </c>
      <c r="C6" s="275">
        <f t="shared" si="4"/>
        <v>0</v>
      </c>
      <c r="D6" s="275">
        <f t="shared" si="4"/>
        <v>0</v>
      </c>
      <c r="F6" s="275">
        <f t="shared" ref="F6:G6" si="5">(F5+F7)/2</f>
        <v>12.19455</v>
      </c>
      <c r="G6" s="275">
        <f t="shared" si="5"/>
        <v>6050.9357099999997</v>
      </c>
      <c r="H6" s="1"/>
      <c r="I6" s="275">
        <f t="shared" ref="I6:J6" si="6">(I5+I7)/2</f>
        <v>10.9415</v>
      </c>
      <c r="J6" s="275">
        <f t="shared" si="6"/>
        <v>82.061250000000001</v>
      </c>
      <c r="L6" s="275">
        <f t="shared" ref="L6:M6" si="7">(L5+L7)/2</f>
        <v>0</v>
      </c>
      <c r="M6" s="275">
        <f t="shared" si="7"/>
        <v>0</v>
      </c>
    </row>
    <row r="7" spans="2:13" ht="15.75" customHeight="1" x14ac:dyDescent="0.25">
      <c r="B7" s="275">
        <f>B5+1</f>
        <v>2</v>
      </c>
      <c r="F7" s="1">
        <v>12.1762</v>
      </c>
      <c r="G7" s="1">
        <f>$G$2*F7</f>
        <v>6041.8304399999997</v>
      </c>
      <c r="H7" s="1"/>
      <c r="I7" s="1">
        <v>10.8873</v>
      </c>
      <c r="J7" s="275">
        <f>$J$2*I7</f>
        <v>81.654749999999993</v>
      </c>
    </row>
    <row r="8" spans="2:13" ht="15.75" customHeight="1" x14ac:dyDescent="0.25">
      <c r="B8" s="275">
        <f t="shared" ref="B8:D8" si="8">(B7+B9)/2</f>
        <v>2.5</v>
      </c>
      <c r="C8" s="275">
        <f t="shared" si="8"/>
        <v>0</v>
      </c>
      <c r="D8" s="275">
        <f t="shared" si="8"/>
        <v>0</v>
      </c>
      <c r="F8" s="275">
        <f t="shared" ref="F8:G8" si="9">(F7+F9)/2</f>
        <v>12.144600000000001</v>
      </c>
      <c r="G8" s="275">
        <f t="shared" si="9"/>
        <v>6026.1505199999992</v>
      </c>
      <c r="H8" s="1"/>
      <c r="I8" s="275">
        <f t="shared" ref="I8:J8" si="10">(I7+I9)/2</f>
        <v>10.793749999999999</v>
      </c>
      <c r="J8" s="275">
        <f t="shared" si="10"/>
        <v>80.953125</v>
      </c>
      <c r="L8" s="275">
        <f t="shared" ref="L8:M8" si="11">(L7+L9)/2</f>
        <v>0</v>
      </c>
      <c r="M8" s="275">
        <f t="shared" si="11"/>
        <v>0</v>
      </c>
    </row>
    <row r="9" spans="2:13" ht="15.75" customHeight="1" x14ac:dyDescent="0.25">
      <c r="B9" s="275">
        <f>B7+1</f>
        <v>3</v>
      </c>
      <c r="F9" s="1">
        <v>12.113</v>
      </c>
      <c r="G9" s="1">
        <f>$G$2*F9</f>
        <v>6010.4705999999996</v>
      </c>
      <c r="H9" s="1"/>
      <c r="I9" s="1">
        <v>10.700200000000001</v>
      </c>
      <c r="J9" s="275">
        <f>$J$2*I9</f>
        <v>80.251500000000007</v>
      </c>
    </row>
    <row r="10" spans="2:13" ht="15.75" customHeight="1" x14ac:dyDescent="0.25">
      <c r="B10" s="275">
        <f t="shared" ref="B10:D10" si="12">(B9+B11)/2</f>
        <v>3.5</v>
      </c>
      <c r="C10" s="275">
        <f t="shared" si="12"/>
        <v>0</v>
      </c>
      <c r="D10" s="275">
        <f t="shared" si="12"/>
        <v>0</v>
      </c>
      <c r="F10" s="275">
        <f t="shared" ref="F10:G10" si="13">(F9+F11)/2</f>
        <v>12.066700000000001</v>
      </c>
      <c r="G10" s="275">
        <f t="shared" si="13"/>
        <v>5987.4965400000001</v>
      </c>
      <c r="H10" s="1"/>
      <c r="I10" s="275">
        <f t="shared" ref="I10:J10" si="14">(I9+I11)/2</f>
        <v>10.5625</v>
      </c>
      <c r="J10" s="275">
        <f t="shared" si="14"/>
        <v>79.21875</v>
      </c>
      <c r="L10" s="275">
        <f t="shared" ref="L10:M10" si="15">(L9+L11)/2</f>
        <v>0</v>
      </c>
      <c r="M10" s="275">
        <f t="shared" si="15"/>
        <v>0</v>
      </c>
    </row>
    <row r="11" spans="2:13" ht="15.75" customHeight="1" x14ac:dyDescent="0.25">
      <c r="B11" s="275">
        <f>B9+1</f>
        <v>4</v>
      </c>
      <c r="F11" s="1">
        <v>12.0204</v>
      </c>
      <c r="G11" s="1">
        <f>$G$2*F11</f>
        <v>5964.5224799999996</v>
      </c>
      <c r="H11" s="1"/>
      <c r="I11" s="1">
        <v>10.424799999999999</v>
      </c>
      <c r="J11" s="275">
        <f>$J$2*I11</f>
        <v>78.185999999999993</v>
      </c>
    </row>
    <row r="12" spans="2:13" ht="15.75" customHeight="1" x14ac:dyDescent="0.25">
      <c r="B12" s="275">
        <f t="shared" ref="B12:D12" si="16">(B11+B13)/2</f>
        <v>4.5</v>
      </c>
      <c r="C12" s="275">
        <f t="shared" si="16"/>
        <v>0</v>
      </c>
      <c r="D12" s="275">
        <f t="shared" si="16"/>
        <v>0</v>
      </c>
      <c r="F12" s="275">
        <f t="shared" ref="F12:G12" si="17">(F11+F13)/2</f>
        <v>11.95715</v>
      </c>
      <c r="G12" s="275">
        <f t="shared" si="17"/>
        <v>5933.1378299999997</v>
      </c>
      <c r="H12" s="1"/>
      <c r="I12" s="275">
        <f t="shared" ref="I12:J12" si="18">(I11+I13)/2</f>
        <v>10.2364</v>
      </c>
      <c r="J12" s="275">
        <f t="shared" si="18"/>
        <v>76.772999999999996</v>
      </c>
      <c r="L12" s="275">
        <f t="shared" ref="L12:M12" si="19">(L11+L13)/2</f>
        <v>0</v>
      </c>
      <c r="M12" s="275">
        <f t="shared" si="19"/>
        <v>0</v>
      </c>
    </row>
    <row r="13" spans="2:13" ht="15.75" customHeight="1" x14ac:dyDescent="0.25">
      <c r="B13" s="275">
        <f>B11+1</f>
        <v>5</v>
      </c>
      <c r="F13" s="1">
        <v>11.8939</v>
      </c>
      <c r="G13" s="1">
        <f>$G$2*F13</f>
        <v>5901.7531799999997</v>
      </c>
      <c r="H13" s="1"/>
      <c r="I13" s="1">
        <v>10.048</v>
      </c>
      <c r="J13" s="275">
        <f>$J$2*I13</f>
        <v>75.36</v>
      </c>
    </row>
    <row r="14" spans="2:13" ht="15.75" customHeight="1" x14ac:dyDescent="0.25">
      <c r="B14" s="275">
        <f t="shared" ref="B14:D14" si="20">(B13+B15)/2</f>
        <v>5.5</v>
      </c>
      <c r="C14" s="275">
        <f t="shared" si="20"/>
        <v>0</v>
      </c>
      <c r="D14" s="275">
        <f t="shared" si="20"/>
        <v>0</v>
      </c>
      <c r="F14" s="275">
        <f t="shared" ref="F14:G14" si="21">(F13+F15)/2</f>
        <v>11.810449999999999</v>
      </c>
      <c r="G14" s="275">
        <f t="shared" si="21"/>
        <v>5860.3452899999993</v>
      </c>
      <c r="H14" s="1"/>
      <c r="I14" s="275">
        <f t="shared" ref="I14:J14" si="22">(I13+I15)/2</f>
        <v>9.8017000000000003</v>
      </c>
      <c r="J14" s="275">
        <f t="shared" si="22"/>
        <v>73.512750000000011</v>
      </c>
      <c r="L14" s="275">
        <f t="shared" ref="L14:M14" si="23">(L13+L15)/2</f>
        <v>0</v>
      </c>
      <c r="M14" s="275">
        <f t="shared" si="23"/>
        <v>0</v>
      </c>
    </row>
    <row r="15" spans="2:13" ht="15.75" customHeight="1" x14ac:dyDescent="0.25">
      <c r="B15" s="275">
        <f>B13+1</f>
        <v>6</v>
      </c>
      <c r="F15" s="1">
        <v>11.727</v>
      </c>
      <c r="G15" s="1">
        <f>$G$2*F15</f>
        <v>5818.9373999999998</v>
      </c>
      <c r="H15" s="1"/>
      <c r="I15" s="1">
        <v>9.5554000000000006</v>
      </c>
      <c r="J15" s="275">
        <f>$J$2*I15</f>
        <v>71.665500000000009</v>
      </c>
    </row>
    <row r="16" spans="2:13" ht="15.75" customHeight="1" x14ac:dyDescent="0.25">
      <c r="B16" s="275">
        <f t="shared" ref="B16:D16" si="24">(B15+B17)/2</f>
        <v>6.5</v>
      </c>
      <c r="C16" s="275">
        <f t="shared" si="24"/>
        <v>0</v>
      </c>
      <c r="D16" s="275">
        <f t="shared" si="24"/>
        <v>0</v>
      </c>
      <c r="F16" s="275">
        <f t="shared" ref="F16:G16" si="25">(F15+F17)/2</f>
        <v>11.619250000000001</v>
      </c>
      <c r="G16" s="275">
        <f t="shared" si="25"/>
        <v>5765.4718499999999</v>
      </c>
      <c r="H16" s="1"/>
      <c r="I16" s="275">
        <f t="shared" ref="I16:J16" si="26">(I15+I17)/2</f>
        <v>9.2449000000000012</v>
      </c>
      <c r="J16" s="275">
        <f t="shared" si="26"/>
        <v>69.336749999999995</v>
      </c>
      <c r="L16" s="275">
        <f t="shared" ref="L16:M16" si="27">(L15+L17)/2</f>
        <v>0</v>
      </c>
      <c r="M16" s="275">
        <f t="shared" si="27"/>
        <v>0</v>
      </c>
    </row>
    <row r="17" spans="2:13" ht="15.75" customHeight="1" x14ac:dyDescent="0.25">
      <c r="B17" s="275">
        <f>B15+1</f>
        <v>7</v>
      </c>
      <c r="F17" s="1">
        <v>11.5115</v>
      </c>
      <c r="G17" s="1">
        <f>$G$2*F17</f>
        <v>5712.0063</v>
      </c>
      <c r="H17" s="1"/>
      <c r="I17" s="1">
        <v>8.9344000000000001</v>
      </c>
      <c r="J17" s="275">
        <f>$J$2*I17</f>
        <v>67.007999999999996</v>
      </c>
    </row>
    <row r="18" spans="2:13" ht="15.75" customHeight="1" x14ac:dyDescent="0.25">
      <c r="B18" s="275">
        <f t="shared" ref="B18:D18" si="28">(B17+B19)/2</f>
        <v>7.5</v>
      </c>
      <c r="C18" s="275">
        <f t="shared" si="28"/>
        <v>0</v>
      </c>
      <c r="D18" s="275">
        <f t="shared" si="28"/>
        <v>0</v>
      </c>
      <c r="F18" s="275">
        <f t="shared" ref="F18:G18" si="29">(F17+F19)/2</f>
        <v>11.373950000000001</v>
      </c>
      <c r="G18" s="275">
        <f t="shared" si="29"/>
        <v>5643.7539899999992</v>
      </c>
      <c r="H18" s="1"/>
      <c r="I18" s="275">
        <f t="shared" ref="I18:J18" si="30">(I17+I19)/2</f>
        <v>8.558250000000001</v>
      </c>
      <c r="J18" s="275">
        <f t="shared" si="30"/>
        <v>64.186875000000001</v>
      </c>
      <c r="L18" s="275">
        <f t="shared" ref="L18:M18" si="31">(L17+L19)/2</f>
        <v>0</v>
      </c>
      <c r="M18" s="275">
        <f t="shared" si="31"/>
        <v>0</v>
      </c>
    </row>
    <row r="19" spans="2:13" ht="15.75" customHeight="1" x14ac:dyDescent="0.25">
      <c r="B19" s="275">
        <f>B17+1</f>
        <v>8</v>
      </c>
      <c r="F19" s="1">
        <v>11.2364</v>
      </c>
      <c r="G19" s="1">
        <f>$G$2*F19</f>
        <v>5575.5016799999994</v>
      </c>
      <c r="H19" s="1"/>
      <c r="I19" s="1">
        <v>8.1821000000000002</v>
      </c>
      <c r="J19" s="275">
        <f>$J$2*I19</f>
        <v>61.365749999999998</v>
      </c>
    </row>
    <row r="20" spans="2:13" ht="15.75" customHeight="1" x14ac:dyDescent="0.25">
      <c r="B20" s="275">
        <f t="shared" ref="B20:D20" si="32">(B19+B21)/2</f>
        <v>8.5</v>
      </c>
      <c r="C20" s="275">
        <f t="shared" si="32"/>
        <v>0</v>
      </c>
      <c r="D20" s="275">
        <f t="shared" si="32"/>
        <v>0</v>
      </c>
      <c r="F20" s="275">
        <f t="shared" ref="F20:G20" si="33">(F19+F21)/2</f>
        <v>11.062249999999999</v>
      </c>
      <c r="G20" s="275">
        <f t="shared" si="33"/>
        <v>5489.0884499999993</v>
      </c>
      <c r="H20" s="1"/>
      <c r="I20" s="275">
        <f t="shared" ref="I20:J20" si="34">(I19+I21)/2</f>
        <v>7.7487500000000002</v>
      </c>
      <c r="J20" s="275">
        <f t="shared" si="34"/>
        <v>58.115625000000001</v>
      </c>
      <c r="L20" s="275">
        <f t="shared" ref="L20:M20" si="35">(L19+L21)/2</f>
        <v>0</v>
      </c>
      <c r="M20" s="275">
        <f t="shared" si="35"/>
        <v>0</v>
      </c>
    </row>
    <row r="21" spans="2:13" ht="15.75" customHeight="1" x14ac:dyDescent="0.25">
      <c r="B21" s="275">
        <f>B19+1</f>
        <v>9</v>
      </c>
      <c r="F21" s="1">
        <v>10.8881</v>
      </c>
      <c r="G21" s="1">
        <f>$G$2*F21</f>
        <v>5402.6752200000001</v>
      </c>
      <c r="H21" s="1"/>
      <c r="I21" s="1">
        <v>7.3154000000000003</v>
      </c>
      <c r="J21" s="275">
        <f>$J$2*I21</f>
        <v>54.865500000000004</v>
      </c>
    </row>
    <row r="22" spans="2:13" ht="15.75" customHeight="1" x14ac:dyDescent="0.25">
      <c r="B22" s="275">
        <f t="shared" ref="B22:D22" si="36">(B21+B23)/2</f>
        <v>9.5</v>
      </c>
      <c r="C22" s="275">
        <f t="shared" si="36"/>
        <v>0</v>
      </c>
      <c r="D22" s="275">
        <f t="shared" si="36"/>
        <v>0</v>
      </c>
      <c r="F22" s="275">
        <f t="shared" ref="F22:G22" si="37">(F21+F23)/2</f>
        <v>10.669449999999999</v>
      </c>
      <c r="G22" s="275">
        <f t="shared" si="37"/>
        <v>5294.18109</v>
      </c>
      <c r="H22" s="1"/>
      <c r="I22" s="275">
        <f t="shared" ref="I22:J22" si="38">(I21+I23)/2</f>
        <v>6.8468499999999999</v>
      </c>
      <c r="J22" s="275">
        <f t="shared" si="38"/>
        <v>51.351375000000004</v>
      </c>
      <c r="L22" s="275">
        <f t="shared" ref="L22:M22" si="39">(L21+L23)/2</f>
        <v>0</v>
      </c>
      <c r="M22" s="275">
        <f t="shared" si="39"/>
        <v>0</v>
      </c>
    </row>
    <row r="23" spans="2:13" ht="15.75" customHeight="1" x14ac:dyDescent="0.25">
      <c r="B23" s="275">
        <f>B21+1</f>
        <v>10</v>
      </c>
      <c r="F23" s="1">
        <v>10.450799999999999</v>
      </c>
      <c r="G23" s="1">
        <f>$G$2*F23</f>
        <v>5185.6869599999991</v>
      </c>
      <c r="H23" s="1"/>
      <c r="I23" s="1">
        <v>6.3783000000000003</v>
      </c>
      <c r="J23" s="275">
        <f>$J$2*I23</f>
        <v>47.837250000000004</v>
      </c>
    </row>
    <row r="24" spans="2:13" ht="15.75" customHeight="1" x14ac:dyDescent="0.25">
      <c r="B24" s="275">
        <f t="shared" ref="B24:D24" si="40">(B23+B25)/2</f>
        <v>10.5</v>
      </c>
      <c r="C24" s="275">
        <f t="shared" si="40"/>
        <v>0</v>
      </c>
      <c r="D24" s="275">
        <f t="shared" si="40"/>
        <v>0</v>
      </c>
      <c r="F24" s="275">
        <f t="shared" ref="F24:G24" si="41">(F23+F25)/2</f>
        <v>10.1791</v>
      </c>
      <c r="G24" s="275">
        <f t="shared" si="41"/>
        <v>5050.8694199999991</v>
      </c>
      <c r="H24" s="1"/>
      <c r="I24" s="275">
        <f t="shared" ref="I24:J24" si="42">(I23+I25)/2</f>
        <v>5.9073500000000001</v>
      </c>
      <c r="J24" s="275">
        <f t="shared" si="42"/>
        <v>44.305125000000004</v>
      </c>
      <c r="L24" s="275">
        <f t="shared" ref="L24:M24" si="43">(L23+L25)/2</f>
        <v>0</v>
      </c>
      <c r="M24" s="275">
        <f t="shared" si="43"/>
        <v>0</v>
      </c>
    </row>
    <row r="25" spans="2:13" ht="15.75" customHeight="1" x14ac:dyDescent="0.25">
      <c r="B25" s="275">
        <f>B23+1</f>
        <v>11</v>
      </c>
      <c r="F25" s="1">
        <v>9.9074000000000009</v>
      </c>
      <c r="G25" s="1">
        <f>$G$2*F25</f>
        <v>4916.05188</v>
      </c>
      <c r="H25" s="1"/>
      <c r="I25" s="1">
        <v>5.4363999999999999</v>
      </c>
      <c r="J25" s="275">
        <f>$J$2*I25</f>
        <v>40.772999999999996</v>
      </c>
    </row>
    <row r="26" spans="2:13" ht="15.75" customHeight="1" x14ac:dyDescent="0.25">
      <c r="B26" s="275">
        <f t="shared" ref="B26:D26" si="44">(B25+B27)/2</f>
        <v>11.5</v>
      </c>
      <c r="C26" s="275">
        <f t="shared" si="44"/>
        <v>0</v>
      </c>
      <c r="D26" s="275">
        <f t="shared" si="44"/>
        <v>0</v>
      </c>
      <c r="F26" s="275">
        <f t="shared" ref="F26:G26" si="45">(F25+F27)/2</f>
        <v>9.5755499999999998</v>
      </c>
      <c r="G26" s="275">
        <f t="shared" si="45"/>
        <v>4751.3879099999995</v>
      </c>
      <c r="H26" s="1"/>
      <c r="I26" s="275">
        <f t="shared" ref="I26:J26" si="46">(I25+I27)/2</f>
        <v>4.9957500000000001</v>
      </c>
      <c r="J26" s="275">
        <f t="shared" si="46"/>
        <v>37.468125000000001</v>
      </c>
      <c r="L26" s="275">
        <f t="shared" ref="L26:M26" si="47">(L25+L27)/2</f>
        <v>0</v>
      </c>
      <c r="M26" s="275">
        <f t="shared" si="47"/>
        <v>0</v>
      </c>
    </row>
    <row r="27" spans="2:13" ht="15.75" customHeight="1" x14ac:dyDescent="0.25">
      <c r="B27" s="275">
        <f>B25+1</f>
        <v>12</v>
      </c>
      <c r="F27" s="1">
        <v>9.2437000000000005</v>
      </c>
      <c r="G27" s="1">
        <f>$G$2*F27</f>
        <v>4586.7239399999999</v>
      </c>
      <c r="H27" s="1"/>
      <c r="I27" s="1">
        <v>4.5551000000000004</v>
      </c>
      <c r="J27" s="275">
        <f>$J$2*I27</f>
        <v>34.163250000000005</v>
      </c>
    </row>
    <row r="28" spans="2:13" ht="15.75" customHeight="1" x14ac:dyDescent="0.25">
      <c r="B28" s="275">
        <f t="shared" ref="B28:D28" si="48">(B27+B29)/2</f>
        <v>12.5</v>
      </c>
      <c r="C28" s="275">
        <f t="shared" si="48"/>
        <v>0</v>
      </c>
      <c r="D28" s="275">
        <f t="shared" si="48"/>
        <v>0</v>
      </c>
      <c r="F28" s="275">
        <f t="shared" ref="F28:G28" si="49">(F27+F29)/2</f>
        <v>8.8494500000000009</v>
      </c>
      <c r="G28" s="275">
        <f t="shared" si="49"/>
        <v>4391.0970899999993</v>
      </c>
      <c r="H28" s="1"/>
      <c r="I28" s="275">
        <f t="shared" ref="I28:J28" si="50">(I27+I29)/2</f>
        <v>4.1665000000000001</v>
      </c>
      <c r="J28" s="275">
        <f t="shared" si="50"/>
        <v>31.248750000000001</v>
      </c>
      <c r="L28" s="275">
        <f t="shared" ref="L28:M28" si="51">(L27+L29)/2</f>
        <v>0</v>
      </c>
      <c r="M28" s="275">
        <f t="shared" si="51"/>
        <v>0</v>
      </c>
    </row>
    <row r="29" spans="2:13" ht="15.75" customHeight="1" x14ac:dyDescent="0.25">
      <c r="B29" s="275">
        <f>B27+1</f>
        <v>13</v>
      </c>
      <c r="F29" s="1">
        <v>8.4551999999999996</v>
      </c>
      <c r="G29" s="1">
        <f>$G$2*F29</f>
        <v>4195.4702399999996</v>
      </c>
      <c r="H29" s="1"/>
      <c r="I29" s="1">
        <v>3.7778999999999998</v>
      </c>
      <c r="J29" s="275">
        <f>$J$2*I29</f>
        <v>28.334249999999997</v>
      </c>
    </row>
    <row r="30" spans="2:13" ht="15.75" customHeight="1" x14ac:dyDescent="0.25">
      <c r="B30" s="275">
        <f t="shared" ref="B30:D30" si="52">(B29+B31)/2</f>
        <v>13.5</v>
      </c>
      <c r="C30" s="275">
        <f t="shared" si="52"/>
        <v>0</v>
      </c>
      <c r="D30" s="275">
        <f t="shared" si="52"/>
        <v>0</v>
      </c>
      <c r="F30" s="275">
        <f t="shared" ref="F30:G30" si="53">(F29+F31)/2</f>
        <v>8.0063999999999993</v>
      </c>
      <c r="G30" s="275">
        <f t="shared" si="53"/>
        <v>3972.7756799999997</v>
      </c>
      <c r="H30" s="1"/>
      <c r="I30" s="275">
        <f t="shared" ref="I30:J30" si="54">(I29+I31)/2</f>
        <v>3.4493999999999998</v>
      </c>
      <c r="J30" s="275">
        <f t="shared" si="54"/>
        <v>25.8705</v>
      </c>
      <c r="L30" s="275">
        <f t="shared" ref="L30:M30" si="55">(L29+L31)/2</f>
        <v>0</v>
      </c>
      <c r="M30" s="275">
        <f t="shared" si="55"/>
        <v>0</v>
      </c>
    </row>
    <row r="31" spans="2:13" ht="15.75" customHeight="1" x14ac:dyDescent="0.25">
      <c r="B31" s="275">
        <f>B29+1</f>
        <v>14</v>
      </c>
      <c r="F31" s="1">
        <v>7.5575999999999999</v>
      </c>
      <c r="G31" s="1">
        <f>$G$2*F31</f>
        <v>3750.0811199999998</v>
      </c>
      <c r="H31" s="1"/>
      <c r="I31" s="1">
        <v>3.1208999999999998</v>
      </c>
      <c r="J31" s="275">
        <f>$J$2*I31</f>
        <v>23.406749999999999</v>
      </c>
    </row>
    <row r="32" spans="2:13" ht="15.75" customHeight="1" x14ac:dyDescent="0.25">
      <c r="B32" s="275">
        <f t="shared" ref="B32:D32" si="56">(B31+B33)/2</f>
        <v>14.5</v>
      </c>
      <c r="C32" s="275">
        <f t="shared" si="56"/>
        <v>0</v>
      </c>
      <c r="D32" s="275">
        <f t="shared" si="56"/>
        <v>0</v>
      </c>
      <c r="F32" s="275">
        <f t="shared" ref="F32:G32" si="57">(F31+F33)/2</f>
        <v>7.0758000000000001</v>
      </c>
      <c r="G32" s="275">
        <f t="shared" si="57"/>
        <v>3511.0119599999998</v>
      </c>
      <c r="H32" s="1"/>
      <c r="I32" s="275">
        <f t="shared" ref="I32:J32" si="58">(I31+I33)/2</f>
        <v>2.8503499999999997</v>
      </c>
      <c r="J32" s="275">
        <f t="shared" si="58"/>
        <v>21.377625000000002</v>
      </c>
      <c r="L32" s="275">
        <f t="shared" ref="L32:M32" si="59">(L31+L33)/2</f>
        <v>0</v>
      </c>
      <c r="M32" s="275">
        <f t="shared" si="59"/>
        <v>0</v>
      </c>
    </row>
    <row r="33" spans="2:13" ht="15.75" customHeight="1" x14ac:dyDescent="0.25">
      <c r="B33" s="275">
        <f>B31+1</f>
        <v>15</v>
      </c>
      <c r="F33" s="1">
        <v>6.5940000000000003</v>
      </c>
      <c r="G33" s="1">
        <f>$G$2*F33</f>
        <v>3271.9428000000003</v>
      </c>
      <c r="H33" s="1"/>
      <c r="I33" s="1">
        <v>2.5798000000000001</v>
      </c>
      <c r="J33" s="275">
        <f>$J$2*I33</f>
        <v>19.348500000000001</v>
      </c>
    </row>
    <row r="34" spans="2:13" ht="15.75" customHeight="1" x14ac:dyDescent="0.25">
      <c r="B34" s="275">
        <f t="shared" ref="B34:D34" si="60">(B33+B35)/2</f>
        <v>15.5</v>
      </c>
      <c r="C34" s="275">
        <f t="shared" si="60"/>
        <v>0</v>
      </c>
      <c r="D34" s="275">
        <f t="shared" si="60"/>
        <v>0</v>
      </c>
      <c r="F34" s="275">
        <f t="shared" ref="F34:G34" si="61">(F33+F35)/2</f>
        <v>6.11165</v>
      </c>
      <c r="G34" s="275">
        <f t="shared" si="61"/>
        <v>3032.6007300000001</v>
      </c>
      <c r="H34" s="1"/>
      <c r="I34" s="275">
        <f t="shared" ref="I34:J34" si="62">(I33+I35)/2</f>
        <v>2.3600000000000003</v>
      </c>
      <c r="J34" s="275">
        <f t="shared" si="62"/>
        <v>17.700000000000003</v>
      </c>
      <c r="L34" s="275">
        <f t="shared" ref="L34:M34" si="63">(L33+L35)/2</f>
        <v>0</v>
      </c>
      <c r="M34" s="275">
        <f t="shared" si="63"/>
        <v>0</v>
      </c>
    </row>
    <row r="35" spans="2:13" ht="15.75" customHeight="1" x14ac:dyDescent="0.25">
      <c r="B35" s="275">
        <f>B33+1</f>
        <v>16</v>
      </c>
      <c r="F35" s="1">
        <v>5.6292999999999997</v>
      </c>
      <c r="G35" s="1">
        <f>$G$2*F35</f>
        <v>2793.25866</v>
      </c>
      <c r="H35" s="1"/>
      <c r="I35" s="1">
        <v>2.1402000000000001</v>
      </c>
      <c r="J35" s="275">
        <f>$J$2*I35</f>
        <v>16.051500000000001</v>
      </c>
    </row>
    <row r="36" spans="2:13" ht="15.75" customHeight="1" x14ac:dyDescent="0.25">
      <c r="B36" s="275">
        <f t="shared" ref="B36:D36" si="64">(B35+B37)/2</f>
        <v>16.5</v>
      </c>
      <c r="C36" s="275">
        <f t="shared" si="64"/>
        <v>0</v>
      </c>
      <c r="D36" s="275">
        <f t="shared" si="64"/>
        <v>0</v>
      </c>
      <c r="F36" s="275">
        <f t="shared" ref="F36:G36" si="65">(F35+F37)/2</f>
        <v>5.17875</v>
      </c>
      <c r="G36" s="275">
        <f t="shared" si="65"/>
        <v>2569.6957499999999</v>
      </c>
      <c r="H36" s="1"/>
      <c r="I36" s="275">
        <f t="shared" ref="I36:J36" si="66">(I35+I37)/2</f>
        <v>1.9627500000000002</v>
      </c>
      <c r="J36" s="275">
        <f t="shared" si="66"/>
        <v>14.720625000000002</v>
      </c>
      <c r="L36" s="275">
        <f t="shared" ref="L36:M36" si="67">(L35+L37)/2</f>
        <v>0</v>
      </c>
      <c r="M36" s="275">
        <f t="shared" si="67"/>
        <v>0</v>
      </c>
    </row>
    <row r="37" spans="2:13" ht="12.5" x14ac:dyDescent="0.25">
      <c r="B37" s="275">
        <f>B35+1</f>
        <v>17</v>
      </c>
      <c r="F37" s="1">
        <v>4.7282000000000002</v>
      </c>
      <c r="G37" s="1">
        <f>$G$2*F37</f>
        <v>2346.1328400000002</v>
      </c>
      <c r="H37" s="1"/>
      <c r="I37" s="1">
        <v>1.7853000000000001</v>
      </c>
      <c r="J37" s="275">
        <f>$J$2*I37</f>
        <v>13.389750000000001</v>
      </c>
    </row>
    <row r="38" spans="2:13" ht="12.5" x14ac:dyDescent="0.25">
      <c r="B38" s="275">
        <f t="shared" ref="B38:D38" si="68">(B37+B39)/2</f>
        <v>17.5</v>
      </c>
      <c r="C38" s="275">
        <f t="shared" si="68"/>
        <v>0</v>
      </c>
      <c r="D38" s="275">
        <f t="shared" si="68"/>
        <v>0</v>
      </c>
      <c r="F38" s="275">
        <f t="shared" ref="F38:G38" si="69">(F37+F39)/2</f>
        <v>4.3310500000000003</v>
      </c>
      <c r="G38" s="275">
        <f t="shared" si="69"/>
        <v>2149.0670100000002</v>
      </c>
      <c r="H38" s="1"/>
      <c r="I38" s="275">
        <f t="shared" ref="I38:J38" si="70">(I37+I39)/2</f>
        <v>1.64205</v>
      </c>
      <c r="J38" s="275">
        <f t="shared" si="70"/>
        <v>12.315375</v>
      </c>
      <c r="L38" s="275">
        <f t="shared" ref="L38:M38" si="71">(L37+L39)/2</f>
        <v>0</v>
      </c>
      <c r="M38" s="275">
        <f t="shared" si="71"/>
        <v>0</v>
      </c>
    </row>
    <row r="39" spans="2:13" ht="12.5" x14ac:dyDescent="0.25">
      <c r="B39" s="275">
        <f>B37+1</f>
        <v>18</v>
      </c>
      <c r="F39" s="1">
        <v>3.9339</v>
      </c>
      <c r="G39" s="1">
        <f>$G$2*F39</f>
        <v>1952.00118</v>
      </c>
      <c r="H39" s="1"/>
      <c r="I39" s="1">
        <v>1.4987999999999999</v>
      </c>
      <c r="J39" s="275">
        <f>$J$2*I39</f>
        <v>11.241</v>
      </c>
    </row>
    <row r="40" spans="2:13" ht="12.5" x14ac:dyDescent="0.25">
      <c r="B40" s="275">
        <f t="shared" ref="B40:D40" si="72">(B39+B41)/2</f>
        <v>18.5</v>
      </c>
      <c r="C40" s="275">
        <f t="shared" si="72"/>
        <v>0</v>
      </c>
      <c r="D40" s="275">
        <f t="shared" si="72"/>
        <v>0</v>
      </c>
      <c r="F40" s="275">
        <f t="shared" ref="F40:G40" si="73">(F39+F41)/2</f>
        <v>3.5979000000000001</v>
      </c>
      <c r="G40" s="275">
        <f t="shared" si="73"/>
        <v>1785.2779799999998</v>
      </c>
      <c r="H40" s="1"/>
      <c r="I40" s="275">
        <f t="shared" ref="I40:J40" si="74">(I39+I41)/2</f>
        <v>1.3828999999999998</v>
      </c>
      <c r="J40" s="275">
        <f t="shared" si="74"/>
        <v>10.371749999999999</v>
      </c>
      <c r="L40" s="275">
        <f t="shared" ref="L40:M40" si="75">(L39+L41)/2</f>
        <v>0</v>
      </c>
      <c r="M40" s="275">
        <f t="shared" si="75"/>
        <v>0</v>
      </c>
    </row>
    <row r="41" spans="2:13" ht="12.5" x14ac:dyDescent="0.25">
      <c r="B41" s="275">
        <f>B39+1</f>
        <v>19</v>
      </c>
      <c r="F41" s="1">
        <v>3.2618999999999998</v>
      </c>
      <c r="G41" s="1">
        <f>$G$2*F41</f>
        <v>1618.5547799999999</v>
      </c>
      <c r="H41" s="1"/>
      <c r="I41" s="1">
        <v>1.2669999999999999</v>
      </c>
      <c r="J41" s="275">
        <f>$J$2*I41</f>
        <v>9.5024999999999995</v>
      </c>
    </row>
    <row r="42" spans="2:13" ht="12.5" x14ac:dyDescent="0.25">
      <c r="B42" s="275">
        <f t="shared" ref="B42:D42" si="76">(B41+B43)/2</f>
        <v>19.5</v>
      </c>
      <c r="C42" s="275">
        <f t="shared" si="76"/>
        <v>0</v>
      </c>
      <c r="D42" s="275">
        <f t="shared" si="76"/>
        <v>0</v>
      </c>
      <c r="F42" s="275">
        <f t="shared" ref="F42:G42" si="77">(F41+F43)/2</f>
        <v>2.98475</v>
      </c>
      <c r="G42" s="275">
        <f t="shared" si="77"/>
        <v>1481.0329499999998</v>
      </c>
      <c r="H42" s="1"/>
      <c r="I42" s="275">
        <f t="shared" ref="I42:J42" si="78">(I41+I43)/2</f>
        <v>1.17275</v>
      </c>
      <c r="J42" s="275">
        <f t="shared" si="78"/>
        <v>8.7956250000000011</v>
      </c>
      <c r="L42" s="275">
        <f t="shared" ref="L42:M42" si="79">(L41+L43)/2</f>
        <v>0</v>
      </c>
      <c r="M42" s="275">
        <f t="shared" si="79"/>
        <v>0</v>
      </c>
    </row>
    <row r="43" spans="2:13" ht="12.5" x14ac:dyDescent="0.25">
      <c r="B43" s="275">
        <f>B41+1</f>
        <v>20</v>
      </c>
      <c r="F43" s="1">
        <v>2.7075999999999998</v>
      </c>
      <c r="G43" s="1">
        <f>$G$2*F43</f>
        <v>1343.5111199999999</v>
      </c>
      <c r="H43" s="1"/>
      <c r="I43" s="1">
        <v>1.0785</v>
      </c>
      <c r="J43" s="275">
        <f>$J$2*I43</f>
        <v>8.088750000000001</v>
      </c>
    </row>
    <row r="44" spans="2:13" ht="12.5" x14ac:dyDescent="0.25">
      <c r="B44" s="275">
        <f t="shared" ref="B44:D44" si="80">(B43+B45)/2</f>
        <v>20.5</v>
      </c>
      <c r="C44" s="275">
        <f t="shared" si="80"/>
        <v>0</v>
      </c>
      <c r="D44" s="275">
        <f t="shared" si="80"/>
        <v>0</v>
      </c>
      <c r="F44" s="275">
        <f t="shared" ref="F44:G44" si="81">(F43+F45)/2</f>
        <v>2.4820000000000002</v>
      </c>
      <c r="G44" s="275">
        <f t="shared" si="81"/>
        <v>1231.5684000000001</v>
      </c>
      <c r="H44" s="1"/>
      <c r="I44" s="275">
        <f t="shared" ref="I44:J44" si="82">(I43+I45)/2</f>
        <v>1.0014000000000001</v>
      </c>
      <c r="J44" s="275">
        <f t="shared" si="82"/>
        <v>7.5105000000000004</v>
      </c>
      <c r="L44" s="275">
        <f t="shared" ref="L44:M44" si="83">(L43+L45)/2</f>
        <v>0</v>
      </c>
      <c r="M44" s="275">
        <f t="shared" si="83"/>
        <v>0</v>
      </c>
    </row>
    <row r="45" spans="2:13" ht="12.5" x14ac:dyDescent="0.25">
      <c r="B45" s="275">
        <f>B43+1</f>
        <v>21</v>
      </c>
      <c r="F45" s="1">
        <v>2.2564000000000002</v>
      </c>
      <c r="G45" s="1">
        <f>$G$2*F45</f>
        <v>1119.6256800000001</v>
      </c>
      <c r="H45" s="1"/>
      <c r="I45" s="1">
        <v>0.92430000000000001</v>
      </c>
      <c r="J45" s="275">
        <f>$J$2*I45</f>
        <v>6.9322499999999998</v>
      </c>
    </row>
    <row r="46" spans="2:13" ht="12.5" x14ac:dyDescent="0.25">
      <c r="B46" s="275">
        <f t="shared" ref="B46:D46" si="84">(B45+B47)/2</f>
        <v>21.5</v>
      </c>
      <c r="C46" s="275">
        <f t="shared" si="84"/>
        <v>0</v>
      </c>
      <c r="D46" s="275">
        <f t="shared" si="84"/>
        <v>0</v>
      </c>
      <c r="F46" s="275">
        <f t="shared" ref="F46:G46" si="85">(F45+F47)/2</f>
        <v>2.0738500000000002</v>
      </c>
      <c r="G46" s="275">
        <f t="shared" si="85"/>
        <v>1029.0443700000001</v>
      </c>
      <c r="H46" s="1"/>
      <c r="I46" s="275">
        <f t="shared" ref="I46:J46" si="86">(I45+I47)/2</f>
        <v>0.86080000000000001</v>
      </c>
      <c r="J46" s="275">
        <f t="shared" si="86"/>
        <v>6.4559999999999995</v>
      </c>
      <c r="L46" s="275">
        <f t="shared" ref="L46:M46" si="87">(L45+L47)/2</f>
        <v>0</v>
      </c>
      <c r="M46" s="275">
        <f t="shared" si="87"/>
        <v>0</v>
      </c>
    </row>
    <row r="47" spans="2:13" ht="12.5" x14ac:dyDescent="0.25">
      <c r="B47" s="275">
        <f>B45+1</f>
        <v>22</v>
      </c>
      <c r="F47" s="1">
        <v>1.8913</v>
      </c>
      <c r="G47" s="1">
        <f>$G$2*F47</f>
        <v>938.46305999999993</v>
      </c>
      <c r="H47" s="1"/>
      <c r="I47" s="1">
        <v>0.79730000000000001</v>
      </c>
      <c r="J47" s="275">
        <f>$J$2*I47</f>
        <v>5.9797500000000001</v>
      </c>
    </row>
    <row r="48" spans="2:13" ht="12.5" x14ac:dyDescent="0.25">
      <c r="B48" s="275">
        <f t="shared" ref="B48:D48" si="88">(B47+B49)/2</f>
        <v>22.5</v>
      </c>
      <c r="C48" s="275">
        <f t="shared" si="88"/>
        <v>0</v>
      </c>
      <c r="D48" s="275">
        <f t="shared" si="88"/>
        <v>0</v>
      </c>
      <c r="F48" s="275">
        <f t="shared" ref="F48:G48" si="89">(F47+F49)/2</f>
        <v>1.7435</v>
      </c>
      <c r="G48" s="275">
        <f t="shared" si="89"/>
        <v>865.12469999999985</v>
      </c>
      <c r="H48" s="1"/>
      <c r="I48" s="275">
        <f t="shared" ref="I48:J48" si="90">(I47+I49)/2</f>
        <v>0.74470000000000003</v>
      </c>
      <c r="J48" s="275">
        <f t="shared" si="90"/>
        <v>5.5852500000000003</v>
      </c>
      <c r="L48" s="275">
        <f t="shared" ref="L48:M48" si="91">(L47+L49)/2</f>
        <v>0</v>
      </c>
      <c r="M48" s="275">
        <f t="shared" si="91"/>
        <v>0</v>
      </c>
    </row>
    <row r="49" spans="2:13" ht="12.5" x14ac:dyDescent="0.25">
      <c r="B49" s="275">
        <f>B47+1</f>
        <v>23</v>
      </c>
      <c r="F49" s="1">
        <v>1.5956999999999999</v>
      </c>
      <c r="G49" s="1">
        <f>$G$2*F49</f>
        <v>791.78633999999988</v>
      </c>
      <c r="H49" s="1"/>
      <c r="I49" s="1">
        <v>0.69210000000000005</v>
      </c>
      <c r="J49" s="275">
        <f>$J$2*I49</f>
        <v>5.1907500000000004</v>
      </c>
    </row>
    <row r="50" spans="2:13" ht="12.5" x14ac:dyDescent="0.25">
      <c r="B50" s="275">
        <f t="shared" ref="B50:D50" si="92">(B49+B51)/2</f>
        <v>23.5</v>
      </c>
      <c r="C50" s="275">
        <f t="shared" si="92"/>
        <v>0</v>
      </c>
      <c r="D50" s="275">
        <f t="shared" si="92"/>
        <v>0</v>
      </c>
      <c r="F50" s="275">
        <f t="shared" ref="F50:G50" si="93">(F49+F51)/2</f>
        <v>1.4757499999999999</v>
      </c>
      <c r="G50" s="275">
        <f t="shared" si="93"/>
        <v>732.2671499999999</v>
      </c>
      <c r="H50" s="1"/>
      <c r="I50" s="275">
        <f t="shared" ref="I50:J50" si="94">(I49+I51)/2</f>
        <v>0.6482</v>
      </c>
      <c r="J50" s="275">
        <f t="shared" si="94"/>
        <v>4.8614999999999995</v>
      </c>
      <c r="L50" s="275">
        <f t="shared" ref="L50:M50" si="95">(L49+L51)/2</f>
        <v>0</v>
      </c>
      <c r="M50" s="275">
        <f t="shared" si="95"/>
        <v>0</v>
      </c>
    </row>
    <row r="51" spans="2:13" ht="12.5" x14ac:dyDescent="0.25">
      <c r="B51" s="275">
        <f>B49+1</f>
        <v>24</v>
      </c>
      <c r="F51" s="1">
        <v>1.3557999999999999</v>
      </c>
      <c r="G51" s="1">
        <f>$G$2*F51</f>
        <v>672.74795999999992</v>
      </c>
      <c r="H51" s="1"/>
      <c r="I51" s="1">
        <v>0.60429999999999995</v>
      </c>
      <c r="J51" s="275">
        <f>$J$2*I51</f>
        <v>4.5322499999999994</v>
      </c>
    </row>
    <row r="52" spans="2:13" ht="12.5" x14ac:dyDescent="0.25">
      <c r="B52" s="275">
        <f t="shared" ref="B52:D52" si="96">(B51+B53)/2</f>
        <v>24.5</v>
      </c>
      <c r="C52" s="275">
        <f t="shared" si="96"/>
        <v>0</v>
      </c>
      <c r="D52" s="275">
        <f t="shared" si="96"/>
        <v>0</v>
      </c>
      <c r="F52" s="275">
        <f t="shared" ref="F52:G52" si="97">(F51+F53)/2</f>
        <v>1.2579499999999999</v>
      </c>
      <c r="G52" s="275">
        <f t="shared" si="97"/>
        <v>624.19479000000001</v>
      </c>
      <c r="H52" s="1"/>
      <c r="I52" s="275">
        <f t="shared" ref="I52:J52" si="98">(I51+I53)/2</f>
        <v>0.56745000000000001</v>
      </c>
      <c r="J52" s="275">
        <f t="shared" si="98"/>
        <v>4.2558749999999996</v>
      </c>
      <c r="L52" s="275">
        <f t="shared" ref="L52:M52" si="99">(L51+L53)/2</f>
        <v>0</v>
      </c>
      <c r="M52" s="275">
        <f t="shared" si="99"/>
        <v>0</v>
      </c>
    </row>
    <row r="53" spans="2:13" ht="12.5" x14ac:dyDescent="0.25">
      <c r="B53" s="275">
        <f>B51+1</f>
        <v>25</v>
      </c>
      <c r="F53" s="1">
        <v>1.1600999999999999</v>
      </c>
      <c r="G53" s="1">
        <f>$G$2*F53</f>
        <v>575.64161999999999</v>
      </c>
      <c r="H53" s="1"/>
      <c r="I53" s="1">
        <v>0.53059999999999996</v>
      </c>
      <c r="J53" s="275">
        <f>$J$2*I53</f>
        <v>3.9794999999999998</v>
      </c>
    </row>
    <row r="54" spans="2:13" ht="12.5" x14ac:dyDescent="0.25">
      <c r="B54" s="275">
        <f t="shared" ref="B54:D54" si="100">(B53+B55)/2</f>
        <v>25.5</v>
      </c>
      <c r="C54" s="275">
        <f t="shared" si="100"/>
        <v>0</v>
      </c>
      <c r="D54" s="275">
        <f t="shared" si="100"/>
        <v>0</v>
      </c>
      <c r="F54" s="275">
        <f t="shared" ref="F54:G54" si="101">(F53+F55)/2</f>
        <v>1.07975</v>
      </c>
      <c r="G54" s="275">
        <f t="shared" si="101"/>
        <v>535.77194999999995</v>
      </c>
      <c r="H54" s="1"/>
      <c r="I54" s="275">
        <f t="shared" ref="I54:J54" si="102">(I53+I55)/2</f>
        <v>0.49944999999999995</v>
      </c>
      <c r="J54" s="275">
        <f t="shared" si="102"/>
        <v>3.7458749999999998</v>
      </c>
      <c r="L54" s="275">
        <f t="shared" ref="L54:M54" si="103">(L53+L55)/2</f>
        <v>0</v>
      </c>
      <c r="M54" s="275">
        <f t="shared" si="103"/>
        <v>0</v>
      </c>
    </row>
    <row r="55" spans="2:13" ht="12.5" x14ac:dyDescent="0.25">
      <c r="B55" s="275">
        <f>B53+1</f>
        <v>26</v>
      </c>
      <c r="F55" s="1">
        <v>0.99939999999999996</v>
      </c>
      <c r="G55" s="1">
        <f>$G$2*F55</f>
        <v>495.90227999999996</v>
      </c>
      <c r="H55" s="1"/>
      <c r="I55" s="1">
        <v>0.46829999999999999</v>
      </c>
      <c r="J55" s="275">
        <f>$J$2*I55</f>
        <v>3.5122499999999999</v>
      </c>
    </row>
    <row r="56" spans="2:13" ht="12.5" x14ac:dyDescent="0.25">
      <c r="B56" s="275">
        <f t="shared" ref="B56:D56" si="104">(B55+B57)/2</f>
        <v>26.5</v>
      </c>
      <c r="C56" s="275">
        <f t="shared" si="104"/>
        <v>0</v>
      </c>
      <c r="D56" s="275">
        <f t="shared" si="104"/>
        <v>0</v>
      </c>
      <c r="F56" s="275">
        <f t="shared" ref="F56:G56" si="105">(F55+F57)/2</f>
        <v>0.93304999999999993</v>
      </c>
      <c r="G56" s="275">
        <f t="shared" si="105"/>
        <v>462.97940999999997</v>
      </c>
      <c r="H56" s="1"/>
      <c r="I56" s="275">
        <f t="shared" ref="I56:J56" si="106">(I55+I57)/2</f>
        <v>0.44179999999999997</v>
      </c>
      <c r="J56" s="275">
        <f t="shared" si="106"/>
        <v>3.3134999999999999</v>
      </c>
      <c r="L56" s="275">
        <f t="shared" ref="L56:M56" si="107">(L55+L57)/2</f>
        <v>0</v>
      </c>
      <c r="M56" s="275">
        <f t="shared" si="107"/>
        <v>0</v>
      </c>
    </row>
    <row r="57" spans="2:13" ht="12.5" x14ac:dyDescent="0.25">
      <c r="B57" s="275">
        <f>B55+1</f>
        <v>27</v>
      </c>
      <c r="F57" s="1">
        <v>0.86670000000000003</v>
      </c>
      <c r="G57" s="1">
        <f>$G$2*F57</f>
        <v>430.05653999999998</v>
      </c>
      <c r="H57" s="1"/>
      <c r="I57" s="1">
        <v>0.4153</v>
      </c>
      <c r="J57" s="275">
        <f>$J$2*I57</f>
        <v>3.1147499999999999</v>
      </c>
    </row>
    <row r="58" spans="2:13" ht="12.5" x14ac:dyDescent="0.25">
      <c r="B58" s="275">
        <f t="shared" ref="B58:D58" si="108">(B57+B59)/2</f>
        <v>27.5</v>
      </c>
      <c r="C58" s="275">
        <f t="shared" si="108"/>
        <v>0</v>
      </c>
      <c r="D58" s="275">
        <f t="shared" si="108"/>
        <v>0</v>
      </c>
      <c r="F58" s="275">
        <f t="shared" ref="F58:G58" si="109">(F57+F59)/2</f>
        <v>0.81145</v>
      </c>
      <c r="G58" s="275">
        <f t="shared" si="109"/>
        <v>402.64148999999998</v>
      </c>
      <c r="H58" s="1"/>
      <c r="I58" s="275">
        <f t="shared" ref="I58:J58" si="110">(I57+I59)/2</f>
        <v>0.39265</v>
      </c>
      <c r="J58" s="275">
        <f t="shared" si="110"/>
        <v>2.9448749999999997</v>
      </c>
      <c r="L58" s="275">
        <f t="shared" ref="L58:M58" si="111">(L57+L59)/2</f>
        <v>0</v>
      </c>
      <c r="M58" s="275">
        <f t="shared" si="111"/>
        <v>0</v>
      </c>
    </row>
    <row r="59" spans="2:13" ht="12.5" x14ac:dyDescent="0.25">
      <c r="B59" s="275">
        <f>B57+1</f>
        <v>28</v>
      </c>
      <c r="F59" s="1">
        <v>0.75619999999999998</v>
      </c>
      <c r="G59" s="1">
        <f>$G$2*F59</f>
        <v>375.22643999999997</v>
      </c>
      <c r="H59" s="1"/>
      <c r="I59" s="1">
        <v>0.37</v>
      </c>
      <c r="J59" s="275">
        <f>$J$2*I59</f>
        <v>2.7749999999999999</v>
      </c>
    </row>
    <row r="60" spans="2:13" ht="12.5" x14ac:dyDescent="0.25">
      <c r="B60" s="275">
        <f t="shared" ref="B60:D60" si="112">(B59+B61)/2</f>
        <v>28.5</v>
      </c>
      <c r="C60" s="275">
        <f t="shared" si="112"/>
        <v>0</v>
      </c>
      <c r="D60" s="275">
        <f t="shared" si="112"/>
        <v>0</v>
      </c>
      <c r="F60" s="275">
        <f t="shared" ref="F60:G60" si="113">(F59+F61)/2</f>
        <v>0.70994999999999997</v>
      </c>
      <c r="G60" s="275">
        <f t="shared" si="113"/>
        <v>352.27718999999996</v>
      </c>
      <c r="H60" s="1"/>
      <c r="I60" s="275">
        <f t="shared" ref="I60:J60" si="114">(I59+I61)/2</f>
        <v>0.35050000000000003</v>
      </c>
      <c r="J60" s="275">
        <f t="shared" si="114"/>
        <v>2.6287500000000001</v>
      </c>
      <c r="L60" s="275">
        <f t="shared" ref="L60:M60" si="115">(L59+L61)/2</f>
        <v>0</v>
      </c>
      <c r="M60" s="275">
        <f t="shared" si="115"/>
        <v>0</v>
      </c>
    </row>
    <row r="61" spans="2:13" ht="12.5" x14ac:dyDescent="0.25">
      <c r="B61" s="275">
        <f>B59+1</f>
        <v>29</v>
      </c>
      <c r="F61" s="1">
        <v>0.66369999999999996</v>
      </c>
      <c r="G61" s="1">
        <f>$G$2*F61</f>
        <v>329.32793999999996</v>
      </c>
      <c r="H61" s="1"/>
      <c r="I61" s="1">
        <v>0.33100000000000002</v>
      </c>
      <c r="J61" s="275">
        <f>$J$2*I61</f>
        <v>2.4824999999999999</v>
      </c>
    </row>
    <row r="62" spans="2:13" ht="12.5" x14ac:dyDescent="0.25">
      <c r="B62" s="275">
        <f t="shared" ref="B62:D62" si="116">(B61+B63)/2</f>
        <v>29.5</v>
      </c>
      <c r="C62" s="275">
        <f t="shared" si="116"/>
        <v>0</v>
      </c>
      <c r="D62" s="275">
        <f t="shared" si="116"/>
        <v>0</v>
      </c>
      <c r="F62" s="275">
        <f t="shared" ref="F62:G62" si="117">(F61+F63)/2</f>
        <v>0.62474999999999992</v>
      </c>
      <c r="G62" s="275">
        <f t="shared" si="117"/>
        <v>310.00094999999999</v>
      </c>
      <c r="H62" s="1"/>
      <c r="I62" s="275">
        <f t="shared" ref="I62:J62" si="118">(I61+I63)/2</f>
        <v>0.31415000000000004</v>
      </c>
      <c r="J62" s="275">
        <f t="shared" si="118"/>
        <v>2.356125</v>
      </c>
      <c r="L62" s="275">
        <f t="shared" ref="L62:M62" si="119">(L61+L63)/2</f>
        <v>0</v>
      </c>
      <c r="M62" s="275">
        <f t="shared" si="119"/>
        <v>0</v>
      </c>
    </row>
    <row r="63" spans="2:13" ht="12.5" x14ac:dyDescent="0.25">
      <c r="B63" s="275">
        <f>B61+1</f>
        <v>30</v>
      </c>
      <c r="F63" s="1">
        <v>0.58579999999999999</v>
      </c>
      <c r="G63" s="1">
        <f>$G$2*F63</f>
        <v>290.67395999999997</v>
      </c>
      <c r="H63" s="1"/>
      <c r="I63" s="1">
        <v>0.29730000000000001</v>
      </c>
      <c r="J63" s="275">
        <f>$J$2*I63</f>
        <v>2.2297500000000001</v>
      </c>
    </row>
    <row r="64" spans="2:13" ht="12.5" x14ac:dyDescent="0.25">
      <c r="B64" s="275">
        <f t="shared" ref="B64:D64" si="120">(B63+B65)/2</f>
        <v>30.5</v>
      </c>
      <c r="C64" s="275">
        <f t="shared" si="120"/>
        <v>0</v>
      </c>
      <c r="D64" s="275">
        <f t="shared" si="120"/>
        <v>0</v>
      </c>
      <c r="F64" s="275">
        <f t="shared" ref="F64:G64" si="121">(F63+F65)/2</f>
        <v>0.55269999999999997</v>
      </c>
      <c r="G64" s="275">
        <f t="shared" si="121"/>
        <v>274.24973999999997</v>
      </c>
      <c r="H64" s="1"/>
      <c r="I64" s="275">
        <f t="shared" ref="I64:J64" si="122">(I63+I65)/2</f>
        <v>0.28265000000000001</v>
      </c>
      <c r="J64" s="275">
        <f t="shared" si="122"/>
        <v>2.1198750000000004</v>
      </c>
      <c r="L64" s="275">
        <f t="shared" ref="L64:M64" si="123">(L63+L65)/2</f>
        <v>0</v>
      </c>
      <c r="M64" s="275">
        <f t="shared" si="123"/>
        <v>0</v>
      </c>
    </row>
    <row r="65" spans="2:13" ht="12.5" x14ac:dyDescent="0.25">
      <c r="B65" s="275">
        <f>B63+1</f>
        <v>31</v>
      </c>
      <c r="F65" s="1">
        <v>0.51959999999999995</v>
      </c>
      <c r="G65" s="1">
        <f>$G$2*F65</f>
        <v>257.82551999999998</v>
      </c>
      <c r="H65" s="1"/>
      <c r="I65" s="1">
        <v>0.26800000000000002</v>
      </c>
      <c r="J65" s="275">
        <f>$J$2*I65</f>
        <v>2.0100000000000002</v>
      </c>
    </row>
    <row r="66" spans="2:13" ht="12.5" x14ac:dyDescent="0.25">
      <c r="B66" s="275">
        <f t="shared" ref="B66:D66" si="124">(B65+B67)/2</f>
        <v>31.5</v>
      </c>
      <c r="C66" s="275">
        <f t="shared" si="124"/>
        <v>0</v>
      </c>
      <c r="D66" s="275">
        <f t="shared" si="124"/>
        <v>0</v>
      </c>
      <c r="F66" s="275">
        <f t="shared" ref="F66:G66" si="125">(F65+F67)/2</f>
        <v>0.49134999999999995</v>
      </c>
      <c r="G66" s="275">
        <f t="shared" si="125"/>
        <v>243.80786999999998</v>
      </c>
      <c r="H66" s="1"/>
      <c r="I66" s="275">
        <f t="shared" ref="I66:J66" si="126">(I65+I67)/2</f>
        <v>0.25524999999999998</v>
      </c>
      <c r="J66" s="275">
        <f t="shared" si="126"/>
        <v>1.9143750000000002</v>
      </c>
      <c r="L66" s="275">
        <f t="shared" ref="L66:M66" si="127">(L65+L67)/2</f>
        <v>0</v>
      </c>
      <c r="M66" s="275">
        <f t="shared" si="127"/>
        <v>0</v>
      </c>
    </row>
    <row r="67" spans="2:13" ht="12.5" x14ac:dyDescent="0.25">
      <c r="B67" s="275">
        <f>B65+1</f>
        <v>32</v>
      </c>
      <c r="F67" s="1">
        <v>0.46310000000000001</v>
      </c>
      <c r="G67" s="1">
        <f>$G$2*F67</f>
        <v>229.79022000000001</v>
      </c>
      <c r="H67" s="1"/>
      <c r="I67" s="1">
        <v>0.24249999999999999</v>
      </c>
      <c r="J67" s="275">
        <f>$J$2*I67</f>
        <v>1.8187499999999999</v>
      </c>
    </row>
    <row r="68" spans="2:13" ht="12.5" x14ac:dyDescent="0.25">
      <c r="B68" s="275">
        <f t="shared" ref="B68:D68" si="128">(B67+B69)/2</f>
        <v>32.5</v>
      </c>
      <c r="C68" s="275">
        <f t="shared" si="128"/>
        <v>0</v>
      </c>
      <c r="D68" s="275">
        <f t="shared" si="128"/>
        <v>0</v>
      </c>
      <c r="F68" s="275">
        <f t="shared" ref="F68:G68" si="129">(F67+F69)/2</f>
        <v>0.43885000000000002</v>
      </c>
      <c r="G68" s="275">
        <f t="shared" si="129"/>
        <v>217.75737000000001</v>
      </c>
      <c r="H68" s="1"/>
      <c r="I68" s="275">
        <f t="shared" ref="I68:J68" si="130">(I67+I69)/2</f>
        <v>0.23130000000000001</v>
      </c>
      <c r="J68" s="275">
        <f t="shared" si="130"/>
        <v>1.73475</v>
      </c>
      <c r="L68" s="275">
        <f t="shared" ref="L68:M68" si="131">(L67+L69)/2</f>
        <v>0</v>
      </c>
      <c r="M68" s="275">
        <f t="shared" si="131"/>
        <v>0</v>
      </c>
    </row>
    <row r="69" spans="2:13" ht="12.5" x14ac:dyDescent="0.25">
      <c r="B69" s="275">
        <f>B67+1</f>
        <v>33</v>
      </c>
      <c r="F69" s="1">
        <v>0.41460000000000002</v>
      </c>
      <c r="G69" s="1">
        <f>$G$2*F69</f>
        <v>205.72452000000001</v>
      </c>
      <c r="H69" s="1"/>
      <c r="I69" s="1">
        <v>0.22009999999999999</v>
      </c>
      <c r="J69" s="275">
        <f>$J$2*I69</f>
        <v>1.6507499999999999</v>
      </c>
    </row>
    <row r="70" spans="2:13" ht="12.5" x14ac:dyDescent="0.25">
      <c r="B70" s="275">
        <f t="shared" ref="B70:D70" si="132">(B69+B71)/2</f>
        <v>33.5</v>
      </c>
      <c r="C70" s="275">
        <f t="shared" si="132"/>
        <v>0</v>
      </c>
      <c r="D70" s="275">
        <f t="shared" si="132"/>
        <v>0</v>
      </c>
      <c r="F70" s="275">
        <f t="shared" ref="F70:G70" si="133">(F69+F71)/2</f>
        <v>0.39365</v>
      </c>
      <c r="G70" s="275">
        <f t="shared" si="133"/>
        <v>195.32912999999999</v>
      </c>
      <c r="H70" s="1"/>
      <c r="I70" s="275">
        <f t="shared" ref="I70:J70" si="134">(I69+I71)/2</f>
        <v>0.21024999999999999</v>
      </c>
      <c r="J70" s="275">
        <f t="shared" si="134"/>
        <v>1.5768749999999998</v>
      </c>
      <c r="L70" s="275">
        <f t="shared" ref="L70:M70" si="135">(L69+L71)/2</f>
        <v>0</v>
      </c>
      <c r="M70" s="275">
        <f t="shared" si="135"/>
        <v>0</v>
      </c>
    </row>
    <row r="71" spans="2:13" ht="12.5" x14ac:dyDescent="0.25">
      <c r="B71" s="275">
        <f>B69+1</f>
        <v>34</v>
      </c>
      <c r="F71" s="1">
        <v>0.37269999999999998</v>
      </c>
      <c r="G71" s="1">
        <f>$G$2*F71</f>
        <v>184.93373999999997</v>
      </c>
      <c r="H71" s="1"/>
      <c r="I71" s="1">
        <v>0.20039999999999999</v>
      </c>
      <c r="J71" s="275">
        <f>$J$2*I71</f>
        <v>1.5029999999999999</v>
      </c>
    </row>
    <row r="72" spans="2:13" ht="12.5" x14ac:dyDescent="0.25">
      <c r="B72" s="275">
        <f t="shared" ref="B72:D72" si="136">(B71+B73)/2</f>
        <v>34.5</v>
      </c>
      <c r="C72" s="275">
        <f t="shared" si="136"/>
        <v>0</v>
      </c>
      <c r="D72" s="275">
        <f t="shared" si="136"/>
        <v>0</v>
      </c>
      <c r="F72" s="275">
        <f t="shared" ref="F72:G72" si="137">(F71+F73)/2</f>
        <v>0.35449999999999998</v>
      </c>
      <c r="G72" s="275">
        <f t="shared" si="137"/>
        <v>175.90289999999999</v>
      </c>
      <c r="H72" s="1"/>
      <c r="I72" s="275">
        <f t="shared" ref="I72:J72" si="138">(I71+I73)/2</f>
        <v>0.19169999999999998</v>
      </c>
      <c r="J72" s="275">
        <f t="shared" si="138"/>
        <v>1.4377499999999999</v>
      </c>
      <c r="L72" s="275">
        <f t="shared" ref="L72:M72" si="139">(L71+L73)/2</f>
        <v>0</v>
      </c>
      <c r="M72" s="275">
        <f t="shared" si="139"/>
        <v>0</v>
      </c>
    </row>
    <row r="73" spans="2:13" ht="12.5" x14ac:dyDescent="0.25">
      <c r="B73" s="275">
        <f>B71+1</f>
        <v>35</v>
      </c>
      <c r="F73" s="1">
        <v>0.33629999999999999</v>
      </c>
      <c r="G73" s="1">
        <f>$G$2*F73</f>
        <v>166.87205999999998</v>
      </c>
      <c r="H73" s="1"/>
      <c r="I73" s="1">
        <v>0.183</v>
      </c>
      <c r="J73" s="275">
        <f>$J$2*I73</f>
        <v>1.3725000000000001</v>
      </c>
    </row>
    <row r="74" spans="2:13" ht="12.5" x14ac:dyDescent="0.25">
      <c r="B74" s="275">
        <f t="shared" ref="B74:D74" si="140">(B73+B75)/2</f>
        <v>35.5</v>
      </c>
      <c r="C74" s="275">
        <f t="shared" si="140"/>
        <v>0</v>
      </c>
      <c r="D74" s="275">
        <f t="shared" si="140"/>
        <v>0</v>
      </c>
      <c r="F74" s="275">
        <f t="shared" ref="F74:G74" si="141">(F73+F75)/2</f>
        <v>0.32045000000000001</v>
      </c>
      <c r="G74" s="275">
        <f t="shared" si="141"/>
        <v>159.00728999999998</v>
      </c>
      <c r="H74" s="1"/>
      <c r="I74" s="275">
        <f t="shared" ref="I74:J74" si="142">(I73+I75)/2</f>
        <v>0.17525000000000002</v>
      </c>
      <c r="J74" s="275">
        <f t="shared" si="142"/>
        <v>1.3143750000000001</v>
      </c>
      <c r="L74" s="275">
        <f t="shared" ref="L74:M74" si="143">(L73+L75)/2</f>
        <v>0</v>
      </c>
      <c r="M74" s="275">
        <f t="shared" si="143"/>
        <v>0</v>
      </c>
    </row>
    <row r="75" spans="2:13" ht="12.5" x14ac:dyDescent="0.25">
      <c r="B75" s="275">
        <f>B73+1</f>
        <v>36</v>
      </c>
      <c r="F75" s="1">
        <v>0.30459999999999998</v>
      </c>
      <c r="G75" s="1">
        <f>$G$2*F75</f>
        <v>151.14251999999999</v>
      </c>
      <c r="H75" s="1"/>
      <c r="I75" s="1">
        <v>0.16750000000000001</v>
      </c>
      <c r="J75" s="275">
        <f>$J$2*I75</f>
        <v>1.2562500000000001</v>
      </c>
    </row>
    <row r="76" spans="2:13" ht="12.5" x14ac:dyDescent="0.25">
      <c r="B76" s="275">
        <f t="shared" ref="B76:D76" si="144">(B75+B77)/2</f>
        <v>36.5</v>
      </c>
      <c r="C76" s="275">
        <f t="shared" si="144"/>
        <v>0</v>
      </c>
      <c r="D76" s="275">
        <f t="shared" si="144"/>
        <v>0</v>
      </c>
      <c r="F76" s="275">
        <f t="shared" ref="F76:G76" si="145">(F75+F77)/2</f>
        <v>0.29069999999999996</v>
      </c>
      <c r="G76" s="275">
        <f t="shared" si="145"/>
        <v>144.24534</v>
      </c>
      <c r="H76" s="1"/>
      <c r="I76" s="275">
        <f t="shared" ref="I76:J76" si="146">(I75+I77)/2</f>
        <v>0.16060000000000002</v>
      </c>
      <c r="J76" s="275">
        <f t="shared" si="146"/>
        <v>1.2044999999999999</v>
      </c>
      <c r="L76" s="275">
        <f t="shared" ref="L76:M76" si="147">(L75+L77)/2</f>
        <v>0</v>
      </c>
      <c r="M76" s="275">
        <f t="shared" si="147"/>
        <v>0</v>
      </c>
    </row>
    <row r="77" spans="2:13" ht="12.5" x14ac:dyDescent="0.25">
      <c r="B77" s="275">
        <f>B75+1</f>
        <v>37</v>
      </c>
      <c r="F77" s="1">
        <v>0.27679999999999999</v>
      </c>
      <c r="G77" s="1">
        <f>$G$2*F77</f>
        <v>137.34815999999998</v>
      </c>
      <c r="H77" s="1"/>
      <c r="I77" s="1">
        <v>0.1537</v>
      </c>
      <c r="J77" s="275">
        <f>$J$2*I77</f>
        <v>1.1527499999999999</v>
      </c>
    </row>
    <row r="78" spans="2:13" ht="12.5" x14ac:dyDescent="0.25">
      <c r="B78" s="275">
        <f t="shared" ref="B78:D78" si="148">(B77+B79)/2</f>
        <v>37.5</v>
      </c>
      <c r="C78" s="275">
        <f t="shared" si="148"/>
        <v>0</v>
      </c>
      <c r="D78" s="275">
        <f t="shared" si="148"/>
        <v>0</v>
      </c>
      <c r="F78" s="275">
        <f t="shared" ref="F78:G78" si="149">(F77+F79)/2</f>
        <v>0.26455000000000001</v>
      </c>
      <c r="G78" s="275">
        <f t="shared" si="149"/>
        <v>131.26971</v>
      </c>
      <c r="H78" s="1"/>
      <c r="I78" s="275">
        <f t="shared" ref="I78:J78" si="150">(I77+I79)/2</f>
        <v>0.14760000000000001</v>
      </c>
      <c r="J78" s="275">
        <f t="shared" si="150"/>
        <v>1.1069999999999998</v>
      </c>
      <c r="L78" s="275">
        <f t="shared" ref="L78:M78" si="151">(L77+L79)/2</f>
        <v>0</v>
      </c>
      <c r="M78" s="275">
        <f t="shared" si="151"/>
        <v>0</v>
      </c>
    </row>
    <row r="79" spans="2:13" ht="12.5" x14ac:dyDescent="0.25">
      <c r="B79" s="275">
        <f>B77+1</f>
        <v>38</v>
      </c>
      <c r="F79" s="1">
        <v>0.25230000000000002</v>
      </c>
      <c r="G79" s="1">
        <f>$G$2*F79</f>
        <v>125.19126000000001</v>
      </c>
      <c r="H79" s="1"/>
      <c r="I79" s="1">
        <v>0.14149999999999999</v>
      </c>
      <c r="J79" s="275">
        <f>$J$2*I79</f>
        <v>1.0612499999999998</v>
      </c>
    </row>
    <row r="80" spans="2:13" ht="12.5" x14ac:dyDescent="0.25">
      <c r="B80" s="275">
        <f t="shared" ref="B80:D80" si="152">(B79+B81)/2</f>
        <v>38.5</v>
      </c>
      <c r="C80" s="275">
        <f t="shared" si="152"/>
        <v>0</v>
      </c>
      <c r="D80" s="275">
        <f t="shared" si="152"/>
        <v>0</v>
      </c>
      <c r="F80" s="275">
        <f t="shared" ref="F80:G80" si="153">(F79+F81)/2</f>
        <v>0.24149999999999999</v>
      </c>
      <c r="G80" s="275">
        <f t="shared" si="153"/>
        <v>119.8323</v>
      </c>
      <c r="H80" s="1"/>
      <c r="I80" s="275">
        <f t="shared" ref="I80:J80" si="154">(I79+I81)/2</f>
        <v>0.13600000000000001</v>
      </c>
      <c r="J80" s="275">
        <f t="shared" si="154"/>
        <v>1.02</v>
      </c>
      <c r="L80" s="275">
        <f t="shared" ref="L80:M80" si="155">(L79+L81)/2</f>
        <v>0</v>
      </c>
      <c r="M80" s="275">
        <f t="shared" si="155"/>
        <v>0</v>
      </c>
    </row>
    <row r="81" spans="2:13" ht="12.5" x14ac:dyDescent="0.25">
      <c r="B81" s="275">
        <f>B79+1</f>
        <v>39</v>
      </c>
      <c r="F81" s="1">
        <v>0.23069999999999999</v>
      </c>
      <c r="G81" s="1">
        <f>$G$2*F81</f>
        <v>114.47333999999999</v>
      </c>
      <c r="H81" s="1"/>
      <c r="I81" s="1">
        <v>0.1305</v>
      </c>
      <c r="J81" s="275">
        <f>$J$2*I81</f>
        <v>0.97875000000000001</v>
      </c>
    </row>
    <row r="82" spans="2:13" ht="12.5" x14ac:dyDescent="0.25">
      <c r="B82" s="275">
        <f t="shared" ref="B82:D82" si="156">(B81+B83)/2</f>
        <v>39.5</v>
      </c>
      <c r="C82" s="275">
        <f t="shared" si="156"/>
        <v>0</v>
      </c>
      <c r="D82" s="275">
        <f t="shared" si="156"/>
        <v>0</v>
      </c>
      <c r="F82" s="275">
        <f t="shared" ref="F82:G82" si="157">(F81+F83)/2</f>
        <v>0.22109999999999999</v>
      </c>
      <c r="G82" s="275">
        <f t="shared" si="157"/>
        <v>109.70981999999999</v>
      </c>
      <c r="H82" s="1"/>
      <c r="I82" s="275">
        <f t="shared" ref="I82:J82" si="158">(I81+I83)/2</f>
        <v>0.12554999999999999</v>
      </c>
      <c r="J82" s="275">
        <f t="shared" si="158"/>
        <v>0.94162499999999993</v>
      </c>
      <c r="L82" s="275">
        <f t="shared" ref="L82:M82" si="159">(L81+L83)/2</f>
        <v>0</v>
      </c>
      <c r="M82" s="275">
        <f t="shared" si="159"/>
        <v>0</v>
      </c>
    </row>
    <row r="83" spans="2:13" ht="12.5" x14ac:dyDescent="0.25">
      <c r="B83" s="275">
        <f>B81+1</f>
        <v>40</v>
      </c>
      <c r="F83" s="1">
        <v>0.21149999999999999</v>
      </c>
      <c r="G83" s="1">
        <f>$G$2*F83</f>
        <v>104.94629999999999</v>
      </c>
      <c r="H83" s="1"/>
      <c r="I83" s="1">
        <v>0.1206</v>
      </c>
      <c r="J83" s="275">
        <f>$J$2*I83</f>
        <v>0.90449999999999997</v>
      </c>
    </row>
    <row r="84" spans="2:13" ht="12.5" x14ac:dyDescent="0.25">
      <c r="B84" s="275">
        <f t="shared" ref="B84:D84" si="160">(B83+B85)/2</f>
        <v>40.5</v>
      </c>
      <c r="C84" s="275">
        <f t="shared" si="160"/>
        <v>0</v>
      </c>
      <c r="D84" s="275">
        <f t="shared" si="160"/>
        <v>0</v>
      </c>
      <c r="F84" s="275">
        <f t="shared" ref="F84:G84" si="161">(F83+F85)/2</f>
        <v>0.20294999999999999</v>
      </c>
      <c r="G84" s="275">
        <f t="shared" si="161"/>
        <v>100.70379</v>
      </c>
      <c r="H84" s="1"/>
      <c r="I84" s="275">
        <f t="shared" ref="I84:J84" si="162">(I83+I85)/2</f>
        <v>0.11615</v>
      </c>
      <c r="J84" s="275">
        <f t="shared" si="162"/>
        <v>0.87112499999999993</v>
      </c>
      <c r="L84" s="275">
        <f t="shared" ref="L84:M84" si="163">(L83+L85)/2</f>
        <v>0</v>
      </c>
      <c r="M84" s="275">
        <f t="shared" si="163"/>
        <v>0</v>
      </c>
    </row>
    <row r="85" spans="2:13" ht="12.5" x14ac:dyDescent="0.25">
      <c r="B85" s="275">
        <f>B83+1</f>
        <v>41</v>
      </c>
      <c r="F85" s="1">
        <v>0.19439999999999999</v>
      </c>
      <c r="G85" s="1">
        <f>$G$2*F85</f>
        <v>96.461279999999988</v>
      </c>
      <c r="H85" s="1"/>
      <c r="I85" s="1">
        <v>0.11169999999999999</v>
      </c>
      <c r="J85" s="275">
        <f>$J$2*I85</f>
        <v>0.83774999999999999</v>
      </c>
    </row>
    <row r="86" spans="2:13" ht="12.5" x14ac:dyDescent="0.25">
      <c r="B86" s="275">
        <f t="shared" ref="B86:D86" si="164">(B85+B87)/2</f>
        <v>41.5</v>
      </c>
      <c r="C86" s="275">
        <f t="shared" si="164"/>
        <v>0</v>
      </c>
      <c r="D86" s="275">
        <f t="shared" si="164"/>
        <v>0</v>
      </c>
      <c r="F86" s="275">
        <f t="shared" ref="F86:G86" si="165">(F85+F87)/2</f>
        <v>0.18675</v>
      </c>
      <c r="G86" s="275">
        <f t="shared" si="165"/>
        <v>92.665349999999989</v>
      </c>
      <c r="H86" s="1"/>
      <c r="I86" s="275">
        <f t="shared" ref="I86:J86" si="166">(I85+I87)/2</f>
        <v>0.10765</v>
      </c>
      <c r="J86" s="275">
        <f t="shared" si="166"/>
        <v>0.80737499999999995</v>
      </c>
      <c r="L86" s="275">
        <f t="shared" ref="L86:M86" si="167">(L85+L87)/2</f>
        <v>0</v>
      </c>
      <c r="M86" s="275">
        <f t="shared" si="167"/>
        <v>0</v>
      </c>
    </row>
    <row r="87" spans="2:13" ht="12.5" x14ac:dyDescent="0.25">
      <c r="B87" s="275">
        <f>B85+1</f>
        <v>42</v>
      </c>
      <c r="F87" s="1">
        <v>0.17910000000000001</v>
      </c>
      <c r="G87" s="1">
        <f>$G$2*F87</f>
        <v>88.869420000000005</v>
      </c>
      <c r="H87" s="1"/>
      <c r="I87" s="1">
        <v>0.1036</v>
      </c>
      <c r="J87" s="275">
        <f>$J$2*I87</f>
        <v>0.77700000000000002</v>
      </c>
    </row>
    <row r="88" spans="2:13" ht="12.5" x14ac:dyDescent="0.25">
      <c r="B88" s="275">
        <f t="shared" ref="B88:D88" si="168">(B87+B89)/2</f>
        <v>42.5</v>
      </c>
      <c r="C88" s="275">
        <f t="shared" si="168"/>
        <v>0</v>
      </c>
      <c r="D88" s="275">
        <f t="shared" si="168"/>
        <v>0</v>
      </c>
      <c r="F88" s="275">
        <f t="shared" ref="F88:G88" si="169">(F87+F89)/2</f>
        <v>0.17230000000000001</v>
      </c>
      <c r="G88" s="275">
        <f t="shared" si="169"/>
        <v>85.495260000000002</v>
      </c>
      <c r="H88" s="1"/>
      <c r="I88" s="275">
        <f t="shared" ref="I88:J88" si="170">(I87+I89)/2</f>
        <v>9.9949999999999997E-2</v>
      </c>
      <c r="J88" s="275">
        <f t="shared" si="170"/>
        <v>0.74962499999999999</v>
      </c>
      <c r="L88" s="275">
        <f t="shared" ref="L88:M88" si="171">(L87+L89)/2</f>
        <v>0</v>
      </c>
      <c r="M88" s="275">
        <f t="shared" si="171"/>
        <v>0</v>
      </c>
    </row>
    <row r="89" spans="2:13" ht="12.5" x14ac:dyDescent="0.25">
      <c r="B89" s="275">
        <f>B87+1</f>
        <v>43</v>
      </c>
      <c r="F89" s="1">
        <v>0.16550000000000001</v>
      </c>
      <c r="G89" s="1">
        <f>$G$2*F89</f>
        <v>82.121099999999998</v>
      </c>
      <c r="H89" s="1"/>
      <c r="I89" s="1">
        <v>9.6299999999999997E-2</v>
      </c>
      <c r="J89" s="275">
        <f>$J$2*I89</f>
        <v>0.72224999999999995</v>
      </c>
    </row>
    <row r="90" spans="2:13" ht="12.5" x14ac:dyDescent="0.25">
      <c r="B90" s="275">
        <f t="shared" ref="B90:D90" si="172">(B89+B91)/2</f>
        <v>43.5</v>
      </c>
      <c r="C90" s="275">
        <f t="shared" si="172"/>
        <v>0</v>
      </c>
      <c r="D90" s="275">
        <f t="shared" si="172"/>
        <v>0</v>
      </c>
      <c r="F90" s="275">
        <f t="shared" ref="F90:G90" si="173">(F89+F91)/2</f>
        <v>0.15934999999999999</v>
      </c>
      <c r="G90" s="275">
        <f t="shared" si="173"/>
        <v>79.069469999999995</v>
      </c>
      <c r="H90" s="1"/>
      <c r="I90" s="275">
        <f t="shared" ref="I90:J90" si="174">(I89+I91)/2</f>
        <v>9.2999999999999999E-2</v>
      </c>
      <c r="J90" s="275">
        <f t="shared" si="174"/>
        <v>0.69750000000000001</v>
      </c>
      <c r="L90" s="275">
        <f t="shared" ref="L90:M90" si="175">(L89+L91)/2</f>
        <v>0</v>
      </c>
      <c r="M90" s="275">
        <f t="shared" si="175"/>
        <v>0</v>
      </c>
    </row>
    <row r="91" spans="2:13" ht="12.5" x14ac:dyDescent="0.25">
      <c r="B91" s="275">
        <f>B89+1</f>
        <v>44</v>
      </c>
      <c r="F91" s="1">
        <v>0.1532</v>
      </c>
      <c r="G91" s="1">
        <f>$G$2*F91</f>
        <v>76.017840000000007</v>
      </c>
      <c r="H91" s="1"/>
      <c r="I91" s="1">
        <v>8.9700000000000002E-2</v>
      </c>
      <c r="J91" s="275">
        <f>$J$2*I91</f>
        <v>0.67274999999999996</v>
      </c>
    </row>
    <row r="92" spans="2:13" ht="12.5" x14ac:dyDescent="0.25">
      <c r="B92" s="275">
        <f t="shared" ref="B92:D92" si="176">(B91+B93)/2</f>
        <v>44.5</v>
      </c>
      <c r="C92" s="275">
        <f t="shared" si="176"/>
        <v>0</v>
      </c>
      <c r="D92" s="275">
        <f t="shared" si="176"/>
        <v>0</v>
      </c>
      <c r="F92" s="275">
        <f t="shared" ref="F92:G92" si="177">(F91+F93)/2</f>
        <v>0.14765</v>
      </c>
      <c r="G92" s="275">
        <f t="shared" si="177"/>
        <v>73.263930000000002</v>
      </c>
      <c r="H92" s="1"/>
      <c r="I92" s="275">
        <f t="shared" ref="I92:J92" si="178">(I91+I93)/2</f>
        <v>8.6699999999999999E-2</v>
      </c>
      <c r="J92" s="275">
        <f t="shared" si="178"/>
        <v>0.65024999999999999</v>
      </c>
      <c r="L92" s="275">
        <f t="shared" ref="L92:M92" si="179">(L91+L93)/2</f>
        <v>0</v>
      </c>
      <c r="M92" s="275">
        <f t="shared" si="179"/>
        <v>0</v>
      </c>
    </row>
    <row r="93" spans="2:13" ht="12.5" x14ac:dyDescent="0.25">
      <c r="B93" s="275">
        <f>B91+1</f>
        <v>45</v>
      </c>
      <c r="F93" s="1">
        <v>0.1421</v>
      </c>
      <c r="G93" s="1">
        <f>$G$2*F93</f>
        <v>70.510019999999997</v>
      </c>
      <c r="H93" s="1"/>
      <c r="I93" s="1">
        <v>8.3699999999999997E-2</v>
      </c>
      <c r="J93" s="275">
        <f>$J$2*I93</f>
        <v>0.62775000000000003</v>
      </c>
    </row>
    <row r="94" spans="2:13" ht="12.5" x14ac:dyDescent="0.25">
      <c r="B94" s="275">
        <f t="shared" ref="B94:D94" si="180">(B93+B95)/2</f>
        <v>45.5</v>
      </c>
      <c r="C94" s="275">
        <f t="shared" si="180"/>
        <v>0</v>
      </c>
      <c r="D94" s="275">
        <f t="shared" si="180"/>
        <v>0</v>
      </c>
      <c r="F94" s="275">
        <f t="shared" ref="F94:G94" si="181">(F93+F95)/2</f>
        <v>0.13705000000000001</v>
      </c>
      <c r="G94" s="275">
        <f t="shared" si="181"/>
        <v>68.00421</v>
      </c>
      <c r="H94" s="1"/>
      <c r="I94" s="275">
        <f t="shared" ref="I94:J94" si="182">(I93+I95)/2</f>
        <v>8.0949999999999994E-2</v>
      </c>
      <c r="J94" s="275">
        <f t="shared" si="182"/>
        <v>0.60712500000000003</v>
      </c>
      <c r="L94" s="275">
        <f t="shared" ref="L94:M94" si="183">(L93+L95)/2</f>
        <v>0</v>
      </c>
      <c r="M94" s="275">
        <f t="shared" si="183"/>
        <v>0</v>
      </c>
    </row>
    <row r="95" spans="2:13" ht="12.5" x14ac:dyDescent="0.25">
      <c r="B95" s="275">
        <f>B93+1</f>
        <v>46</v>
      </c>
      <c r="F95" s="1">
        <v>0.13200000000000001</v>
      </c>
      <c r="G95" s="1">
        <f>$G$2*F95</f>
        <v>65.498400000000004</v>
      </c>
      <c r="H95" s="1"/>
      <c r="I95" s="1">
        <v>7.8200000000000006E-2</v>
      </c>
      <c r="J95" s="275">
        <f>$J$2*I95</f>
        <v>0.58650000000000002</v>
      </c>
    </row>
    <row r="96" spans="2:13" ht="12.5" x14ac:dyDescent="0.25">
      <c r="B96" s="275">
        <f t="shared" ref="B96:D96" si="184">(B95+B97)/2</f>
        <v>46.5</v>
      </c>
      <c r="C96" s="275">
        <f t="shared" si="184"/>
        <v>0</v>
      </c>
      <c r="D96" s="275">
        <f t="shared" si="184"/>
        <v>0</v>
      </c>
      <c r="F96" s="275">
        <f t="shared" ref="F96:G96" si="185">(F95+F97)/2</f>
        <v>0.12745000000000001</v>
      </c>
      <c r="G96" s="275">
        <f t="shared" si="185"/>
        <v>63.240690000000001</v>
      </c>
      <c r="H96" s="1"/>
      <c r="I96" s="275">
        <f t="shared" ref="I96:J96" si="186">(I95+I97)/2</f>
        <v>7.5700000000000003E-2</v>
      </c>
      <c r="J96" s="275">
        <f t="shared" si="186"/>
        <v>0.56774999999999998</v>
      </c>
      <c r="L96" s="275">
        <f t="shared" ref="L96:M96" si="187">(L95+L97)/2</f>
        <v>0</v>
      </c>
      <c r="M96" s="275">
        <f t="shared" si="187"/>
        <v>0</v>
      </c>
    </row>
    <row r="97" spans="2:13" ht="12.5" x14ac:dyDescent="0.25">
      <c r="B97" s="275">
        <f>B95+1</f>
        <v>47</v>
      </c>
      <c r="F97" s="1">
        <v>0.1229</v>
      </c>
      <c r="G97" s="1">
        <f>$G$2*F97</f>
        <v>60.982979999999998</v>
      </c>
      <c r="H97" s="1"/>
      <c r="I97" s="1">
        <v>7.3200000000000001E-2</v>
      </c>
      <c r="J97" s="275">
        <f>$J$2*I97</f>
        <v>0.54900000000000004</v>
      </c>
    </row>
    <row r="98" spans="2:13" ht="12.5" x14ac:dyDescent="0.25">
      <c r="B98" s="275">
        <f t="shared" ref="B98:D98" si="188">(B97+B99)/2</f>
        <v>47.5</v>
      </c>
      <c r="C98" s="275">
        <f t="shared" si="188"/>
        <v>0</v>
      </c>
      <c r="D98" s="275">
        <f t="shared" si="188"/>
        <v>0</v>
      </c>
      <c r="F98" s="275">
        <f t="shared" ref="F98:G98" si="189">(F97+F99)/2</f>
        <v>0.11879999999999999</v>
      </c>
      <c r="G98" s="275">
        <f t="shared" si="189"/>
        <v>58.948560000000001</v>
      </c>
      <c r="H98" s="1"/>
      <c r="I98" s="275">
        <f t="shared" ref="I98:J98" si="190">(I97+I99)/2</f>
        <v>7.0899999999999991E-2</v>
      </c>
      <c r="J98" s="275">
        <f t="shared" si="190"/>
        <v>0.53174999999999994</v>
      </c>
      <c r="L98" s="275">
        <f t="shared" ref="L98:M98" si="191">(L97+L99)/2</f>
        <v>0</v>
      </c>
      <c r="M98" s="275">
        <f t="shared" si="191"/>
        <v>0</v>
      </c>
    </row>
    <row r="99" spans="2:13" ht="12.5" x14ac:dyDescent="0.25">
      <c r="B99" s="275">
        <f>B97+1</f>
        <v>48</v>
      </c>
      <c r="F99" s="1">
        <v>0.1147</v>
      </c>
      <c r="G99" s="1">
        <f>$G$2*F99</f>
        <v>56.914139999999996</v>
      </c>
      <c r="H99" s="1"/>
      <c r="I99" s="1">
        <v>6.8599999999999994E-2</v>
      </c>
      <c r="J99" s="275">
        <f>$J$2*I99</f>
        <v>0.51449999999999996</v>
      </c>
    </row>
    <row r="100" spans="2:13" ht="12.5" x14ac:dyDescent="0.25">
      <c r="B100" s="275">
        <f t="shared" ref="B100:D100" si="192">(B99+B101)/2</f>
        <v>48.5</v>
      </c>
      <c r="C100" s="275">
        <f t="shared" si="192"/>
        <v>0</v>
      </c>
      <c r="D100" s="275">
        <f t="shared" si="192"/>
        <v>0</v>
      </c>
      <c r="F100" s="275">
        <f t="shared" ref="F100:G100" si="193">(F99+F101)/2</f>
        <v>0.1109</v>
      </c>
      <c r="G100" s="275">
        <f t="shared" si="193"/>
        <v>55.028579999999998</v>
      </c>
      <c r="H100" s="1"/>
      <c r="I100" s="275">
        <f t="shared" ref="I100:J100" si="194">(I99+I101)/2</f>
        <v>6.6449999999999995E-2</v>
      </c>
      <c r="J100" s="275">
        <f t="shared" si="194"/>
        <v>0.49837499999999996</v>
      </c>
      <c r="L100" s="275">
        <f t="shared" ref="L100:M100" si="195">(L99+L101)/2</f>
        <v>0</v>
      </c>
      <c r="M100" s="275">
        <f t="shared" si="195"/>
        <v>0</v>
      </c>
    </row>
    <row r="101" spans="2:13" ht="12.5" x14ac:dyDescent="0.25">
      <c r="B101" s="275">
        <f>B99+1</f>
        <v>49</v>
      </c>
      <c r="F101" s="1">
        <v>0.1071</v>
      </c>
      <c r="G101" s="1">
        <f>$G$2*F101</f>
        <v>53.14302</v>
      </c>
      <c r="H101" s="1"/>
      <c r="I101" s="1">
        <v>6.4299999999999996E-2</v>
      </c>
      <c r="J101" s="275">
        <f>$J$2*I101</f>
        <v>0.48224999999999996</v>
      </c>
    </row>
    <row r="102" spans="2:13" ht="12.5" x14ac:dyDescent="0.25">
      <c r="B102" s="275">
        <f t="shared" ref="B102:D102" si="196">(B101+B103)/2</f>
        <v>49.5</v>
      </c>
      <c r="C102" s="275">
        <f t="shared" si="196"/>
        <v>0</v>
      </c>
      <c r="D102" s="275">
        <f t="shared" si="196"/>
        <v>0</v>
      </c>
      <c r="F102" s="275">
        <f t="shared" ref="F102:G102" si="197">(F101+F103)/2</f>
        <v>0.1037</v>
      </c>
      <c r="G102" s="275">
        <f t="shared" si="197"/>
        <v>51.455939999999998</v>
      </c>
      <c r="H102" s="1"/>
      <c r="I102" s="275">
        <f t="shared" ref="I102:J102" si="198">(I101+I103)/2</f>
        <v>6.2399999999999997E-2</v>
      </c>
      <c r="J102" s="275">
        <f t="shared" si="198"/>
        <v>0.46799999999999997</v>
      </c>
      <c r="L102" s="275">
        <f t="shared" ref="L102:M102" si="199">(L101+L103)/2</f>
        <v>0</v>
      </c>
      <c r="M102" s="275">
        <f t="shared" si="199"/>
        <v>0</v>
      </c>
    </row>
    <row r="103" spans="2:13" ht="12.5" x14ac:dyDescent="0.25">
      <c r="B103" s="275">
        <f>B101+1</f>
        <v>50</v>
      </c>
      <c r="F103" s="1">
        <v>0.1003</v>
      </c>
      <c r="G103" s="1">
        <f>$G$2*F103</f>
        <v>49.768859999999997</v>
      </c>
      <c r="H103" s="1"/>
      <c r="I103" s="1">
        <v>6.0499999999999998E-2</v>
      </c>
      <c r="J103" s="275">
        <f>$J$2*I103</f>
        <v>0.45374999999999999</v>
      </c>
    </row>
    <row r="104" spans="2:13" ht="12.5" x14ac:dyDescent="0.25">
      <c r="B104" s="275">
        <f t="shared" ref="B104:D104" si="200">(B103+B105)/2</f>
        <v>50.5</v>
      </c>
      <c r="C104" s="275">
        <f t="shared" si="200"/>
        <v>0</v>
      </c>
      <c r="D104" s="275">
        <f t="shared" si="200"/>
        <v>0</v>
      </c>
      <c r="F104" s="275">
        <f t="shared" ref="F104:G104" si="201">(F103+F105)/2</f>
        <v>9.715E-2</v>
      </c>
      <c r="G104" s="275">
        <f t="shared" si="201"/>
        <v>48.205829999999999</v>
      </c>
      <c r="H104" s="1"/>
      <c r="I104" s="275">
        <f t="shared" ref="I104:J104" si="202">(I103+I105)/2</f>
        <v>5.8700000000000002E-2</v>
      </c>
      <c r="J104" s="275">
        <f t="shared" si="202"/>
        <v>0.44025000000000003</v>
      </c>
      <c r="L104" s="275">
        <f t="shared" ref="L104:M104" si="203">(L103+L105)/2</f>
        <v>0</v>
      </c>
      <c r="M104" s="275">
        <f t="shared" si="203"/>
        <v>0</v>
      </c>
    </row>
    <row r="105" spans="2:13" ht="12.5" x14ac:dyDescent="0.25">
      <c r="B105" s="275">
        <f>B103+1</f>
        <v>51</v>
      </c>
      <c r="F105" s="1">
        <v>9.4E-2</v>
      </c>
      <c r="G105" s="1">
        <f>$G$2*F105</f>
        <v>46.642800000000001</v>
      </c>
      <c r="H105" s="1"/>
      <c r="I105" s="1">
        <v>5.6899999999999999E-2</v>
      </c>
      <c r="J105" s="275">
        <f>$J$2*I105</f>
        <v>0.42675000000000002</v>
      </c>
    </row>
    <row r="106" spans="2:13" ht="12.5" x14ac:dyDescent="0.25">
      <c r="B106" s="275">
        <f t="shared" ref="B106:D106" si="204">(B105+B107)/2</f>
        <v>51.5</v>
      </c>
      <c r="C106" s="275">
        <f t="shared" si="204"/>
        <v>0</v>
      </c>
      <c r="D106" s="275">
        <f t="shared" si="204"/>
        <v>0</v>
      </c>
      <c r="F106" s="275">
        <f t="shared" ref="F106:G106" si="205">(F105+F107)/2</f>
        <v>9.11E-2</v>
      </c>
      <c r="G106" s="275">
        <f t="shared" si="205"/>
        <v>45.20382</v>
      </c>
      <c r="H106" s="1"/>
      <c r="I106" s="275">
        <f t="shared" ref="I106:J106" si="206">(I105+I107)/2</f>
        <v>5.525E-2</v>
      </c>
      <c r="J106" s="275">
        <f t="shared" si="206"/>
        <v>0.41437500000000005</v>
      </c>
      <c r="L106" s="275">
        <f t="shared" ref="L106:M106" si="207">(L105+L107)/2</f>
        <v>0</v>
      </c>
      <c r="M106" s="275">
        <f t="shared" si="207"/>
        <v>0</v>
      </c>
    </row>
    <row r="107" spans="2:13" ht="12.5" x14ac:dyDescent="0.25">
      <c r="B107" s="275">
        <f>B105+1</f>
        <v>52</v>
      </c>
      <c r="F107" s="1">
        <v>8.8200000000000001E-2</v>
      </c>
      <c r="G107" s="1">
        <f>$G$2*F107</f>
        <v>43.76484</v>
      </c>
      <c r="H107" s="1"/>
      <c r="I107" s="1">
        <v>5.3600000000000002E-2</v>
      </c>
      <c r="J107" s="275">
        <f>$J$2*I107</f>
        <v>0.40200000000000002</v>
      </c>
    </row>
    <row r="108" spans="2:13" ht="12.5" x14ac:dyDescent="0.25">
      <c r="B108" s="275">
        <f t="shared" ref="B108:D108" si="208">(B107+B109)/2</f>
        <v>52.5</v>
      </c>
      <c r="C108" s="275">
        <f t="shared" si="208"/>
        <v>0</v>
      </c>
      <c r="D108" s="275">
        <f t="shared" si="208"/>
        <v>0</v>
      </c>
      <c r="F108" s="275">
        <f t="shared" ref="F108:G108" si="209">(F107+F109)/2</f>
        <v>8.5550000000000001E-2</v>
      </c>
      <c r="G108" s="275">
        <f t="shared" si="209"/>
        <v>42.449910000000003</v>
      </c>
      <c r="H108" s="1"/>
      <c r="I108" s="275">
        <f t="shared" ref="I108:J108" si="210">(I107+I109)/2</f>
        <v>5.2049999999999999E-2</v>
      </c>
      <c r="J108" s="275">
        <f t="shared" si="210"/>
        <v>0.39037500000000003</v>
      </c>
      <c r="L108" s="275">
        <f t="shared" ref="L108:M108" si="211">(L107+L109)/2</f>
        <v>0</v>
      </c>
      <c r="M108" s="275">
        <f t="shared" si="211"/>
        <v>0</v>
      </c>
    </row>
    <row r="109" spans="2:13" ht="12.5" x14ac:dyDescent="0.25">
      <c r="B109" s="275">
        <f>B107+1</f>
        <v>53</v>
      </c>
      <c r="F109" s="1">
        <v>8.2900000000000001E-2</v>
      </c>
      <c r="G109" s="1">
        <f>$G$2*F109</f>
        <v>41.134979999999999</v>
      </c>
      <c r="H109" s="1"/>
      <c r="I109" s="1">
        <v>5.0500000000000003E-2</v>
      </c>
      <c r="J109" s="275">
        <f>$J$2*I109</f>
        <v>0.37875000000000003</v>
      </c>
    </row>
    <row r="110" spans="2:13" ht="12.5" x14ac:dyDescent="0.25">
      <c r="B110" s="275">
        <f t="shared" ref="B110:D110" si="212">(B109+B111)/2</f>
        <v>53.5</v>
      </c>
      <c r="C110" s="275">
        <f t="shared" si="212"/>
        <v>0</v>
      </c>
      <c r="D110" s="275">
        <f t="shared" si="212"/>
        <v>0</v>
      </c>
      <c r="F110" s="275">
        <f t="shared" ref="F110:G110" si="213">(F109+F111)/2</f>
        <v>8.0449999999999994E-2</v>
      </c>
      <c r="G110" s="275">
        <f t="shared" si="213"/>
        <v>39.919290000000004</v>
      </c>
      <c r="H110" s="1"/>
      <c r="I110" s="275">
        <f t="shared" ref="I110:J110" si="214">(I109+I111)/2</f>
        <v>4.9100000000000005E-2</v>
      </c>
      <c r="J110" s="275">
        <f t="shared" si="214"/>
        <v>0.36825000000000002</v>
      </c>
      <c r="L110" s="275">
        <f t="shared" ref="L110:M110" si="215">(L109+L111)/2</f>
        <v>0</v>
      </c>
      <c r="M110" s="275">
        <f t="shared" si="215"/>
        <v>0</v>
      </c>
    </row>
    <row r="111" spans="2:13" ht="12.5" x14ac:dyDescent="0.25">
      <c r="B111" s="275">
        <f>B109+1</f>
        <v>54</v>
      </c>
      <c r="F111" s="1">
        <v>7.8E-2</v>
      </c>
      <c r="G111" s="1">
        <f>$G$2*F111</f>
        <v>38.703600000000002</v>
      </c>
      <c r="H111" s="1"/>
      <c r="I111" s="1">
        <v>4.7699999999999999E-2</v>
      </c>
      <c r="J111" s="275">
        <f>$J$2*I111</f>
        <v>0.35775000000000001</v>
      </c>
    </row>
    <row r="112" spans="2:13" ht="12.5" x14ac:dyDescent="0.25">
      <c r="B112" s="275">
        <f t="shared" ref="B112:D112" si="216">(B111+B113)/2</f>
        <v>54.5</v>
      </c>
      <c r="C112" s="275">
        <f t="shared" si="216"/>
        <v>0</v>
      </c>
      <c r="D112" s="275">
        <f t="shared" si="216"/>
        <v>0</v>
      </c>
      <c r="F112" s="275">
        <f t="shared" ref="F112:G112" si="217">(F111+F113)/2</f>
        <v>7.5749999999999998E-2</v>
      </c>
      <c r="G112" s="275">
        <f t="shared" si="217"/>
        <v>37.587149999999994</v>
      </c>
      <c r="H112" s="1"/>
      <c r="I112" s="275">
        <f t="shared" ref="I112:J112" si="218">(I111+I113)/2</f>
        <v>4.6399999999999997E-2</v>
      </c>
      <c r="J112" s="275">
        <f t="shared" si="218"/>
        <v>0.34799999999999998</v>
      </c>
      <c r="L112" s="275">
        <f t="shared" ref="L112:M112" si="219">(L111+L113)/2</f>
        <v>0</v>
      </c>
      <c r="M112" s="275">
        <f t="shared" si="219"/>
        <v>0</v>
      </c>
    </row>
    <row r="113" spans="2:13" ht="12.5" x14ac:dyDescent="0.25">
      <c r="B113" s="275">
        <f>B111+1</f>
        <v>55</v>
      </c>
      <c r="F113" s="1">
        <v>7.3499999999999996E-2</v>
      </c>
      <c r="G113" s="1">
        <f>$G$2*F113</f>
        <v>36.470699999999994</v>
      </c>
      <c r="H113" s="1"/>
      <c r="I113" s="1">
        <v>4.5100000000000001E-2</v>
      </c>
      <c r="J113" s="275">
        <f>$J$2*I113</f>
        <v>0.33825</v>
      </c>
    </row>
    <row r="114" spans="2:13" ht="12.5" x14ac:dyDescent="0.25">
      <c r="B114" s="275">
        <f t="shared" ref="B114:D114" si="220">(B113+B115)/2</f>
        <v>55.5</v>
      </c>
      <c r="C114" s="275">
        <f t="shared" si="220"/>
        <v>0</v>
      </c>
      <c r="D114" s="275">
        <f t="shared" si="220"/>
        <v>0</v>
      </c>
      <c r="F114" s="275">
        <f t="shared" ref="F114:G114" si="221">(F113+F115)/2</f>
        <v>7.145E-2</v>
      </c>
      <c r="G114" s="275">
        <f t="shared" si="221"/>
        <v>35.453490000000002</v>
      </c>
      <c r="H114" s="1"/>
      <c r="I114" s="275">
        <f t="shared" ref="I114:J114" si="222">(I113+I115)/2</f>
        <v>4.3900000000000002E-2</v>
      </c>
      <c r="J114" s="275">
        <f t="shared" si="222"/>
        <v>0.32925000000000004</v>
      </c>
      <c r="L114" s="275">
        <f t="shared" ref="L114:M114" si="223">(L113+L115)/2</f>
        <v>0</v>
      </c>
      <c r="M114" s="275">
        <f t="shared" si="223"/>
        <v>0</v>
      </c>
    </row>
    <row r="115" spans="2:13" ht="12.5" x14ac:dyDescent="0.25">
      <c r="B115" s="275">
        <f>B113+1</f>
        <v>56</v>
      </c>
      <c r="F115" s="1">
        <v>6.9400000000000003E-2</v>
      </c>
      <c r="G115" s="1">
        <f>$G$2*F115</f>
        <v>34.436280000000004</v>
      </c>
      <c r="H115" s="1"/>
      <c r="I115" s="1">
        <v>4.2700000000000002E-2</v>
      </c>
      <c r="J115" s="275">
        <f>$J$2*I115</f>
        <v>0.32025000000000003</v>
      </c>
    </row>
    <row r="116" spans="2:13" ht="12.5" x14ac:dyDescent="0.25">
      <c r="B116" s="275">
        <f t="shared" ref="B116:D116" si="224">(B115+B117)/2</f>
        <v>56.5</v>
      </c>
      <c r="C116" s="275">
        <f t="shared" si="224"/>
        <v>0</v>
      </c>
      <c r="D116" s="275">
        <f t="shared" si="224"/>
        <v>0</v>
      </c>
      <c r="F116" s="275">
        <f t="shared" ref="F116:G116" si="225">(F115+F117)/2</f>
        <v>6.745000000000001E-2</v>
      </c>
      <c r="G116" s="275">
        <f t="shared" si="225"/>
        <v>33.468690000000002</v>
      </c>
      <c r="H116" s="1"/>
      <c r="I116" s="275">
        <f t="shared" ref="I116:J116" si="226">(I115+I117)/2</f>
        <v>4.1550000000000004E-2</v>
      </c>
      <c r="J116" s="275">
        <f t="shared" si="226"/>
        <v>0.31162500000000004</v>
      </c>
      <c r="L116" s="275">
        <f t="shared" ref="L116:M116" si="227">(L115+L117)/2</f>
        <v>0</v>
      </c>
      <c r="M116" s="275">
        <f t="shared" si="227"/>
        <v>0</v>
      </c>
    </row>
    <row r="117" spans="2:13" ht="12.5" x14ac:dyDescent="0.25">
      <c r="B117" s="275">
        <f>B115+1</f>
        <v>57</v>
      </c>
      <c r="F117" s="1">
        <v>6.5500000000000003E-2</v>
      </c>
      <c r="G117" s="1">
        <f>$G$2*F117</f>
        <v>32.501100000000001</v>
      </c>
      <c r="H117" s="1"/>
      <c r="I117" s="1">
        <v>4.0399999999999998E-2</v>
      </c>
      <c r="J117" s="275">
        <f>$J$2*I117</f>
        <v>0.30299999999999999</v>
      </c>
    </row>
    <row r="118" spans="2:13" ht="12.5" x14ac:dyDescent="0.25">
      <c r="B118" s="275">
        <f t="shared" ref="B118:D118" si="228">(B117+B119)/2</f>
        <v>57.5</v>
      </c>
      <c r="C118" s="275">
        <f t="shared" si="228"/>
        <v>0</v>
      </c>
      <c r="D118" s="275">
        <f t="shared" si="228"/>
        <v>0</v>
      </c>
      <c r="F118" s="275">
        <f t="shared" ref="F118:G118" si="229">(F117+F119)/2</f>
        <v>6.3750000000000001E-2</v>
      </c>
      <c r="G118" s="275">
        <f t="shared" si="229"/>
        <v>31.632750000000001</v>
      </c>
      <c r="H118" s="1"/>
      <c r="I118" s="275">
        <f t="shared" ref="I118:J118" si="230">(I117+I119)/2</f>
        <v>3.9349999999999996E-2</v>
      </c>
      <c r="J118" s="275">
        <f t="shared" si="230"/>
        <v>0.29512499999999997</v>
      </c>
      <c r="L118" s="275">
        <f t="shared" ref="L118:M118" si="231">(L117+L119)/2</f>
        <v>0</v>
      </c>
      <c r="M118" s="275">
        <f t="shared" si="231"/>
        <v>0</v>
      </c>
    </row>
    <row r="119" spans="2:13" ht="12.5" x14ac:dyDescent="0.25">
      <c r="B119" s="275">
        <f>B117+1</f>
        <v>58</v>
      </c>
      <c r="F119" s="1">
        <v>6.2E-2</v>
      </c>
      <c r="G119" s="1">
        <f>$G$2*F119</f>
        <v>30.764399999999998</v>
      </c>
      <c r="H119" s="1"/>
      <c r="I119" s="1">
        <v>3.8300000000000001E-2</v>
      </c>
      <c r="J119" s="275">
        <f>$J$2*I119</f>
        <v>0.28725000000000001</v>
      </c>
    </row>
    <row r="120" spans="2:13" ht="12.5" x14ac:dyDescent="0.25">
      <c r="B120" s="275">
        <f t="shared" ref="B120:D120" si="232">(B119+B121)/2</f>
        <v>58.5</v>
      </c>
      <c r="C120" s="275">
        <f t="shared" si="232"/>
        <v>0</v>
      </c>
      <c r="D120" s="275">
        <f t="shared" si="232"/>
        <v>0</v>
      </c>
      <c r="F120" s="275">
        <f t="shared" ref="F120:G120" si="233">(F119+F121)/2</f>
        <v>6.0350000000000001E-2</v>
      </c>
      <c r="G120" s="275">
        <f t="shared" si="233"/>
        <v>29.94567</v>
      </c>
      <c r="H120" s="1"/>
      <c r="I120" s="275">
        <f t="shared" ref="I120:J120" si="234">(I119+I121)/2</f>
        <v>3.7350000000000001E-2</v>
      </c>
      <c r="J120" s="275">
        <f t="shared" si="234"/>
        <v>0.28012500000000001</v>
      </c>
      <c r="L120" s="275">
        <f t="shared" ref="L120:M120" si="235">(L119+L121)/2</f>
        <v>0</v>
      </c>
      <c r="M120" s="275">
        <f t="shared" si="235"/>
        <v>0</v>
      </c>
    </row>
    <row r="121" spans="2:13" ht="12.5" x14ac:dyDescent="0.25">
      <c r="B121" s="275">
        <f>B119+1</f>
        <v>59</v>
      </c>
      <c r="F121" s="1">
        <v>5.8700000000000002E-2</v>
      </c>
      <c r="G121" s="1">
        <f>$G$2*F121</f>
        <v>29.126940000000001</v>
      </c>
      <c r="H121" s="1"/>
      <c r="I121" s="1">
        <v>3.6400000000000002E-2</v>
      </c>
      <c r="J121" s="275">
        <f>$J$2*I121</f>
        <v>0.27300000000000002</v>
      </c>
    </row>
    <row r="122" spans="2:13" ht="12.5" x14ac:dyDescent="0.25">
      <c r="B122" s="275">
        <f t="shared" ref="B122:D122" si="236">(B121+B123)/2</f>
        <v>59.5</v>
      </c>
      <c r="C122" s="275">
        <f t="shared" si="236"/>
        <v>0</v>
      </c>
      <c r="D122" s="275">
        <f t="shared" si="236"/>
        <v>0</v>
      </c>
      <c r="F122" s="275">
        <f t="shared" ref="F122:G122" si="237">(F121+F123)/2</f>
        <v>5.7149999999999999E-2</v>
      </c>
      <c r="G122" s="275">
        <f t="shared" si="237"/>
        <v>28.35783</v>
      </c>
      <c r="H122" s="1"/>
      <c r="I122" s="275">
        <f t="shared" ref="I122:J122" si="238">(I121+I123)/2</f>
        <v>3.5500000000000004E-2</v>
      </c>
      <c r="J122" s="275">
        <f t="shared" si="238"/>
        <v>0.26624999999999999</v>
      </c>
      <c r="L122" s="275">
        <f t="shared" ref="L122:M122" si="239">(L121+L123)/2</f>
        <v>0</v>
      </c>
      <c r="M122" s="275">
        <f t="shared" si="239"/>
        <v>0</v>
      </c>
    </row>
    <row r="123" spans="2:13" ht="12.5" x14ac:dyDescent="0.25">
      <c r="B123" s="275">
        <f>B121+1</f>
        <v>60</v>
      </c>
      <c r="F123" s="1">
        <v>5.5599999999999997E-2</v>
      </c>
      <c r="G123" s="1">
        <f>$G$2*F123</f>
        <v>27.588719999999999</v>
      </c>
      <c r="H123" s="1"/>
      <c r="I123" s="1">
        <v>3.4599999999999999E-2</v>
      </c>
      <c r="J123" s="275">
        <f>$J$2*I123</f>
        <v>0.25950000000000001</v>
      </c>
    </row>
    <row r="124" spans="2:13" ht="12.5" x14ac:dyDescent="0.25">
      <c r="B124" s="275">
        <f t="shared" ref="B124:D124" si="240">(B123+B125)/2</f>
        <v>60.5</v>
      </c>
      <c r="C124" s="275">
        <f t="shared" si="240"/>
        <v>0</v>
      </c>
      <c r="D124" s="275">
        <f t="shared" si="240"/>
        <v>0</v>
      </c>
      <c r="F124" s="275">
        <f t="shared" ref="F124:G124" si="241">(F123+F125)/2</f>
        <v>5.4149999999999997E-2</v>
      </c>
      <c r="G124" s="275">
        <f t="shared" si="241"/>
        <v>26.869229999999998</v>
      </c>
      <c r="H124" s="1"/>
      <c r="I124" s="275">
        <f t="shared" ref="I124:J124" si="242">(I123+I125)/2</f>
        <v>3.3750000000000002E-2</v>
      </c>
      <c r="J124" s="275">
        <f t="shared" si="242"/>
        <v>0.25312499999999999</v>
      </c>
      <c r="L124" s="275">
        <f t="shared" ref="L124:M124" si="243">(L123+L125)/2</f>
        <v>0</v>
      </c>
      <c r="M124" s="275">
        <f t="shared" si="243"/>
        <v>0</v>
      </c>
    </row>
    <row r="125" spans="2:13" ht="12.5" x14ac:dyDescent="0.25">
      <c r="B125" s="275">
        <f>B123+1</f>
        <v>61</v>
      </c>
      <c r="F125" s="1">
        <v>5.2699999999999997E-2</v>
      </c>
      <c r="G125" s="1">
        <f>$G$2*F125</f>
        <v>26.149739999999998</v>
      </c>
      <c r="H125" s="1"/>
      <c r="I125" s="1">
        <v>3.2899999999999999E-2</v>
      </c>
      <c r="J125" s="275">
        <f>$J$2*I125</f>
        <v>0.24675</v>
      </c>
    </row>
    <row r="126" spans="2:13" ht="12.5" x14ac:dyDescent="0.25">
      <c r="B126" s="275">
        <f t="shared" ref="B126:D126" si="244">(B125+B127)/2</f>
        <v>61.5</v>
      </c>
      <c r="C126" s="275">
        <f t="shared" si="244"/>
        <v>0</v>
      </c>
      <c r="D126" s="275">
        <f t="shared" si="244"/>
        <v>0</v>
      </c>
      <c r="F126" s="275">
        <f t="shared" ref="F126:G126" si="245">(F125+F127)/2</f>
        <v>5.1400000000000001E-2</v>
      </c>
      <c r="G126" s="275">
        <f t="shared" si="245"/>
        <v>25.50468</v>
      </c>
      <c r="H126" s="1"/>
      <c r="I126" s="275">
        <f t="shared" ref="I126:J126" si="246">(I125+I127)/2</f>
        <v>3.2100000000000004E-2</v>
      </c>
      <c r="J126" s="275">
        <f t="shared" si="246"/>
        <v>0.24075000000000002</v>
      </c>
      <c r="L126" s="275">
        <f t="shared" ref="L126:M126" si="247">(L125+L127)/2</f>
        <v>0</v>
      </c>
      <c r="M126" s="275">
        <f t="shared" si="247"/>
        <v>0</v>
      </c>
    </row>
    <row r="127" spans="2:13" ht="12.5" x14ac:dyDescent="0.25">
      <c r="B127" s="275">
        <f>B125+1</f>
        <v>62</v>
      </c>
      <c r="F127" s="1">
        <v>5.0099999999999999E-2</v>
      </c>
      <c r="G127" s="1">
        <f>$G$2*F127</f>
        <v>24.85962</v>
      </c>
      <c r="H127" s="1"/>
      <c r="I127" s="1">
        <v>3.1300000000000001E-2</v>
      </c>
      <c r="J127" s="275">
        <f>$J$2*I127</f>
        <v>0.23475000000000001</v>
      </c>
    </row>
    <row r="128" spans="2:13" ht="12.5" x14ac:dyDescent="0.25">
      <c r="B128" s="275">
        <f t="shared" ref="B128:D128" si="248">(B127+B129)/2</f>
        <v>62.5</v>
      </c>
      <c r="C128" s="275">
        <f t="shared" si="248"/>
        <v>0</v>
      </c>
      <c r="D128" s="275">
        <f t="shared" si="248"/>
        <v>0</v>
      </c>
      <c r="F128" s="275">
        <f t="shared" ref="F128:G128" si="249">(F127+F129)/2</f>
        <v>4.8850000000000005E-2</v>
      </c>
      <c r="G128" s="275">
        <f t="shared" si="249"/>
        <v>24.239370000000001</v>
      </c>
      <c r="H128" s="1"/>
      <c r="I128" s="275">
        <f t="shared" ref="I128:J128" si="250">(I127+I129)/2</f>
        <v>3.0550000000000001E-2</v>
      </c>
      <c r="J128" s="275">
        <f t="shared" si="250"/>
        <v>0.22912500000000002</v>
      </c>
      <c r="L128" s="275">
        <f t="shared" ref="L128:M128" si="251">(L127+L129)/2</f>
        <v>0</v>
      </c>
      <c r="M128" s="275">
        <f t="shared" si="251"/>
        <v>0</v>
      </c>
    </row>
    <row r="129" spans="2:13" ht="12.5" x14ac:dyDescent="0.25">
      <c r="B129" s="275">
        <f>B127+1</f>
        <v>63</v>
      </c>
      <c r="F129" s="1">
        <v>4.7600000000000003E-2</v>
      </c>
      <c r="G129" s="1">
        <f>$G$2*F129</f>
        <v>23.619120000000002</v>
      </c>
      <c r="H129" s="1"/>
      <c r="I129" s="1">
        <v>2.98E-2</v>
      </c>
      <c r="J129" s="275">
        <f>$J$2*I129</f>
        <v>0.2235</v>
      </c>
    </row>
    <row r="130" spans="2:13" ht="12.5" x14ac:dyDescent="0.25">
      <c r="B130" s="275">
        <f t="shared" ref="B130:D130" si="252">(B129+B131)/2</f>
        <v>63.5</v>
      </c>
      <c r="C130" s="275">
        <f t="shared" si="252"/>
        <v>0</v>
      </c>
      <c r="D130" s="275">
        <f t="shared" si="252"/>
        <v>0</v>
      </c>
      <c r="F130" s="275">
        <f t="shared" ref="F130:G130" si="253">(F129+F131)/2</f>
        <v>4.6450000000000005E-2</v>
      </c>
      <c r="G130" s="275">
        <f t="shared" si="253"/>
        <v>23.048490000000001</v>
      </c>
      <c r="H130" s="1"/>
      <c r="I130" s="275">
        <f t="shared" ref="I130:J130" si="254">(I129+I131)/2</f>
        <v>2.9100000000000001E-2</v>
      </c>
      <c r="J130" s="275">
        <f t="shared" si="254"/>
        <v>0.21825</v>
      </c>
      <c r="L130" s="275">
        <f t="shared" ref="L130:M130" si="255">(L129+L131)/2</f>
        <v>0</v>
      </c>
      <c r="M130" s="275">
        <f t="shared" si="255"/>
        <v>0</v>
      </c>
    </row>
    <row r="131" spans="2:13" ht="12.5" x14ac:dyDescent="0.25">
      <c r="B131" s="275">
        <f>B129+1</f>
        <v>64</v>
      </c>
      <c r="F131" s="1">
        <v>4.53E-2</v>
      </c>
      <c r="G131" s="1">
        <f>$G$2*F131</f>
        <v>22.47786</v>
      </c>
      <c r="H131" s="1"/>
      <c r="I131" s="1">
        <v>2.8400000000000002E-2</v>
      </c>
      <c r="J131" s="275">
        <f>$J$2*I131</f>
        <v>0.21300000000000002</v>
      </c>
    </row>
    <row r="132" spans="2:13" ht="12.5" x14ac:dyDescent="0.25">
      <c r="B132" s="275">
        <f t="shared" ref="B132:D132" si="256">(B131+B133)/2</f>
        <v>64.5</v>
      </c>
      <c r="C132" s="275">
        <f t="shared" si="256"/>
        <v>0</v>
      </c>
      <c r="D132" s="275">
        <f t="shared" si="256"/>
        <v>0</v>
      </c>
      <c r="F132" s="275">
        <f t="shared" ref="F132:G132" si="257">(F131+F133)/2</f>
        <v>4.4200000000000003E-2</v>
      </c>
      <c r="G132" s="275">
        <f t="shared" si="257"/>
        <v>21.932040000000001</v>
      </c>
      <c r="H132" s="1"/>
      <c r="I132" s="275">
        <f t="shared" ref="I132:J132" si="258">(I131+I133)/2</f>
        <v>2.775E-2</v>
      </c>
      <c r="J132" s="275">
        <f t="shared" si="258"/>
        <v>0.208125</v>
      </c>
      <c r="L132" s="275">
        <f t="shared" ref="L132:M132" si="259">(L131+L133)/2</f>
        <v>0</v>
      </c>
      <c r="M132" s="275">
        <f t="shared" si="259"/>
        <v>0</v>
      </c>
    </row>
    <row r="133" spans="2:13" ht="12.5" x14ac:dyDescent="0.25">
      <c r="B133" s="275">
        <f>B131+1</f>
        <v>65</v>
      </c>
      <c r="F133" s="1">
        <v>4.3099999999999999E-2</v>
      </c>
      <c r="G133" s="1">
        <f>$G$2*F133</f>
        <v>21.386219999999998</v>
      </c>
      <c r="H133" s="1"/>
      <c r="I133" s="1">
        <v>2.7099999999999999E-2</v>
      </c>
      <c r="J133" s="275">
        <f>$J$2*I133</f>
        <v>0.20324999999999999</v>
      </c>
    </row>
    <row r="134" spans="2:13" ht="12.5" x14ac:dyDescent="0.25">
      <c r="B134" s="275">
        <f t="shared" ref="B134:D134" si="260">(B133+B135)/2</f>
        <v>65.5</v>
      </c>
      <c r="C134" s="275">
        <f t="shared" si="260"/>
        <v>0</v>
      </c>
      <c r="D134" s="275">
        <f t="shared" si="260"/>
        <v>0</v>
      </c>
      <c r="F134" s="275">
        <f t="shared" ref="F134:G134" si="261">(F133+F135)/2</f>
        <v>4.2099999999999999E-2</v>
      </c>
      <c r="G134" s="275">
        <f t="shared" si="261"/>
        <v>20.89002</v>
      </c>
      <c r="H134" s="1"/>
      <c r="I134" s="275">
        <f t="shared" ref="I134:J134" si="262">(I133+I135)/2</f>
        <v>2.6499999999999999E-2</v>
      </c>
      <c r="J134" s="275">
        <f t="shared" si="262"/>
        <v>0.19874999999999998</v>
      </c>
      <c r="L134" s="275">
        <f t="shared" ref="L134:M134" si="263">(L133+L135)/2</f>
        <v>0</v>
      </c>
      <c r="M134" s="275">
        <f t="shared" si="263"/>
        <v>0</v>
      </c>
    </row>
    <row r="135" spans="2:13" ht="12.5" x14ac:dyDescent="0.25">
      <c r="B135" s="275">
        <f>B133+1</f>
        <v>66</v>
      </c>
      <c r="F135" s="1">
        <v>4.1099999999999998E-2</v>
      </c>
      <c r="G135" s="1">
        <f>$G$2*F135</f>
        <v>20.393819999999998</v>
      </c>
      <c r="H135" s="1"/>
      <c r="I135" s="1">
        <v>2.5899999999999999E-2</v>
      </c>
      <c r="J135" s="275">
        <f>$J$2*I135</f>
        <v>0.19425000000000001</v>
      </c>
    </row>
    <row r="136" spans="2:13" ht="12.5" x14ac:dyDescent="0.25">
      <c r="B136" s="275">
        <f t="shared" ref="B136:D136" si="264">(B135+B137)/2</f>
        <v>66.5</v>
      </c>
      <c r="C136" s="275">
        <f t="shared" si="264"/>
        <v>0</v>
      </c>
      <c r="D136" s="275">
        <f t="shared" si="264"/>
        <v>0</v>
      </c>
      <c r="F136" s="275">
        <f t="shared" ref="F136:G136" si="265">(F135+F137)/2</f>
        <v>4.0149999999999998E-2</v>
      </c>
      <c r="G136" s="275">
        <f t="shared" si="265"/>
        <v>19.922429999999999</v>
      </c>
      <c r="H136" s="1"/>
      <c r="I136" s="275">
        <f t="shared" ref="I136:J136" si="266">(I135+I137)/2</f>
        <v>2.53E-2</v>
      </c>
      <c r="J136" s="275">
        <f t="shared" si="266"/>
        <v>0.18975</v>
      </c>
      <c r="L136" s="275">
        <f t="shared" ref="L136:M136" si="267">(L135+L137)/2</f>
        <v>0</v>
      </c>
      <c r="M136" s="275">
        <f t="shared" si="267"/>
        <v>0</v>
      </c>
    </row>
    <row r="137" spans="2:13" ht="12.5" x14ac:dyDescent="0.25">
      <c r="B137" s="275">
        <f>B135+1</f>
        <v>67</v>
      </c>
      <c r="F137" s="1">
        <v>3.9199999999999999E-2</v>
      </c>
      <c r="G137" s="1">
        <f>$G$2*F137</f>
        <v>19.451039999999999</v>
      </c>
      <c r="H137" s="1"/>
      <c r="I137" s="1">
        <v>2.47E-2</v>
      </c>
      <c r="J137" s="275">
        <f>$J$2*I137</f>
        <v>0.18525</v>
      </c>
    </row>
    <row r="138" spans="2:13" ht="12.5" x14ac:dyDescent="0.25">
      <c r="B138" s="275">
        <f t="shared" ref="B138:D138" si="268">(B137+B139)/2</f>
        <v>67.5</v>
      </c>
      <c r="C138" s="275">
        <f t="shared" si="268"/>
        <v>0</v>
      </c>
      <c r="D138" s="275">
        <f t="shared" si="268"/>
        <v>0</v>
      </c>
      <c r="F138" s="275">
        <f t="shared" ref="F138:G138" si="269">(F137+F139)/2</f>
        <v>3.8300000000000001E-2</v>
      </c>
      <c r="G138" s="275">
        <f t="shared" si="269"/>
        <v>19.004460000000002</v>
      </c>
      <c r="H138" s="1"/>
      <c r="I138" s="275">
        <f t="shared" ref="I138:J138" si="270">(I137+I139)/2</f>
        <v>2.4149999999999998E-2</v>
      </c>
      <c r="J138" s="275">
        <f t="shared" si="270"/>
        <v>0.18112499999999998</v>
      </c>
      <c r="L138" s="275">
        <f t="shared" ref="L138:M138" si="271">(L137+L139)/2</f>
        <v>0</v>
      </c>
      <c r="M138" s="275">
        <f t="shared" si="271"/>
        <v>0</v>
      </c>
    </row>
    <row r="139" spans="2:13" ht="12.5" x14ac:dyDescent="0.25">
      <c r="B139" s="275">
        <f>B137+1</f>
        <v>68</v>
      </c>
      <c r="F139" s="1">
        <v>3.7400000000000003E-2</v>
      </c>
      <c r="G139" s="1">
        <f>$G$2*F139</f>
        <v>18.557880000000001</v>
      </c>
      <c r="H139" s="1"/>
      <c r="I139" s="1">
        <v>2.3599999999999999E-2</v>
      </c>
      <c r="J139" s="275">
        <f>$J$2*I139</f>
        <v>0.17699999999999999</v>
      </c>
    </row>
    <row r="140" spans="2:13" ht="12.5" x14ac:dyDescent="0.25">
      <c r="B140" s="275">
        <f t="shared" ref="B140:D140" si="272">(B139+B141)/2</f>
        <v>68.5</v>
      </c>
      <c r="C140" s="275">
        <f t="shared" si="272"/>
        <v>0</v>
      </c>
      <c r="D140" s="275">
        <f t="shared" si="272"/>
        <v>0</v>
      </c>
      <c r="F140" s="275">
        <f t="shared" ref="F140:G140" si="273">(F139+F141)/2</f>
        <v>3.6549999999999999E-2</v>
      </c>
      <c r="G140" s="275">
        <f t="shared" si="273"/>
        <v>18.136110000000002</v>
      </c>
      <c r="H140" s="1"/>
      <c r="I140" s="275">
        <f t="shared" ref="I140:J140" si="274">(I139+I141)/2</f>
        <v>2.3099999999999999E-2</v>
      </c>
      <c r="J140" s="275">
        <f t="shared" si="274"/>
        <v>0.17324999999999999</v>
      </c>
      <c r="L140" s="275">
        <f t="shared" ref="L140:M140" si="275">(L139+L141)/2</f>
        <v>0</v>
      </c>
      <c r="M140" s="275">
        <f t="shared" si="275"/>
        <v>0</v>
      </c>
    </row>
    <row r="141" spans="2:13" ht="12.5" x14ac:dyDescent="0.25">
      <c r="B141" s="275">
        <f>B139+1</f>
        <v>69</v>
      </c>
      <c r="F141" s="1">
        <v>3.5700000000000003E-2</v>
      </c>
      <c r="G141" s="1">
        <f>$G$2*F141</f>
        <v>17.71434</v>
      </c>
      <c r="H141" s="1"/>
      <c r="I141" s="1">
        <v>2.2599999999999999E-2</v>
      </c>
      <c r="J141" s="275">
        <f>$J$2*I141</f>
        <v>0.16949999999999998</v>
      </c>
    </row>
    <row r="142" spans="2:13" ht="12.5" x14ac:dyDescent="0.25">
      <c r="B142" s="275">
        <f t="shared" ref="B142:D142" si="276">(B141+B143)/2</f>
        <v>69.5</v>
      </c>
      <c r="C142" s="275">
        <f t="shared" si="276"/>
        <v>0</v>
      </c>
      <c r="D142" s="275">
        <f t="shared" si="276"/>
        <v>0</v>
      </c>
      <c r="F142" s="275">
        <f t="shared" ref="F142:G142" si="277">(F141+F143)/2</f>
        <v>3.49E-2</v>
      </c>
      <c r="G142" s="275">
        <f t="shared" si="277"/>
        <v>17.31738</v>
      </c>
      <c r="H142" s="1"/>
      <c r="I142" s="275">
        <f t="shared" ref="I142:J142" si="278">(I141+I143)/2</f>
        <v>2.2100000000000002E-2</v>
      </c>
      <c r="J142" s="275">
        <f t="shared" si="278"/>
        <v>0.16575000000000001</v>
      </c>
      <c r="L142" s="275">
        <f t="shared" ref="L142:M142" si="279">(L141+L143)/2</f>
        <v>0</v>
      </c>
      <c r="M142" s="275">
        <f t="shared" si="279"/>
        <v>0</v>
      </c>
    </row>
    <row r="143" spans="2:13" ht="12.5" x14ac:dyDescent="0.25">
      <c r="B143" s="275">
        <f>B141+1</f>
        <v>70</v>
      </c>
      <c r="F143" s="1">
        <v>3.4099999999999998E-2</v>
      </c>
      <c r="G143" s="1">
        <f>$G$2*F143</f>
        <v>16.92042</v>
      </c>
      <c r="H143" s="1"/>
      <c r="I143" s="1">
        <v>2.1600000000000001E-2</v>
      </c>
      <c r="J143" s="275">
        <f>$J$2*I143</f>
        <v>0.16200000000000001</v>
      </c>
    </row>
    <row r="144" spans="2:13" ht="12.5" x14ac:dyDescent="0.25">
      <c r="B144" s="275">
        <f t="shared" ref="B144:D144" si="280">(B143+B145)/2</f>
        <v>70.5</v>
      </c>
      <c r="C144" s="275">
        <f t="shared" si="280"/>
        <v>0</v>
      </c>
      <c r="D144" s="275">
        <f t="shared" si="280"/>
        <v>0</v>
      </c>
      <c r="F144" s="275">
        <f t="shared" ref="F144:G144" si="281">(F143+F145)/2</f>
        <v>3.3349999999999998E-2</v>
      </c>
      <c r="G144" s="275">
        <f t="shared" si="281"/>
        <v>16.548269999999999</v>
      </c>
      <c r="H144" s="1"/>
      <c r="I144" s="275">
        <f t="shared" ref="I144:J144" si="282">(I143+I145)/2</f>
        <v>2.1150000000000002E-2</v>
      </c>
      <c r="J144" s="275">
        <f t="shared" si="282"/>
        <v>0.15862500000000002</v>
      </c>
      <c r="L144" s="275">
        <f t="shared" ref="L144:M144" si="283">(L143+L145)/2</f>
        <v>0</v>
      </c>
      <c r="M144" s="275">
        <f t="shared" si="283"/>
        <v>0</v>
      </c>
    </row>
    <row r="145" spans="2:13" ht="12.5" x14ac:dyDescent="0.25">
      <c r="B145" s="275">
        <f>B143+1</f>
        <v>71</v>
      </c>
      <c r="F145" s="1">
        <v>3.2599999999999997E-2</v>
      </c>
      <c r="G145" s="1">
        <f>$G$2*F145</f>
        <v>16.176119999999997</v>
      </c>
      <c r="H145" s="1"/>
      <c r="I145" s="1">
        <v>2.07E-2</v>
      </c>
      <c r="J145" s="275">
        <f>$J$2*I145</f>
        <v>0.15525</v>
      </c>
    </row>
    <row r="146" spans="2:13" ht="12.5" x14ac:dyDescent="0.25">
      <c r="B146" s="275">
        <f t="shared" ref="B146:D146" si="284">(B145+B147)/2</f>
        <v>71.5</v>
      </c>
      <c r="C146" s="275">
        <f t="shared" si="284"/>
        <v>0</v>
      </c>
      <c r="D146" s="275">
        <f t="shared" si="284"/>
        <v>0</v>
      </c>
      <c r="F146" s="275">
        <f t="shared" ref="F146:G146" si="285">(F145+F147)/2</f>
        <v>3.1899999999999998E-2</v>
      </c>
      <c r="G146" s="275">
        <f t="shared" si="285"/>
        <v>15.828779999999998</v>
      </c>
      <c r="H146" s="1"/>
      <c r="I146" s="275">
        <f t="shared" ref="I146:J146" si="286">(I145+I147)/2</f>
        <v>2.0250000000000001E-2</v>
      </c>
      <c r="J146" s="275">
        <f t="shared" si="286"/>
        <v>0.15187500000000001</v>
      </c>
      <c r="L146" s="275">
        <f t="shared" ref="L146:M146" si="287">(L145+L147)/2</f>
        <v>0</v>
      </c>
      <c r="M146" s="275">
        <f t="shared" si="287"/>
        <v>0</v>
      </c>
    </row>
    <row r="147" spans="2:13" ht="12.5" x14ac:dyDescent="0.25">
      <c r="B147" s="275">
        <f>B145+1</f>
        <v>72</v>
      </c>
      <c r="F147" s="1">
        <v>3.1199999999999999E-2</v>
      </c>
      <c r="G147" s="1">
        <f>$G$2*F147</f>
        <v>15.481439999999999</v>
      </c>
      <c r="H147" s="1"/>
      <c r="I147" s="1">
        <v>1.9800000000000002E-2</v>
      </c>
      <c r="J147" s="275">
        <f>$J$2*I147</f>
        <v>0.14850000000000002</v>
      </c>
    </row>
    <row r="148" spans="2:13" ht="12.5" x14ac:dyDescent="0.25">
      <c r="B148" s="275">
        <f t="shared" ref="B148:D148" si="288">(B147+B149)/2</f>
        <v>72.5</v>
      </c>
      <c r="C148" s="275">
        <f t="shared" si="288"/>
        <v>0</v>
      </c>
      <c r="D148" s="275">
        <f t="shared" si="288"/>
        <v>0</v>
      </c>
      <c r="F148" s="275">
        <f t="shared" ref="F148:G148" si="289">(F147+F149)/2</f>
        <v>3.0550000000000001E-2</v>
      </c>
      <c r="G148" s="275">
        <f t="shared" si="289"/>
        <v>15.158909999999999</v>
      </c>
      <c r="H148" s="1"/>
      <c r="I148" s="275">
        <f t="shared" ref="I148:J148" si="290">(I147+I149)/2</f>
        <v>1.9400000000000001E-2</v>
      </c>
      <c r="J148" s="275">
        <f t="shared" si="290"/>
        <v>0.14550000000000002</v>
      </c>
      <c r="L148" s="275">
        <f t="shared" ref="L148:M148" si="291">(L147+L149)/2</f>
        <v>0</v>
      </c>
      <c r="M148" s="275">
        <f t="shared" si="291"/>
        <v>0</v>
      </c>
    </row>
    <row r="149" spans="2:13" ht="12.5" x14ac:dyDescent="0.25">
      <c r="B149" s="275">
        <f>B147+1</f>
        <v>73</v>
      </c>
      <c r="F149" s="1">
        <v>2.9899999999999999E-2</v>
      </c>
      <c r="G149" s="1">
        <f>$G$2*F149</f>
        <v>14.83638</v>
      </c>
      <c r="H149" s="1"/>
      <c r="I149" s="1">
        <v>1.9E-2</v>
      </c>
      <c r="J149" s="275">
        <f>$J$2*I149</f>
        <v>0.14249999999999999</v>
      </c>
    </row>
    <row r="150" spans="2:13" ht="12.5" x14ac:dyDescent="0.25">
      <c r="B150" s="275">
        <f t="shared" ref="B150:D150" si="292">(B149+B151)/2</f>
        <v>73.5</v>
      </c>
      <c r="C150" s="275">
        <f t="shared" si="292"/>
        <v>0</v>
      </c>
      <c r="D150" s="275">
        <f t="shared" si="292"/>
        <v>0</v>
      </c>
      <c r="F150" s="275">
        <f t="shared" ref="F150:G150" si="293">(F149+F151)/2</f>
        <v>2.93E-2</v>
      </c>
      <c r="G150" s="275">
        <f t="shared" si="293"/>
        <v>14.53866</v>
      </c>
      <c r="H150" s="1"/>
      <c r="I150" s="275">
        <f t="shared" ref="I150:J150" si="294">(I149+I151)/2</f>
        <v>1.865E-2</v>
      </c>
      <c r="J150" s="275">
        <f t="shared" si="294"/>
        <v>0.139875</v>
      </c>
      <c r="L150" s="275">
        <f t="shared" ref="L150:M150" si="295">(L149+L151)/2</f>
        <v>0</v>
      </c>
      <c r="M150" s="275">
        <f t="shared" si="295"/>
        <v>0</v>
      </c>
    </row>
    <row r="151" spans="2:13" ht="12.5" x14ac:dyDescent="0.25">
      <c r="B151" s="275">
        <f>B149+1</f>
        <v>74</v>
      </c>
      <c r="F151" s="1">
        <v>2.87E-2</v>
      </c>
      <c r="G151" s="1">
        <f>$G$2*F151</f>
        <v>14.24094</v>
      </c>
      <c r="H151" s="1"/>
      <c r="I151" s="1">
        <v>1.83E-2</v>
      </c>
      <c r="J151" s="275">
        <f>$J$2*I151</f>
        <v>0.13725000000000001</v>
      </c>
    </row>
    <row r="152" spans="2:13" ht="12.5" x14ac:dyDescent="0.25">
      <c r="B152" s="275">
        <f t="shared" ref="B152:D152" si="296">(B151+B153)/2</f>
        <v>74.5</v>
      </c>
      <c r="C152" s="275">
        <f t="shared" si="296"/>
        <v>0</v>
      </c>
      <c r="D152" s="275">
        <f t="shared" si="296"/>
        <v>0</v>
      </c>
      <c r="F152" s="275">
        <f t="shared" ref="F152:G152" si="297">(F151+F153)/2</f>
        <v>2.81E-2</v>
      </c>
      <c r="G152" s="275">
        <f t="shared" si="297"/>
        <v>13.94322</v>
      </c>
      <c r="H152" s="1"/>
      <c r="I152" s="275">
        <f t="shared" ref="I152:J152" si="298">(I151+I153)/2</f>
        <v>1.7899999999999999E-2</v>
      </c>
      <c r="J152" s="275">
        <f t="shared" si="298"/>
        <v>0.13425000000000001</v>
      </c>
      <c r="L152" s="275">
        <f t="shared" ref="L152:M152" si="299">(L151+L153)/2</f>
        <v>0</v>
      </c>
      <c r="M152" s="275">
        <f t="shared" si="299"/>
        <v>0</v>
      </c>
    </row>
    <row r="153" spans="2:13" ht="12.5" x14ac:dyDescent="0.25">
      <c r="B153" s="275">
        <f>B151+1</f>
        <v>75</v>
      </c>
      <c r="F153" s="1">
        <v>2.75E-2</v>
      </c>
      <c r="G153" s="1">
        <f>$G$2*F153</f>
        <v>13.6455</v>
      </c>
      <c r="H153" s="1"/>
      <c r="I153" s="1">
        <v>1.7500000000000002E-2</v>
      </c>
      <c r="J153" s="275">
        <f>$J$2*I153</f>
        <v>0.13125000000000001</v>
      </c>
    </row>
    <row r="154" spans="2:13" ht="12.5" x14ac:dyDescent="0.25">
      <c r="B154" s="275">
        <f t="shared" ref="B154:D154" si="300">(B153+B155)/2</f>
        <v>75.5</v>
      </c>
      <c r="C154" s="275">
        <f t="shared" si="300"/>
        <v>0</v>
      </c>
      <c r="D154" s="275">
        <f t="shared" si="300"/>
        <v>0</v>
      </c>
      <c r="F154" s="275">
        <f t="shared" ref="F154:G154" si="301">(F153+F155)/2</f>
        <v>2.6950000000000002E-2</v>
      </c>
      <c r="G154" s="275">
        <f t="shared" si="301"/>
        <v>13.372589999999999</v>
      </c>
      <c r="H154" s="1"/>
      <c r="I154" s="275">
        <f t="shared" ref="I154:J154" si="302">(I153+I155)/2</f>
        <v>1.7149999999999999E-2</v>
      </c>
      <c r="J154" s="275">
        <f t="shared" si="302"/>
        <v>0.12862499999999999</v>
      </c>
      <c r="L154" s="275">
        <f t="shared" ref="L154:M154" si="303">(L153+L155)/2</f>
        <v>0</v>
      </c>
      <c r="M154" s="275">
        <f t="shared" si="303"/>
        <v>0</v>
      </c>
    </row>
    <row r="155" spans="2:13" ht="12.5" x14ac:dyDescent="0.25">
      <c r="B155" s="275">
        <f>B153+1</f>
        <v>76</v>
      </c>
      <c r="F155" s="1">
        <v>2.64E-2</v>
      </c>
      <c r="G155" s="1">
        <f>$G$2*F155</f>
        <v>13.099679999999999</v>
      </c>
      <c r="H155" s="1"/>
      <c r="I155" s="1">
        <v>1.6799999999999999E-2</v>
      </c>
      <c r="J155" s="275">
        <f>$J$2*I155</f>
        <v>0.126</v>
      </c>
    </row>
    <row r="156" spans="2:13" ht="12.5" x14ac:dyDescent="0.25">
      <c r="B156" s="275">
        <f t="shared" ref="B156:D156" si="304">(B155+B157)/2</f>
        <v>76.5</v>
      </c>
      <c r="C156" s="275">
        <f t="shared" si="304"/>
        <v>0</v>
      </c>
      <c r="D156" s="275">
        <f t="shared" si="304"/>
        <v>0</v>
      </c>
      <c r="F156" s="275">
        <f t="shared" ref="F156:G156" si="305">(F155+F157)/2</f>
        <v>2.5849999999999998E-2</v>
      </c>
      <c r="G156" s="275">
        <f t="shared" si="305"/>
        <v>12.82677</v>
      </c>
      <c r="H156" s="1"/>
      <c r="I156" s="275">
        <f t="shared" ref="I156:J156" si="306">(I155+I157)/2</f>
        <v>1.6500000000000001E-2</v>
      </c>
      <c r="J156" s="275">
        <f t="shared" si="306"/>
        <v>0.12375</v>
      </c>
      <c r="L156" s="275">
        <f t="shared" ref="L156:M156" si="307">(L155+L157)/2</f>
        <v>0</v>
      </c>
      <c r="M156" s="275">
        <f t="shared" si="307"/>
        <v>0</v>
      </c>
    </row>
    <row r="157" spans="2:13" ht="12.5" x14ac:dyDescent="0.25">
      <c r="B157" s="275">
        <f>B155+1</f>
        <v>77</v>
      </c>
      <c r="F157" s="1">
        <v>2.53E-2</v>
      </c>
      <c r="G157" s="1">
        <f>$G$2*F157</f>
        <v>12.55386</v>
      </c>
      <c r="H157" s="1"/>
      <c r="I157" s="1">
        <v>1.6199999999999999E-2</v>
      </c>
      <c r="J157" s="275">
        <f>$J$2*I157</f>
        <v>0.1215</v>
      </c>
    </row>
    <row r="158" spans="2:13" ht="12.5" x14ac:dyDescent="0.25">
      <c r="B158" s="275">
        <f t="shared" ref="B158:D158" si="308">(B157+B159)/2</f>
        <v>77.5</v>
      </c>
      <c r="C158" s="275">
        <f t="shared" si="308"/>
        <v>0</v>
      </c>
      <c r="D158" s="275">
        <f t="shared" si="308"/>
        <v>0</v>
      </c>
      <c r="F158" s="275">
        <f t="shared" ref="F158:G158" si="309">(F157+F159)/2</f>
        <v>2.4799999999999999E-2</v>
      </c>
      <c r="G158" s="275">
        <f t="shared" si="309"/>
        <v>12.305759999999999</v>
      </c>
      <c r="H158" s="1"/>
      <c r="I158" s="275">
        <f t="shared" ref="I158:J158" si="310">(I157+I159)/2</f>
        <v>1.5899999999999997E-2</v>
      </c>
      <c r="J158" s="275">
        <f t="shared" si="310"/>
        <v>0.11924999999999999</v>
      </c>
      <c r="L158" s="275">
        <f t="shared" ref="L158:M158" si="311">(L157+L159)/2</f>
        <v>0</v>
      </c>
      <c r="M158" s="275">
        <f t="shared" si="311"/>
        <v>0</v>
      </c>
    </row>
    <row r="159" spans="2:13" ht="12.5" x14ac:dyDescent="0.25">
      <c r="B159" s="275">
        <f>B157+1</f>
        <v>78</v>
      </c>
      <c r="F159" s="1">
        <v>2.4299999999999999E-2</v>
      </c>
      <c r="G159" s="1">
        <f>$G$2*F159</f>
        <v>12.057659999999998</v>
      </c>
      <c r="H159" s="1"/>
      <c r="I159" s="1">
        <v>1.5599999999999999E-2</v>
      </c>
      <c r="J159" s="275">
        <f>$J$2*I159</f>
        <v>0.11699999999999999</v>
      </c>
    </row>
    <row r="160" spans="2:13" ht="12.5" x14ac:dyDescent="0.25">
      <c r="B160" s="275">
        <f t="shared" ref="B160:D160" si="312">(B159+B161)/2</f>
        <v>78.5</v>
      </c>
      <c r="C160" s="275">
        <f t="shared" si="312"/>
        <v>0</v>
      </c>
      <c r="D160" s="275">
        <f t="shared" si="312"/>
        <v>0</v>
      </c>
      <c r="F160" s="275">
        <f t="shared" ref="F160:G160" si="313">(F159+F161)/2</f>
        <v>2.385E-2</v>
      </c>
      <c r="G160" s="275">
        <f t="shared" si="313"/>
        <v>11.83437</v>
      </c>
      <c r="H160" s="1"/>
      <c r="I160" s="275">
        <f t="shared" ref="I160:J160" si="314">(I159+I161)/2</f>
        <v>1.5299999999999999E-2</v>
      </c>
      <c r="J160" s="275">
        <f t="shared" si="314"/>
        <v>0.11474999999999999</v>
      </c>
      <c r="L160" s="275">
        <f t="shared" ref="L160:M160" si="315">(L159+L161)/2</f>
        <v>0</v>
      </c>
      <c r="M160" s="275">
        <f t="shared" si="315"/>
        <v>0</v>
      </c>
    </row>
    <row r="161" spans="2:13" ht="12.5" x14ac:dyDescent="0.25">
      <c r="B161" s="275">
        <f>B159+1</f>
        <v>79</v>
      </c>
      <c r="F161" s="1">
        <v>2.3400000000000001E-2</v>
      </c>
      <c r="G161" s="1">
        <f>$G$2*F161</f>
        <v>11.611079999999999</v>
      </c>
      <c r="H161" s="1"/>
      <c r="I161" s="1">
        <v>1.4999999999999999E-2</v>
      </c>
      <c r="J161" s="275">
        <f>$J$2*I161</f>
        <v>0.11249999999999999</v>
      </c>
    </row>
    <row r="162" spans="2:13" ht="12.5" x14ac:dyDescent="0.25">
      <c r="B162" s="275">
        <f t="shared" ref="B162:D162" si="316">(B161+B163)/2</f>
        <v>79.5</v>
      </c>
      <c r="C162" s="275">
        <f t="shared" si="316"/>
        <v>0</v>
      </c>
      <c r="D162" s="275">
        <f t="shared" si="316"/>
        <v>0</v>
      </c>
      <c r="F162" s="275">
        <f t="shared" ref="F162:G162" si="317">(F161+F163)/2</f>
        <v>2.2949999999999998E-2</v>
      </c>
      <c r="G162" s="275">
        <f t="shared" si="317"/>
        <v>11.387789999999999</v>
      </c>
      <c r="H162" s="1"/>
      <c r="I162" s="275">
        <f t="shared" ref="I162:J162" si="318">(I161+I163)/2</f>
        <v>1.47E-2</v>
      </c>
      <c r="J162" s="275">
        <f t="shared" si="318"/>
        <v>0.11024999999999999</v>
      </c>
      <c r="L162" s="275">
        <f t="shared" ref="L162:M162" si="319">(L161+L163)/2</f>
        <v>0</v>
      </c>
      <c r="M162" s="275">
        <f t="shared" si="319"/>
        <v>0</v>
      </c>
    </row>
    <row r="163" spans="2:13" ht="12.5" x14ac:dyDescent="0.25">
      <c r="B163" s="275">
        <f>B161+1</f>
        <v>80</v>
      </c>
      <c r="F163" s="1">
        <v>2.2499999999999999E-2</v>
      </c>
      <c r="G163" s="1">
        <f>$G$2*F163</f>
        <v>11.164499999999999</v>
      </c>
      <c r="H163" s="1"/>
      <c r="I163" s="1">
        <v>1.44E-2</v>
      </c>
      <c r="J163" s="275">
        <f>$J$2*I163</f>
        <v>0.108</v>
      </c>
    </row>
    <row r="167" spans="2:13" ht="12.5" x14ac:dyDescent="0.25">
      <c r="B167" s="126">
        <v>0</v>
      </c>
      <c r="C167" s="126">
        <v>61.125</v>
      </c>
      <c r="D167" s="275">
        <v>55.155500000000004</v>
      </c>
      <c r="E167" s="275">
        <f t="shared" ref="E167:E327" si="320">D167/C167</f>
        <v>0.90233946830265854</v>
      </c>
      <c r="F167" s="275">
        <v>0</v>
      </c>
      <c r="G167" s="275">
        <f t="shared" ref="G167:G327" si="321">F167*E167*1.5</f>
        <v>0</v>
      </c>
    </row>
    <row r="168" spans="2:13" ht="12.5" x14ac:dyDescent="0.25">
      <c r="B168" s="275">
        <v>0.5</v>
      </c>
      <c r="C168" s="275">
        <v>61.094749999999998</v>
      </c>
      <c r="D168" s="275">
        <v>55.067</v>
      </c>
      <c r="E168" s="275">
        <f t="shared" si="320"/>
        <v>0.90133767631424966</v>
      </c>
      <c r="F168" s="275">
        <v>1.3719999999999998E-2</v>
      </c>
      <c r="G168" s="275">
        <f t="shared" si="321"/>
        <v>1.8549529378547255E-2</v>
      </c>
    </row>
    <row r="169" spans="2:13" ht="12.5" x14ac:dyDescent="0.25">
      <c r="B169" s="275">
        <v>1</v>
      </c>
      <c r="C169" s="126">
        <v>61.064499999999995</v>
      </c>
      <c r="D169" s="275">
        <v>54.978499999999997</v>
      </c>
      <c r="E169" s="275">
        <f t="shared" si="320"/>
        <v>0.90033489179474169</v>
      </c>
      <c r="F169" s="275">
        <v>2.7439999999999996E-2</v>
      </c>
      <c r="G169" s="275">
        <f t="shared" si="321"/>
        <v>3.7057784146271561E-2</v>
      </c>
    </row>
    <row r="170" spans="2:13" ht="12.5" x14ac:dyDescent="0.25">
      <c r="B170" s="275">
        <v>1.5</v>
      </c>
      <c r="C170" s="275">
        <v>60.972749999999998</v>
      </c>
      <c r="D170" s="275">
        <v>54.707499999999996</v>
      </c>
      <c r="E170" s="275">
        <f t="shared" si="320"/>
        <v>0.89724508079428922</v>
      </c>
      <c r="F170" s="275">
        <v>4.018E-2</v>
      </c>
      <c r="G170" s="275">
        <f t="shared" si="321"/>
        <v>5.407696101947182E-2</v>
      </c>
    </row>
    <row r="171" spans="2:13" ht="12.5" x14ac:dyDescent="0.25">
      <c r="B171" s="275">
        <v>2</v>
      </c>
      <c r="C171" s="126">
        <v>60.881</v>
      </c>
      <c r="D171" s="275">
        <v>54.436499999999995</v>
      </c>
      <c r="E171" s="275">
        <f t="shared" si="320"/>
        <v>0.8941459568666742</v>
      </c>
      <c r="F171" s="275">
        <v>5.2920000000000002E-2</v>
      </c>
      <c r="G171" s="275">
        <f t="shared" si="321"/>
        <v>7.0977306056076592E-2</v>
      </c>
    </row>
    <row r="172" spans="2:13" ht="12.5" x14ac:dyDescent="0.25">
      <c r="B172" s="275">
        <v>2.5</v>
      </c>
      <c r="C172" s="275">
        <v>60.722999999999999</v>
      </c>
      <c r="D172" s="275">
        <v>53.96875</v>
      </c>
      <c r="E172" s="275">
        <f t="shared" si="320"/>
        <v>0.88876949426082374</v>
      </c>
      <c r="F172" s="275">
        <v>6.5170000000000006E-2</v>
      </c>
      <c r="G172" s="275">
        <f t="shared" si="321"/>
        <v>8.6881661911466831E-2</v>
      </c>
    </row>
    <row r="173" spans="2:13" ht="12.5" x14ac:dyDescent="0.25">
      <c r="B173" s="275">
        <v>3</v>
      </c>
      <c r="C173" s="126">
        <v>60.564999999999998</v>
      </c>
      <c r="D173" s="275">
        <v>53.501000000000005</v>
      </c>
      <c r="E173" s="275">
        <f t="shared" si="320"/>
        <v>0.88336497977379691</v>
      </c>
      <c r="F173" s="275">
        <v>7.7420000000000003E-2</v>
      </c>
      <c r="G173" s="275">
        <f t="shared" si="321"/>
        <v>0.10258517510113105</v>
      </c>
    </row>
    <row r="174" spans="2:13" ht="12.5" x14ac:dyDescent="0.25">
      <c r="B174" s="275">
        <v>3.5</v>
      </c>
      <c r="C174" s="275">
        <v>60.333500000000001</v>
      </c>
      <c r="D174" s="275">
        <v>52.8125</v>
      </c>
      <c r="E174" s="275">
        <f t="shared" si="320"/>
        <v>0.87534288579313313</v>
      </c>
      <c r="F174" s="275">
        <v>8.967E-2</v>
      </c>
      <c r="G174" s="275">
        <f t="shared" si="321"/>
        <v>0.11773799485360537</v>
      </c>
    </row>
    <row r="175" spans="2:13" ht="12.5" x14ac:dyDescent="0.25">
      <c r="B175" s="275">
        <v>4</v>
      </c>
      <c r="C175" s="126">
        <v>60.102000000000004</v>
      </c>
      <c r="D175" s="275">
        <v>52.123999999999995</v>
      </c>
      <c r="E175" s="275">
        <f t="shared" si="320"/>
        <v>0.86725899304515641</v>
      </c>
      <c r="F175" s="275">
        <v>0.10192</v>
      </c>
      <c r="G175" s="275">
        <f t="shared" si="321"/>
        <v>0.1325865548567435</v>
      </c>
    </row>
    <row r="176" spans="2:13" ht="12.5" x14ac:dyDescent="0.25">
      <c r="B176" s="275">
        <v>4.5</v>
      </c>
      <c r="C176" s="275">
        <v>59.785750000000007</v>
      </c>
      <c r="D176" s="275">
        <v>51.182000000000002</v>
      </c>
      <c r="E176" s="275">
        <f t="shared" si="320"/>
        <v>0.85609028907390128</v>
      </c>
      <c r="F176" s="275">
        <v>0.11563999999999999</v>
      </c>
      <c r="G176" s="275">
        <f t="shared" si="321"/>
        <v>0.14849742154275891</v>
      </c>
    </row>
    <row r="177" spans="2:7" ht="12.5" x14ac:dyDescent="0.25">
      <c r="B177" s="275">
        <v>5</v>
      </c>
      <c r="C177" s="126">
        <v>59.469500000000004</v>
      </c>
      <c r="D177" s="275">
        <v>50.24</v>
      </c>
      <c r="E177" s="275">
        <f t="shared" si="320"/>
        <v>0.84480279807296177</v>
      </c>
      <c r="F177" s="275">
        <v>0.12935999999999998</v>
      </c>
      <c r="G177" s="275">
        <f t="shared" si="321"/>
        <v>0.16392553493807749</v>
      </c>
    </row>
    <row r="178" spans="2:7" ht="12.5" x14ac:dyDescent="0.25">
      <c r="B178" s="275">
        <v>5.5</v>
      </c>
      <c r="C178" s="275">
        <v>59.052250000000001</v>
      </c>
      <c r="D178" s="275">
        <v>49.008499999999998</v>
      </c>
      <c r="E178" s="275">
        <f t="shared" si="320"/>
        <v>0.82991757299679514</v>
      </c>
      <c r="F178" s="275">
        <v>0.14356999999999998</v>
      </c>
      <c r="G178" s="275">
        <f t="shared" si="321"/>
        <v>0.17872689893272478</v>
      </c>
    </row>
    <row r="179" spans="2:7" ht="12.5" x14ac:dyDescent="0.25">
      <c r="B179" s="275">
        <v>6</v>
      </c>
      <c r="C179" s="126">
        <v>58.635000000000005</v>
      </c>
      <c r="D179" s="275">
        <v>47.777000000000001</v>
      </c>
      <c r="E179" s="275">
        <f t="shared" si="320"/>
        <v>0.81482049970154335</v>
      </c>
      <c r="F179" s="275">
        <v>0.15778</v>
      </c>
      <c r="G179" s="275">
        <f t="shared" si="321"/>
        <v>0.19284356766436428</v>
      </c>
    </row>
    <row r="180" spans="2:7" ht="12.5" x14ac:dyDescent="0.25">
      <c r="B180" s="275">
        <v>6.5</v>
      </c>
      <c r="C180" s="275">
        <v>58.096249999999998</v>
      </c>
      <c r="D180" s="275">
        <v>46.224499999999999</v>
      </c>
      <c r="E180" s="275">
        <f t="shared" si="320"/>
        <v>0.79565376422746736</v>
      </c>
      <c r="F180" s="275">
        <v>0.17052</v>
      </c>
      <c r="G180" s="275">
        <f t="shared" si="321"/>
        <v>0.20351231981410162</v>
      </c>
    </row>
    <row r="181" spans="2:7" ht="12.5" x14ac:dyDescent="0.25">
      <c r="B181" s="275">
        <v>7</v>
      </c>
      <c r="C181" s="126">
        <v>57.557499999999997</v>
      </c>
      <c r="D181" s="275">
        <v>44.671999999999997</v>
      </c>
      <c r="E181" s="275">
        <f t="shared" si="320"/>
        <v>0.77612821960648049</v>
      </c>
      <c r="F181" s="275">
        <v>0.18325999999999998</v>
      </c>
      <c r="G181" s="275">
        <f t="shared" si="321"/>
        <v>0.21334988628762538</v>
      </c>
    </row>
    <row r="182" spans="2:7" ht="12.5" x14ac:dyDescent="0.25">
      <c r="B182" s="275">
        <v>7.5</v>
      </c>
      <c r="C182" s="275">
        <v>56.869749999999996</v>
      </c>
      <c r="D182" s="275">
        <v>42.791249999999998</v>
      </c>
      <c r="E182" s="275">
        <f t="shared" si="320"/>
        <v>0.7524430826581795</v>
      </c>
      <c r="F182" s="275">
        <v>0.19746999999999998</v>
      </c>
      <c r="G182" s="275">
        <f t="shared" si="321"/>
        <v>0.22287740329876601</v>
      </c>
    </row>
    <row r="183" spans="2:7" ht="12.5" x14ac:dyDescent="0.25">
      <c r="B183" s="275">
        <v>8</v>
      </c>
      <c r="C183" s="126">
        <v>56.182000000000002</v>
      </c>
      <c r="D183" s="275">
        <v>40.910499999999999</v>
      </c>
      <c r="E183" s="275">
        <f t="shared" si="320"/>
        <v>0.72817806414865971</v>
      </c>
      <c r="F183" s="275">
        <v>0.21168000000000001</v>
      </c>
      <c r="G183" s="275">
        <f t="shared" si="321"/>
        <v>0.23121109892848241</v>
      </c>
    </row>
    <row r="184" spans="2:7" ht="12.5" x14ac:dyDescent="0.25">
      <c r="B184" s="275">
        <v>8.5</v>
      </c>
      <c r="C184" s="275">
        <v>55.311250000000001</v>
      </c>
      <c r="D184" s="275">
        <v>38.743749999999999</v>
      </c>
      <c r="E184" s="275">
        <f t="shared" si="320"/>
        <v>0.70046780718208312</v>
      </c>
      <c r="F184" s="275">
        <v>0.22687000000000002</v>
      </c>
      <c r="G184" s="275">
        <f t="shared" si="321"/>
        <v>0.2383726971230988</v>
      </c>
    </row>
    <row r="185" spans="2:7" ht="12.5" x14ac:dyDescent="0.25">
      <c r="B185" s="275">
        <v>9</v>
      </c>
      <c r="C185" s="126">
        <v>54.4405</v>
      </c>
      <c r="D185" s="275">
        <v>36.576999999999998</v>
      </c>
      <c r="E185" s="275">
        <f t="shared" si="320"/>
        <v>0.67187112535704119</v>
      </c>
      <c r="F185" s="275">
        <v>0.24206</v>
      </c>
      <c r="G185" s="275">
        <f t="shared" si="321"/>
        <v>0.24394968690588809</v>
      </c>
    </row>
    <row r="186" spans="2:7" ht="12.5" x14ac:dyDescent="0.25">
      <c r="B186" s="275">
        <v>9.5</v>
      </c>
      <c r="C186" s="275">
        <v>53.347250000000003</v>
      </c>
      <c r="D186" s="275">
        <v>34.234250000000003</v>
      </c>
      <c r="E186" s="275">
        <f t="shared" si="320"/>
        <v>0.6417247374513213</v>
      </c>
      <c r="F186" s="275">
        <v>0.25969999999999999</v>
      </c>
      <c r="G186" s="275">
        <f t="shared" si="321"/>
        <v>0.24998387147416218</v>
      </c>
    </row>
    <row r="187" spans="2:7" ht="12.5" x14ac:dyDescent="0.25">
      <c r="B187" s="275">
        <v>10</v>
      </c>
      <c r="C187" s="126">
        <v>52.253999999999998</v>
      </c>
      <c r="D187" s="275">
        <v>31.891500000000001</v>
      </c>
      <c r="E187" s="275">
        <f t="shared" si="320"/>
        <v>0.61031691353771966</v>
      </c>
      <c r="F187" s="275">
        <v>0.27733999999999998</v>
      </c>
      <c r="G187" s="275">
        <f t="shared" si="321"/>
        <v>0.25389793920082676</v>
      </c>
    </row>
    <row r="188" spans="2:7" ht="12.5" x14ac:dyDescent="0.25">
      <c r="B188" s="275">
        <v>10.5</v>
      </c>
      <c r="C188" s="275">
        <v>50.895499999999998</v>
      </c>
      <c r="D188" s="275">
        <v>29.536749999999998</v>
      </c>
      <c r="E188" s="275">
        <f t="shared" si="320"/>
        <v>0.5803410910591309</v>
      </c>
      <c r="F188" s="275">
        <v>0.29056999999999999</v>
      </c>
      <c r="G188" s="275">
        <f t="shared" si="321"/>
        <v>0.25294456624357747</v>
      </c>
    </row>
    <row r="189" spans="2:7" ht="12.5" x14ac:dyDescent="0.25">
      <c r="B189" s="275">
        <v>11</v>
      </c>
      <c r="C189" s="126">
        <v>49.537000000000006</v>
      </c>
      <c r="D189" s="275">
        <v>27.181999999999999</v>
      </c>
      <c r="E189" s="275">
        <f t="shared" si="320"/>
        <v>0.54872115792236098</v>
      </c>
      <c r="F189" s="275">
        <v>0.30380000000000001</v>
      </c>
      <c r="G189" s="275">
        <f t="shared" si="321"/>
        <v>0.25005223166521989</v>
      </c>
    </row>
    <row r="190" spans="2:7" ht="12.5" x14ac:dyDescent="0.25">
      <c r="B190" s="275">
        <v>11.5</v>
      </c>
      <c r="C190" s="275">
        <v>47.877750000000006</v>
      </c>
      <c r="D190" s="275">
        <v>24.978749999999998</v>
      </c>
      <c r="E190" s="275">
        <f t="shared" si="320"/>
        <v>0.5217193790435013</v>
      </c>
      <c r="F190" s="275">
        <v>0.32241999999999998</v>
      </c>
      <c r="G190" s="275">
        <f t="shared" si="321"/>
        <v>0.25231914328680849</v>
      </c>
    </row>
    <row r="191" spans="2:7" ht="12.5" x14ac:dyDescent="0.25">
      <c r="B191" s="275">
        <v>12</v>
      </c>
      <c r="C191" s="126">
        <v>46.218500000000006</v>
      </c>
      <c r="D191" s="275">
        <v>22.775500000000001</v>
      </c>
      <c r="E191" s="275">
        <f t="shared" si="320"/>
        <v>0.49277886560576389</v>
      </c>
      <c r="F191" s="275">
        <v>0.34103999999999995</v>
      </c>
      <c r="G191" s="275">
        <f t="shared" si="321"/>
        <v>0.25208595648928456</v>
      </c>
    </row>
    <row r="192" spans="2:7" ht="12.5" x14ac:dyDescent="0.25">
      <c r="B192" s="275">
        <v>12.5</v>
      </c>
      <c r="C192" s="275">
        <v>44.247250000000001</v>
      </c>
      <c r="D192" s="275">
        <v>20.8325</v>
      </c>
      <c r="E192" s="275">
        <f t="shared" si="320"/>
        <v>0.47082022046567862</v>
      </c>
      <c r="F192" s="275">
        <v>0.35868</v>
      </c>
      <c r="G192" s="275">
        <f t="shared" si="321"/>
        <v>0.25331069501494441</v>
      </c>
    </row>
    <row r="193" spans="2:7" ht="12.5" x14ac:dyDescent="0.25">
      <c r="B193" s="275">
        <v>13</v>
      </c>
      <c r="C193" s="126">
        <v>42.275999999999996</v>
      </c>
      <c r="D193" s="275">
        <v>18.889499999999998</v>
      </c>
      <c r="E193" s="275">
        <f t="shared" si="320"/>
        <v>0.44681379506102753</v>
      </c>
      <c r="F193" s="275">
        <v>0.37631999999999999</v>
      </c>
      <c r="G193" s="275">
        <f t="shared" si="321"/>
        <v>0.25221745103604881</v>
      </c>
    </row>
    <row r="194" spans="2:7" ht="12.5" x14ac:dyDescent="0.25">
      <c r="B194" s="275">
        <v>13.5</v>
      </c>
      <c r="C194" s="275">
        <v>40.031999999999996</v>
      </c>
      <c r="D194" s="275">
        <v>17.247</v>
      </c>
      <c r="E194" s="275">
        <f t="shared" si="320"/>
        <v>0.43083033573141488</v>
      </c>
      <c r="F194" s="275">
        <v>0.39444999999999997</v>
      </c>
      <c r="G194" s="275">
        <f t="shared" si="321"/>
        <v>0.25491153889388485</v>
      </c>
    </row>
    <row r="195" spans="2:7" ht="12.5" x14ac:dyDescent="0.25">
      <c r="B195" s="275">
        <v>14</v>
      </c>
      <c r="C195" s="126">
        <v>37.787999999999997</v>
      </c>
      <c r="D195" s="275">
        <v>15.604499999999998</v>
      </c>
      <c r="E195" s="275">
        <f t="shared" si="320"/>
        <v>0.41294855509685613</v>
      </c>
      <c r="F195" s="275">
        <v>0.41258</v>
      </c>
      <c r="G195" s="275">
        <f t="shared" si="321"/>
        <v>0.25556147229279136</v>
      </c>
    </row>
    <row r="196" spans="2:7" ht="12.5" x14ac:dyDescent="0.25">
      <c r="B196" s="275">
        <v>14.5</v>
      </c>
      <c r="C196" s="275">
        <v>35.378999999999998</v>
      </c>
      <c r="D196" s="275">
        <v>14.251749999999999</v>
      </c>
      <c r="E196" s="275">
        <f t="shared" si="320"/>
        <v>0.40283077531869188</v>
      </c>
      <c r="F196" s="275">
        <v>0.43070999999999998</v>
      </c>
      <c r="G196" s="275">
        <f t="shared" si="321"/>
        <v>0.26025486485627064</v>
      </c>
    </row>
    <row r="197" spans="2:7" ht="12.5" x14ac:dyDescent="0.25">
      <c r="B197" s="275">
        <v>15</v>
      </c>
      <c r="C197" s="126">
        <v>32.97</v>
      </c>
      <c r="D197" s="275">
        <v>12.899000000000001</v>
      </c>
      <c r="E197" s="275">
        <f t="shared" si="320"/>
        <v>0.39123445556566577</v>
      </c>
      <c r="F197" s="275">
        <v>0.44883999999999996</v>
      </c>
      <c r="G197" s="275">
        <f t="shared" si="321"/>
        <v>0.26340250955414013</v>
      </c>
    </row>
    <row r="198" spans="2:7" ht="12.5" x14ac:dyDescent="0.25">
      <c r="B198" s="275">
        <v>15.5</v>
      </c>
      <c r="C198" s="275">
        <v>30.558250000000001</v>
      </c>
      <c r="D198" s="275">
        <v>11.8</v>
      </c>
      <c r="E198" s="275">
        <f t="shared" si="320"/>
        <v>0.38614776696963998</v>
      </c>
      <c r="F198" s="275">
        <v>0.46941999999999995</v>
      </c>
      <c r="G198" s="275">
        <f t="shared" si="321"/>
        <v>0.27189822715633261</v>
      </c>
    </row>
    <row r="199" spans="2:7" ht="12.5" x14ac:dyDescent="0.25">
      <c r="B199" s="275">
        <v>16</v>
      </c>
      <c r="C199" s="126">
        <v>28.1465</v>
      </c>
      <c r="D199" s="275">
        <v>10.701000000000001</v>
      </c>
      <c r="E199" s="275">
        <f t="shared" si="320"/>
        <v>0.3801893663510561</v>
      </c>
      <c r="F199" s="275">
        <v>0.49</v>
      </c>
      <c r="G199" s="275">
        <f t="shared" si="321"/>
        <v>0.27943918426802627</v>
      </c>
    </row>
    <row r="200" spans="2:7" ht="12.5" x14ac:dyDescent="0.25">
      <c r="B200" s="275">
        <v>16.5</v>
      </c>
      <c r="C200" s="275">
        <v>25.893750000000001</v>
      </c>
      <c r="D200" s="275">
        <v>9.8137500000000006</v>
      </c>
      <c r="E200" s="275">
        <f t="shared" si="320"/>
        <v>0.37900072411296165</v>
      </c>
      <c r="F200" s="275">
        <v>0.51351999999999998</v>
      </c>
      <c r="G200" s="275">
        <f t="shared" si="321"/>
        <v>0.29193667776973209</v>
      </c>
    </row>
    <row r="201" spans="2:7" ht="12.5" x14ac:dyDescent="0.25">
      <c r="B201" s="275">
        <v>17</v>
      </c>
      <c r="C201" s="126">
        <v>23.641000000000002</v>
      </c>
      <c r="D201" s="275">
        <v>8.9265000000000008</v>
      </c>
      <c r="E201" s="275">
        <f t="shared" si="320"/>
        <v>0.37758555052662746</v>
      </c>
      <c r="F201" s="275">
        <v>0.53703999999999996</v>
      </c>
      <c r="G201" s="275">
        <f t="shared" si="321"/>
        <v>0.30416781608222998</v>
      </c>
    </row>
    <row r="202" spans="2:7" ht="12.5" x14ac:dyDescent="0.25">
      <c r="B202" s="275">
        <v>17.5</v>
      </c>
      <c r="C202" s="275">
        <v>21.655250000000002</v>
      </c>
      <c r="D202" s="275">
        <v>8.2102500000000003</v>
      </c>
      <c r="E202" s="275">
        <f t="shared" si="320"/>
        <v>0.37913439004398469</v>
      </c>
      <c r="F202" s="275">
        <v>0.56006999999999996</v>
      </c>
      <c r="G202" s="275">
        <f t="shared" si="321"/>
        <v>0.31851269674790172</v>
      </c>
    </row>
    <row r="203" spans="2:7" ht="12.5" x14ac:dyDescent="0.25">
      <c r="B203" s="275">
        <v>18</v>
      </c>
      <c r="C203" s="126">
        <v>19.669499999999999</v>
      </c>
      <c r="D203" s="275">
        <v>7.4939999999999998</v>
      </c>
      <c r="E203" s="275">
        <f t="shared" si="320"/>
        <v>0.38099595820941051</v>
      </c>
      <c r="F203" s="275">
        <v>0.58309999999999995</v>
      </c>
      <c r="G203" s="275">
        <f t="shared" si="321"/>
        <v>0.33323811484786092</v>
      </c>
    </row>
    <row r="204" spans="2:7" ht="12.5" x14ac:dyDescent="0.25">
      <c r="B204" s="275">
        <v>18.5</v>
      </c>
      <c r="C204" s="275">
        <v>17.9895</v>
      </c>
      <c r="D204" s="275">
        <v>6.9144999999999994</v>
      </c>
      <c r="E204" s="275">
        <f t="shared" si="320"/>
        <v>0.38436310069762913</v>
      </c>
      <c r="F204" s="275">
        <v>0.60613000000000006</v>
      </c>
      <c r="G204" s="275">
        <f t="shared" si="321"/>
        <v>0.34946100933878094</v>
      </c>
    </row>
    <row r="205" spans="2:7" ht="12.5" x14ac:dyDescent="0.25">
      <c r="B205" s="275">
        <v>19</v>
      </c>
      <c r="C205" s="126">
        <v>16.3095</v>
      </c>
      <c r="D205" s="275">
        <v>6.3349999999999991</v>
      </c>
      <c r="E205" s="275">
        <f t="shared" si="320"/>
        <v>0.38842392470645937</v>
      </c>
      <c r="F205" s="275">
        <v>0.62916000000000005</v>
      </c>
      <c r="G205" s="275">
        <f t="shared" si="321"/>
        <v>0.36657119470247401</v>
      </c>
    </row>
    <row r="206" spans="2:7" ht="12.5" x14ac:dyDescent="0.25">
      <c r="B206" s="275">
        <v>19.5</v>
      </c>
      <c r="C206" s="275">
        <v>14.923749999999998</v>
      </c>
      <c r="D206" s="275">
        <v>5.8637499999999996</v>
      </c>
      <c r="E206" s="275">
        <f t="shared" si="320"/>
        <v>0.39291397939525924</v>
      </c>
      <c r="F206" s="275">
        <v>0.65219000000000005</v>
      </c>
      <c r="G206" s="275">
        <f t="shared" si="321"/>
        <v>0.38438185233269123</v>
      </c>
    </row>
    <row r="207" spans="2:7" ht="12.5" x14ac:dyDescent="0.25">
      <c r="B207" s="275">
        <v>20</v>
      </c>
      <c r="C207" s="126">
        <v>13.537999999999998</v>
      </c>
      <c r="D207" s="275">
        <v>5.3925000000000001</v>
      </c>
      <c r="E207" s="275">
        <f t="shared" si="320"/>
        <v>0.39832323829221455</v>
      </c>
      <c r="F207" s="275">
        <v>0.67522000000000004</v>
      </c>
      <c r="G207" s="275">
        <f t="shared" si="321"/>
        <v>0.40343372543950373</v>
      </c>
    </row>
    <row r="208" spans="2:7" ht="12.5" x14ac:dyDescent="0.25">
      <c r="B208" s="275">
        <v>20.5</v>
      </c>
      <c r="C208" s="275">
        <v>12.41</v>
      </c>
      <c r="D208" s="275">
        <v>5.0069999999999997</v>
      </c>
      <c r="E208" s="275">
        <f t="shared" si="320"/>
        <v>0.40346494762288476</v>
      </c>
      <c r="F208" s="275">
        <v>0.70511000000000001</v>
      </c>
      <c r="G208" s="275">
        <f t="shared" si="321"/>
        <v>0.42673075382755843</v>
      </c>
    </row>
    <row r="209" spans="2:7" ht="12.5" x14ac:dyDescent="0.25">
      <c r="B209" s="275">
        <v>21</v>
      </c>
      <c r="C209" s="126">
        <v>11.282</v>
      </c>
      <c r="D209" s="275">
        <v>4.6215000000000002</v>
      </c>
      <c r="E209" s="275">
        <f t="shared" si="320"/>
        <v>0.40963481652189332</v>
      </c>
      <c r="F209" s="275">
        <v>0.73499999999999999</v>
      </c>
      <c r="G209" s="275">
        <f t="shared" si="321"/>
        <v>0.45162238521538739</v>
      </c>
    </row>
    <row r="210" spans="2:7" ht="12.5" x14ac:dyDescent="0.25">
      <c r="B210" s="275">
        <v>21.5</v>
      </c>
      <c r="C210" s="275">
        <v>10.369250000000001</v>
      </c>
      <c r="D210" s="275">
        <v>4.3040000000000003</v>
      </c>
      <c r="E210" s="275">
        <f t="shared" si="320"/>
        <v>0.41507341418135352</v>
      </c>
      <c r="F210" s="275">
        <v>0.76586999999999994</v>
      </c>
      <c r="G210" s="275">
        <f t="shared" si="321"/>
        <v>0.47683841357860979</v>
      </c>
    </row>
    <row r="211" spans="2:7" ht="12.5" x14ac:dyDescent="0.25">
      <c r="B211" s="275">
        <v>22</v>
      </c>
      <c r="C211" s="126">
        <v>9.4565000000000001</v>
      </c>
      <c r="D211" s="275">
        <v>3.9864999999999999</v>
      </c>
      <c r="E211" s="275">
        <f t="shared" si="320"/>
        <v>0.42156188864801986</v>
      </c>
      <c r="F211" s="275">
        <v>0.79673999999999989</v>
      </c>
      <c r="G211" s="275">
        <f t="shared" si="321"/>
        <v>0.50381282874213495</v>
      </c>
    </row>
    <row r="212" spans="2:7" ht="12.5" x14ac:dyDescent="0.25">
      <c r="B212" s="275">
        <v>22.5</v>
      </c>
      <c r="C212" s="275">
        <v>8.7174999999999994</v>
      </c>
      <c r="D212" s="275">
        <v>3.7235</v>
      </c>
      <c r="E212" s="275">
        <f t="shared" si="320"/>
        <v>0.42712933753943222</v>
      </c>
      <c r="F212" s="275">
        <v>0.82858999999999994</v>
      </c>
      <c r="G212" s="275">
        <f t="shared" si="321"/>
        <v>0.53087264668769718</v>
      </c>
    </row>
    <row r="213" spans="2:7" ht="12.5" x14ac:dyDescent="0.25">
      <c r="B213" s="275">
        <v>23</v>
      </c>
      <c r="C213" s="126">
        <v>7.9784999999999995</v>
      </c>
      <c r="D213" s="275">
        <v>3.4605000000000001</v>
      </c>
      <c r="E213" s="275">
        <f t="shared" si="320"/>
        <v>0.43372814438804291</v>
      </c>
      <c r="F213" s="275">
        <v>0.86043999999999998</v>
      </c>
      <c r="G213" s="275">
        <f t="shared" si="321"/>
        <v>0.55979556683587139</v>
      </c>
    </row>
    <row r="214" spans="2:7" ht="12.5" x14ac:dyDescent="0.25">
      <c r="B214" s="275">
        <v>23.5</v>
      </c>
      <c r="C214" s="275">
        <v>7.3787500000000001</v>
      </c>
      <c r="D214" s="275">
        <v>3.2409999999999997</v>
      </c>
      <c r="E214" s="275">
        <f t="shared" si="320"/>
        <v>0.43923428765034722</v>
      </c>
      <c r="F214" s="275">
        <v>0.89670000000000005</v>
      </c>
      <c r="G214" s="275">
        <f t="shared" si="321"/>
        <v>0.59079207860409955</v>
      </c>
    </row>
    <row r="215" spans="2:7" ht="12.5" x14ac:dyDescent="0.25">
      <c r="B215" s="275">
        <v>24</v>
      </c>
      <c r="C215" s="126">
        <v>6.7789999999999999</v>
      </c>
      <c r="D215" s="275">
        <v>3.0214999999999996</v>
      </c>
      <c r="E215" s="275">
        <f t="shared" si="320"/>
        <v>0.4457147071839504</v>
      </c>
      <c r="F215" s="275">
        <v>0.93296000000000001</v>
      </c>
      <c r="G215" s="275">
        <f t="shared" si="321"/>
        <v>0.62375098982150756</v>
      </c>
    </row>
    <row r="216" spans="2:7" ht="12.5" x14ac:dyDescent="0.25">
      <c r="B216" s="275">
        <v>24.5</v>
      </c>
      <c r="C216" s="275">
        <v>6.2897499999999997</v>
      </c>
      <c r="D216" s="275">
        <v>2.8372499999999996</v>
      </c>
      <c r="E216" s="275">
        <f t="shared" si="320"/>
        <v>0.45109106085297501</v>
      </c>
      <c r="F216" s="275">
        <v>0.97950999999999999</v>
      </c>
      <c r="G216" s="275">
        <f t="shared" si="321"/>
        <v>0.66277230752414629</v>
      </c>
    </row>
    <row r="217" spans="2:7" ht="12.5" x14ac:dyDescent="0.25">
      <c r="B217" s="275">
        <v>25</v>
      </c>
      <c r="C217" s="126">
        <v>5.8004999999999995</v>
      </c>
      <c r="D217" s="275">
        <v>2.6529999999999996</v>
      </c>
      <c r="E217" s="275">
        <f t="shared" si="320"/>
        <v>0.45737436427894146</v>
      </c>
      <c r="F217" s="275">
        <v>1.02606</v>
      </c>
      <c r="G217" s="275">
        <f t="shared" si="321"/>
        <v>0.70394031031807602</v>
      </c>
    </row>
    <row r="218" spans="2:7" ht="12.5" x14ac:dyDescent="0.25">
      <c r="B218" s="275">
        <v>25.5</v>
      </c>
      <c r="C218" s="275">
        <v>5.3987499999999997</v>
      </c>
      <c r="D218" s="275">
        <v>2.4972499999999997</v>
      </c>
      <c r="E218" s="275">
        <f t="shared" si="320"/>
        <v>0.4625607779578606</v>
      </c>
      <c r="F218" s="275">
        <v>1.0706500000000001</v>
      </c>
      <c r="G218" s="275">
        <f t="shared" si="321"/>
        <v>0.74286104538087527</v>
      </c>
    </row>
    <row r="219" spans="2:7" ht="12.5" x14ac:dyDescent="0.25">
      <c r="B219" s="275">
        <v>26</v>
      </c>
      <c r="C219" s="126">
        <v>4.9969999999999999</v>
      </c>
      <c r="D219" s="275">
        <v>2.3414999999999999</v>
      </c>
      <c r="E219" s="275">
        <f t="shared" si="320"/>
        <v>0.46858114868921352</v>
      </c>
      <c r="F219" s="275">
        <v>1.11524</v>
      </c>
      <c r="G219" s="275">
        <f t="shared" si="321"/>
        <v>0.78387066039623776</v>
      </c>
    </row>
    <row r="220" spans="2:7" ht="12.5" x14ac:dyDescent="0.25">
      <c r="B220" s="275">
        <v>26.5</v>
      </c>
      <c r="C220" s="275">
        <v>4.6652500000000003</v>
      </c>
      <c r="D220" s="275">
        <v>2.2090000000000001</v>
      </c>
      <c r="E220" s="275">
        <f t="shared" si="320"/>
        <v>0.47350088419698833</v>
      </c>
      <c r="F220" s="275">
        <v>1.1588500000000002</v>
      </c>
      <c r="G220" s="275">
        <f t="shared" si="321"/>
        <v>0.82307474947752002</v>
      </c>
    </row>
    <row r="221" spans="2:7" ht="12.5" x14ac:dyDescent="0.25">
      <c r="B221" s="275">
        <v>27</v>
      </c>
      <c r="C221" s="126">
        <v>4.3334999999999999</v>
      </c>
      <c r="D221" s="275">
        <v>2.0765000000000002</v>
      </c>
      <c r="E221" s="275">
        <f t="shared" si="320"/>
        <v>0.47917387792777205</v>
      </c>
      <c r="F221" s="275">
        <v>1.2024600000000001</v>
      </c>
      <c r="G221" s="275">
        <f t="shared" si="321"/>
        <v>0.86428113187954314</v>
      </c>
    </row>
    <row r="222" spans="2:7" ht="12.5" x14ac:dyDescent="0.25">
      <c r="B222" s="275">
        <v>27.5</v>
      </c>
      <c r="C222" s="275">
        <v>4.0572499999999998</v>
      </c>
      <c r="D222" s="275">
        <v>1.9632500000000002</v>
      </c>
      <c r="E222" s="275">
        <f t="shared" si="320"/>
        <v>0.48388686918479273</v>
      </c>
      <c r="F222" s="275">
        <v>1.25146</v>
      </c>
      <c r="G222" s="275">
        <f t="shared" si="321"/>
        <v>0.90834759196500114</v>
      </c>
    </row>
    <row r="223" spans="2:7" ht="12.5" x14ac:dyDescent="0.25">
      <c r="B223" s="275">
        <v>28</v>
      </c>
      <c r="C223" s="126">
        <v>3.7809999999999997</v>
      </c>
      <c r="D223" s="275">
        <v>1.85</v>
      </c>
      <c r="E223" s="275">
        <f t="shared" si="320"/>
        <v>0.48928854800317384</v>
      </c>
      <c r="F223" s="275">
        <v>1.3004599999999999</v>
      </c>
      <c r="G223" s="275">
        <f t="shared" si="321"/>
        <v>0.95445027770431112</v>
      </c>
    </row>
    <row r="224" spans="2:7" ht="12.5" x14ac:dyDescent="0.25">
      <c r="B224" s="275">
        <v>28.5</v>
      </c>
      <c r="C224" s="275">
        <v>3.5497499999999995</v>
      </c>
      <c r="D224" s="275">
        <v>1.7524999999999999</v>
      </c>
      <c r="E224" s="275">
        <f t="shared" si="320"/>
        <v>0.49369673920698648</v>
      </c>
      <c r="F224" s="275">
        <v>1.3636699999999999</v>
      </c>
      <c r="G224" s="275">
        <f t="shared" si="321"/>
        <v>1.0098591485315869</v>
      </c>
    </row>
    <row r="225" spans="2:7" ht="12.5" x14ac:dyDescent="0.25">
      <c r="B225" s="275">
        <v>29</v>
      </c>
      <c r="C225" s="126">
        <v>3.3184999999999998</v>
      </c>
      <c r="D225" s="275">
        <v>1.655</v>
      </c>
      <c r="E225" s="275">
        <f t="shared" si="320"/>
        <v>0.49871930088895589</v>
      </c>
      <c r="F225" s="275">
        <v>1.4268799999999999</v>
      </c>
      <c r="G225" s="275">
        <f t="shared" si="321"/>
        <v>1.06741889407865</v>
      </c>
    </row>
    <row r="226" spans="2:7" ht="12.5" x14ac:dyDescent="0.25">
      <c r="B226" s="275">
        <v>29.5</v>
      </c>
      <c r="C226" s="275">
        <v>3.1237499999999998</v>
      </c>
      <c r="D226" s="275">
        <v>1.5707499999999999</v>
      </c>
      <c r="E226" s="275">
        <f t="shared" si="320"/>
        <v>0.50284113645458184</v>
      </c>
      <c r="F226" s="275">
        <v>1.4891100000000002</v>
      </c>
      <c r="G226" s="275">
        <f t="shared" si="321"/>
        <v>1.1231786470588236</v>
      </c>
    </row>
    <row r="227" spans="2:7" ht="12.5" x14ac:dyDescent="0.25">
      <c r="B227" s="275">
        <v>30</v>
      </c>
      <c r="C227" s="126">
        <v>2.9289999999999998</v>
      </c>
      <c r="D227" s="275">
        <v>1.4864999999999999</v>
      </c>
      <c r="E227" s="275">
        <f t="shared" si="320"/>
        <v>0.50751109593717991</v>
      </c>
      <c r="F227" s="275">
        <v>1.5513400000000002</v>
      </c>
      <c r="G227" s="275">
        <f t="shared" si="321"/>
        <v>1.180983395356777</v>
      </c>
    </row>
    <row r="228" spans="2:7" ht="12.5" x14ac:dyDescent="0.25">
      <c r="B228" s="275">
        <v>30.5</v>
      </c>
      <c r="C228" s="275">
        <v>2.7634999999999996</v>
      </c>
      <c r="D228" s="275">
        <v>1.4132500000000001</v>
      </c>
      <c r="E228" s="275">
        <f t="shared" si="320"/>
        <v>0.5113985887461554</v>
      </c>
      <c r="F228" s="275">
        <v>1.6165099999999999</v>
      </c>
      <c r="G228" s="275">
        <f t="shared" si="321"/>
        <v>1.2400213990410713</v>
      </c>
    </row>
    <row r="229" spans="2:7" ht="12.5" x14ac:dyDescent="0.25">
      <c r="B229" s="275">
        <v>31</v>
      </c>
      <c r="C229" s="126">
        <v>2.5979999999999999</v>
      </c>
      <c r="D229" s="275">
        <v>1.34</v>
      </c>
      <c r="E229" s="275">
        <f t="shared" si="320"/>
        <v>0.51578137028483451</v>
      </c>
      <c r="F229" s="275">
        <v>1.6816799999999998</v>
      </c>
      <c r="G229" s="275">
        <f t="shared" si="321"/>
        <v>1.3010688221709006</v>
      </c>
    </row>
    <row r="230" spans="2:7" ht="12.5" x14ac:dyDescent="0.25">
      <c r="B230" s="275">
        <v>31.5</v>
      </c>
      <c r="C230" s="275">
        <v>2.45675</v>
      </c>
      <c r="D230" s="275">
        <v>1.2762500000000001</v>
      </c>
      <c r="E230" s="275">
        <f t="shared" si="320"/>
        <v>0.51948712730233038</v>
      </c>
      <c r="F230" s="275">
        <v>1.7556699999999998</v>
      </c>
      <c r="G230" s="275">
        <f t="shared" si="321"/>
        <v>1.3680719471863234</v>
      </c>
    </row>
    <row r="231" spans="2:7" ht="12.5" x14ac:dyDescent="0.25">
      <c r="B231" s="275">
        <v>32</v>
      </c>
      <c r="C231" s="126">
        <v>2.3155000000000001</v>
      </c>
      <c r="D231" s="275">
        <v>1.2124999999999999</v>
      </c>
      <c r="E231" s="275">
        <f t="shared" si="320"/>
        <v>0.52364500107968037</v>
      </c>
      <c r="F231" s="275">
        <v>1.8296599999999998</v>
      </c>
      <c r="G231" s="275">
        <f t="shared" si="321"/>
        <v>1.4371384690131719</v>
      </c>
    </row>
    <row r="232" spans="2:7" ht="12.5" x14ac:dyDescent="0.25">
      <c r="B232" s="275">
        <v>32.5</v>
      </c>
      <c r="C232" s="275">
        <v>2.1942500000000003</v>
      </c>
      <c r="D232" s="275">
        <v>1.1564999999999999</v>
      </c>
      <c r="E232" s="275">
        <f t="shared" si="320"/>
        <v>0.52705935969009898</v>
      </c>
      <c r="F232" s="275">
        <v>1.9168799999999999</v>
      </c>
      <c r="G232" s="275">
        <f t="shared" si="321"/>
        <v>1.5154643181041352</v>
      </c>
    </row>
    <row r="233" spans="2:7" ht="12.5" x14ac:dyDescent="0.25">
      <c r="B233" s="275">
        <v>33</v>
      </c>
      <c r="C233" s="126">
        <v>2.073</v>
      </c>
      <c r="D233" s="275">
        <v>1.1005</v>
      </c>
      <c r="E233" s="275">
        <f t="shared" si="320"/>
        <v>0.53087313072841291</v>
      </c>
      <c r="F233" s="275">
        <v>2.0040999999999998</v>
      </c>
      <c r="G233" s="275">
        <f t="shared" si="321"/>
        <v>1.5958842619392182</v>
      </c>
    </row>
    <row r="234" spans="2:7" ht="12.5" x14ac:dyDescent="0.25">
      <c r="B234" s="275">
        <v>33.5</v>
      </c>
      <c r="C234" s="275">
        <v>1.9682499999999998</v>
      </c>
      <c r="D234" s="275">
        <v>1.05125</v>
      </c>
      <c r="E234" s="275">
        <f t="shared" si="320"/>
        <v>0.53410389940302305</v>
      </c>
      <c r="F234" s="275">
        <v>2.0859299999999998</v>
      </c>
      <c r="G234" s="275">
        <f t="shared" si="321"/>
        <v>1.6711550203226218</v>
      </c>
    </row>
    <row r="235" spans="2:7" ht="12.5" x14ac:dyDescent="0.25">
      <c r="B235" s="275">
        <v>34</v>
      </c>
      <c r="C235" s="126">
        <v>1.8634999999999999</v>
      </c>
      <c r="D235" s="275">
        <v>1.002</v>
      </c>
      <c r="E235" s="275">
        <f t="shared" si="320"/>
        <v>0.53769788033270727</v>
      </c>
      <c r="F235" s="275">
        <v>2.1677599999999999</v>
      </c>
      <c r="G235" s="275">
        <f t="shared" si="321"/>
        <v>1.7483999356050441</v>
      </c>
    </row>
    <row r="236" spans="2:7" ht="12.5" x14ac:dyDescent="0.25">
      <c r="B236" s="275">
        <v>34.5</v>
      </c>
      <c r="C236" s="275">
        <v>1.7725</v>
      </c>
      <c r="D236" s="275">
        <v>0.95850000000000002</v>
      </c>
      <c r="E236" s="275">
        <f t="shared" si="320"/>
        <v>0.5407616361071933</v>
      </c>
      <c r="F236" s="275">
        <v>2.2417499999999997</v>
      </c>
      <c r="G236" s="275">
        <f t="shared" si="321"/>
        <v>1.8183785966149506</v>
      </c>
    </row>
    <row r="237" spans="2:7" ht="12.5" x14ac:dyDescent="0.25">
      <c r="B237" s="275">
        <v>35</v>
      </c>
      <c r="C237" s="126">
        <v>1.6815</v>
      </c>
      <c r="D237" s="275">
        <v>0.91500000000000004</v>
      </c>
      <c r="E237" s="275">
        <f t="shared" si="320"/>
        <v>0.54415700267618206</v>
      </c>
      <c r="F237" s="275">
        <v>2.3157399999999999</v>
      </c>
      <c r="G237" s="275">
        <f t="shared" si="321"/>
        <v>1.8901892060660126</v>
      </c>
    </row>
    <row r="238" spans="2:7" ht="12.5" x14ac:dyDescent="0.25">
      <c r="B238" s="275">
        <v>35.5</v>
      </c>
      <c r="C238" s="275">
        <v>1.60225</v>
      </c>
      <c r="D238" s="275">
        <v>0.87624999999999997</v>
      </c>
      <c r="E238" s="275">
        <f t="shared" si="320"/>
        <v>0.54688718988921825</v>
      </c>
      <c r="F238" s="275">
        <v>2.38679</v>
      </c>
      <c r="G238" s="275">
        <f t="shared" si="321"/>
        <v>1.9579573139335307</v>
      </c>
    </row>
    <row r="239" spans="2:7" ht="12.5" x14ac:dyDescent="0.25">
      <c r="B239" s="275">
        <v>36</v>
      </c>
      <c r="C239" s="126">
        <v>1.5229999999999999</v>
      </c>
      <c r="D239" s="275">
        <v>0.83750000000000002</v>
      </c>
      <c r="E239" s="275">
        <f t="shared" si="320"/>
        <v>0.54990151017728173</v>
      </c>
      <c r="F239" s="275">
        <v>2.45784</v>
      </c>
      <c r="G239" s="275">
        <f t="shared" si="321"/>
        <v>2.0273548916611954</v>
      </c>
    </row>
    <row r="240" spans="2:7" ht="12.5" x14ac:dyDescent="0.25">
      <c r="B240" s="275">
        <v>36.5</v>
      </c>
      <c r="C240" s="275">
        <v>1.4535</v>
      </c>
      <c r="D240" s="275">
        <v>0.80299999999999994</v>
      </c>
      <c r="E240" s="275">
        <f t="shared" si="320"/>
        <v>0.5524595803233574</v>
      </c>
      <c r="F240" s="275">
        <v>2.5225200000000001</v>
      </c>
      <c r="G240" s="275">
        <f t="shared" si="321"/>
        <v>2.0903855108359135</v>
      </c>
    </row>
    <row r="241" spans="2:7" ht="12.5" x14ac:dyDescent="0.25">
      <c r="B241" s="275">
        <v>37</v>
      </c>
      <c r="C241" s="126">
        <v>1.3839999999999999</v>
      </c>
      <c r="D241" s="275">
        <v>0.76849999999999996</v>
      </c>
      <c r="E241" s="275">
        <f t="shared" si="320"/>
        <v>0.55527456647398843</v>
      </c>
      <c r="F241" s="275">
        <v>2.5871999999999997</v>
      </c>
      <c r="G241" s="275">
        <f t="shared" si="321"/>
        <v>2.1549095375722542</v>
      </c>
    </row>
    <row r="242" spans="2:7" ht="12.5" x14ac:dyDescent="0.25">
      <c r="B242" s="275">
        <v>37.5</v>
      </c>
      <c r="C242" s="275">
        <v>1.3227500000000001</v>
      </c>
      <c r="D242" s="275">
        <v>0.73799999999999999</v>
      </c>
      <c r="E242" s="275">
        <f t="shared" si="320"/>
        <v>0.55792855792855789</v>
      </c>
      <c r="F242" s="275">
        <v>2.6288499999999999</v>
      </c>
      <c r="G242" s="275">
        <f t="shared" si="321"/>
        <v>2.2000657342657339</v>
      </c>
    </row>
    <row r="243" spans="2:7" ht="12.5" x14ac:dyDescent="0.25">
      <c r="B243" s="275">
        <v>38</v>
      </c>
      <c r="C243" s="126">
        <v>1.2615000000000001</v>
      </c>
      <c r="D243" s="275">
        <v>0.70749999999999991</v>
      </c>
      <c r="E243" s="275">
        <f t="shared" si="320"/>
        <v>0.5608402695204121</v>
      </c>
      <c r="F243" s="275">
        <v>2.6705000000000001</v>
      </c>
      <c r="G243" s="275">
        <f t="shared" si="321"/>
        <v>2.2465859096313907</v>
      </c>
    </row>
    <row r="244" spans="2:7" ht="12.5" x14ac:dyDescent="0.25">
      <c r="B244" s="275">
        <v>38.5</v>
      </c>
      <c r="C244" s="275">
        <v>1.2075</v>
      </c>
      <c r="D244" s="275">
        <v>0.67999999999999994</v>
      </c>
      <c r="E244" s="275">
        <f t="shared" si="320"/>
        <v>0.56314699792960654</v>
      </c>
      <c r="F244" s="275">
        <v>2.6950000000000003</v>
      </c>
      <c r="G244" s="275">
        <f t="shared" si="321"/>
        <v>2.2765217391304344</v>
      </c>
    </row>
    <row r="245" spans="2:7" ht="12.5" x14ac:dyDescent="0.25">
      <c r="B245" s="275">
        <v>39</v>
      </c>
      <c r="C245" s="126">
        <v>1.1535</v>
      </c>
      <c r="D245" s="275">
        <v>0.65250000000000008</v>
      </c>
      <c r="E245" s="275">
        <f t="shared" si="320"/>
        <v>0.56566970091027313</v>
      </c>
      <c r="F245" s="275">
        <v>2.7195</v>
      </c>
      <c r="G245" s="275">
        <f t="shared" si="321"/>
        <v>2.3075081274382319</v>
      </c>
    </row>
    <row r="246" spans="2:7" ht="12.5" x14ac:dyDescent="0.25">
      <c r="B246" s="275">
        <v>39.5</v>
      </c>
      <c r="C246" s="275">
        <v>1.1054999999999999</v>
      </c>
      <c r="D246" s="275">
        <v>0.62775000000000003</v>
      </c>
      <c r="E246" s="275">
        <f t="shared" si="320"/>
        <v>0.56784260515603802</v>
      </c>
      <c r="F246" s="275">
        <v>2.7356699999999998</v>
      </c>
      <c r="G246" s="275">
        <f t="shared" si="321"/>
        <v>2.3301449694708278</v>
      </c>
    </row>
    <row r="247" spans="2:7" ht="12.5" x14ac:dyDescent="0.25">
      <c r="B247" s="275">
        <v>40</v>
      </c>
      <c r="C247" s="126">
        <v>1.0574999999999999</v>
      </c>
      <c r="D247" s="275">
        <v>0.60299999999999998</v>
      </c>
      <c r="E247" s="275">
        <f t="shared" si="320"/>
        <v>0.57021276595744685</v>
      </c>
      <c r="F247" s="275">
        <v>2.7518400000000001</v>
      </c>
      <c r="G247" s="275">
        <f t="shared" si="321"/>
        <v>2.3537014468085111</v>
      </c>
    </row>
    <row r="248" spans="2:7" ht="12.5" x14ac:dyDescent="0.25">
      <c r="B248" s="275">
        <v>40.5</v>
      </c>
      <c r="C248" s="275">
        <v>1.0147499999999998</v>
      </c>
      <c r="D248" s="275">
        <v>0.58074999999999999</v>
      </c>
      <c r="E248" s="275">
        <f t="shared" si="320"/>
        <v>0.57230845035723099</v>
      </c>
      <c r="F248" s="275">
        <v>2.7626200000000001</v>
      </c>
      <c r="G248" s="275">
        <f t="shared" si="321"/>
        <v>2.3716061566888404</v>
      </c>
    </row>
    <row r="249" spans="2:7" ht="12.5" x14ac:dyDescent="0.25">
      <c r="B249" s="275">
        <v>41</v>
      </c>
      <c r="C249" s="126">
        <v>0.97199999999999998</v>
      </c>
      <c r="D249" s="275">
        <v>0.5585</v>
      </c>
      <c r="E249" s="275">
        <f t="shared" si="320"/>
        <v>0.57458847736625518</v>
      </c>
      <c r="F249" s="275">
        <v>2.7734000000000001</v>
      </c>
      <c r="G249" s="275">
        <f t="shared" si="321"/>
        <v>2.3903455246913583</v>
      </c>
    </row>
    <row r="250" spans="2:7" ht="12.5" x14ac:dyDescent="0.25">
      <c r="B250" s="275">
        <v>41.5</v>
      </c>
      <c r="C250" s="275">
        <v>0.93375000000000008</v>
      </c>
      <c r="D250" s="275">
        <v>0.53825000000000001</v>
      </c>
      <c r="E250" s="275">
        <f t="shared" si="320"/>
        <v>0.57643908969210167</v>
      </c>
      <c r="F250" s="275">
        <v>2.7572299999999998</v>
      </c>
      <c r="G250" s="275">
        <f t="shared" si="321"/>
        <v>2.3840627269076302</v>
      </c>
    </row>
    <row r="251" spans="2:7" ht="12.5" x14ac:dyDescent="0.25">
      <c r="B251" s="275">
        <v>42</v>
      </c>
      <c r="C251" s="126">
        <v>0.89550000000000007</v>
      </c>
      <c r="D251" s="275">
        <v>0.51800000000000002</v>
      </c>
      <c r="E251" s="275">
        <f t="shared" si="320"/>
        <v>0.5784477945281965</v>
      </c>
      <c r="F251" s="275">
        <v>2.7410599999999996</v>
      </c>
      <c r="G251" s="275">
        <f t="shared" si="321"/>
        <v>2.3783401675041871</v>
      </c>
    </row>
    <row r="252" spans="2:7" ht="12.5" x14ac:dyDescent="0.25">
      <c r="B252" s="275">
        <v>42.5</v>
      </c>
      <c r="C252" s="275">
        <v>0.86150000000000004</v>
      </c>
      <c r="D252" s="275">
        <v>0.49975000000000003</v>
      </c>
      <c r="E252" s="275">
        <f t="shared" si="320"/>
        <v>0.58009286128845039</v>
      </c>
      <c r="F252" s="275">
        <v>2.7199899999999997</v>
      </c>
      <c r="G252" s="275">
        <f t="shared" si="321"/>
        <v>2.3667701726639581</v>
      </c>
    </row>
    <row r="253" spans="2:7" ht="12.5" x14ac:dyDescent="0.25">
      <c r="B253" s="275">
        <v>43</v>
      </c>
      <c r="C253" s="126">
        <v>0.82750000000000001</v>
      </c>
      <c r="D253" s="275">
        <v>0.48149999999999998</v>
      </c>
      <c r="E253" s="275">
        <f t="shared" si="320"/>
        <v>0.58187311178247736</v>
      </c>
      <c r="F253" s="275">
        <v>2.6989199999999998</v>
      </c>
      <c r="G253" s="275">
        <f t="shared" si="321"/>
        <v>2.3556434682779455</v>
      </c>
    </row>
    <row r="254" spans="2:7" ht="12.5" x14ac:dyDescent="0.25">
      <c r="B254" s="275">
        <v>43.5</v>
      </c>
      <c r="C254" s="275">
        <v>0.79675000000000007</v>
      </c>
      <c r="D254" s="275">
        <v>0.46499999999999997</v>
      </c>
      <c r="E254" s="275">
        <f t="shared" si="320"/>
        <v>0.58362096015061182</v>
      </c>
      <c r="F254" s="275">
        <v>2.6685399999999997</v>
      </c>
      <c r="G254" s="275">
        <f t="shared" si="321"/>
        <v>2.3361238155004704</v>
      </c>
    </row>
    <row r="255" spans="2:7" ht="12.5" x14ac:dyDescent="0.25">
      <c r="B255" s="275">
        <v>44</v>
      </c>
      <c r="C255" s="126">
        <v>0.76600000000000001</v>
      </c>
      <c r="D255" s="275">
        <v>0.44850000000000001</v>
      </c>
      <c r="E255" s="275">
        <f t="shared" si="320"/>
        <v>0.585509138381201</v>
      </c>
      <c r="F255" s="275">
        <v>2.6381599999999996</v>
      </c>
      <c r="G255" s="275">
        <f t="shared" si="321"/>
        <v>2.3170001827676234</v>
      </c>
    </row>
    <row r="256" spans="2:7" ht="12.5" x14ac:dyDescent="0.25">
      <c r="B256" s="275">
        <v>44.5</v>
      </c>
      <c r="C256" s="275">
        <v>0.73825000000000007</v>
      </c>
      <c r="D256" s="275">
        <v>0.4335</v>
      </c>
      <c r="E256" s="275">
        <f t="shared" si="320"/>
        <v>0.58719945817812391</v>
      </c>
      <c r="F256" s="275">
        <v>2.5984699999999998</v>
      </c>
      <c r="G256" s="275">
        <f t="shared" si="321"/>
        <v>2.2887302641381644</v>
      </c>
    </row>
    <row r="257" spans="2:7" ht="12.5" x14ac:dyDescent="0.25">
      <c r="B257" s="275">
        <v>45</v>
      </c>
      <c r="C257" s="126">
        <v>0.71050000000000002</v>
      </c>
      <c r="D257" s="275">
        <v>0.41849999999999998</v>
      </c>
      <c r="E257" s="275">
        <f t="shared" si="320"/>
        <v>0.58902181562280076</v>
      </c>
      <c r="F257" s="275">
        <v>2.5587800000000001</v>
      </c>
      <c r="G257" s="275">
        <f t="shared" si="321"/>
        <v>2.2607658620689652</v>
      </c>
    </row>
    <row r="258" spans="2:7" ht="12.5" x14ac:dyDescent="0.25">
      <c r="B258" s="275">
        <v>45.5</v>
      </c>
      <c r="C258" s="275">
        <v>0.68525000000000003</v>
      </c>
      <c r="D258" s="275">
        <v>0.40475</v>
      </c>
      <c r="E258" s="275">
        <f t="shared" si="320"/>
        <v>0.5906603429405326</v>
      </c>
      <c r="F258" s="275">
        <v>2.5107600000000003</v>
      </c>
      <c r="G258" s="275">
        <f t="shared" si="321"/>
        <v>2.2245095439620579</v>
      </c>
    </row>
    <row r="259" spans="2:7" ht="12.5" x14ac:dyDescent="0.25">
      <c r="B259" s="275">
        <v>46</v>
      </c>
      <c r="C259" s="126">
        <v>0.66</v>
      </c>
      <c r="D259" s="275">
        <v>0.39100000000000001</v>
      </c>
      <c r="E259" s="275">
        <f t="shared" si="320"/>
        <v>0.59242424242424241</v>
      </c>
      <c r="F259" s="275">
        <v>2.4627400000000002</v>
      </c>
      <c r="G259" s="275">
        <f t="shared" si="321"/>
        <v>2.188480318181818</v>
      </c>
    </row>
    <row r="260" spans="2:7" ht="12.5" x14ac:dyDescent="0.25">
      <c r="B260" s="275">
        <v>46.5</v>
      </c>
      <c r="C260" s="275">
        <v>0.63724999999999998</v>
      </c>
      <c r="D260" s="275">
        <v>0.3785</v>
      </c>
      <c r="E260" s="275">
        <f t="shared" si="320"/>
        <v>0.59395841506473124</v>
      </c>
      <c r="F260" s="275">
        <v>2.40639</v>
      </c>
      <c r="G260" s="275">
        <f t="shared" si="321"/>
        <v>2.1439433856414278</v>
      </c>
    </row>
    <row r="261" spans="2:7" ht="12.5" x14ac:dyDescent="0.25">
      <c r="B261" s="275">
        <v>47</v>
      </c>
      <c r="C261" s="126">
        <v>0.61449999999999994</v>
      </c>
      <c r="D261" s="275">
        <v>0.36599999999999999</v>
      </c>
      <c r="E261" s="275">
        <f t="shared" si="320"/>
        <v>0.59560618388934095</v>
      </c>
      <c r="F261" s="275">
        <v>2.3500399999999999</v>
      </c>
      <c r="G261" s="275">
        <f t="shared" si="321"/>
        <v>2.0995475345809602</v>
      </c>
    </row>
    <row r="262" spans="2:7" ht="12.5" x14ac:dyDescent="0.25">
      <c r="B262" s="275">
        <v>47.5</v>
      </c>
      <c r="C262" s="275">
        <v>0.59399999999999997</v>
      </c>
      <c r="D262" s="275">
        <v>0.35449999999999998</v>
      </c>
      <c r="E262" s="275">
        <f t="shared" si="320"/>
        <v>0.59680134680134678</v>
      </c>
      <c r="F262" s="275">
        <v>2.2843799999999996</v>
      </c>
      <c r="G262" s="275">
        <f t="shared" si="321"/>
        <v>2.0449815909090905</v>
      </c>
    </row>
    <row r="263" spans="2:7" ht="12.5" x14ac:dyDescent="0.25">
      <c r="B263" s="275">
        <v>48</v>
      </c>
      <c r="C263" s="126">
        <v>0.57350000000000001</v>
      </c>
      <c r="D263" s="275">
        <v>0.34299999999999997</v>
      </c>
      <c r="E263" s="275">
        <f t="shared" si="320"/>
        <v>0.59808195292066257</v>
      </c>
      <c r="F263" s="275">
        <v>2.2187199999999998</v>
      </c>
      <c r="G263" s="275">
        <f t="shared" si="321"/>
        <v>1.9904645858761985</v>
      </c>
    </row>
    <row r="264" spans="2:7" ht="12.5" x14ac:dyDescent="0.25">
      <c r="B264" s="275">
        <v>48.5</v>
      </c>
      <c r="C264" s="275">
        <v>0.55449999999999999</v>
      </c>
      <c r="D264" s="275">
        <v>0.33224999999999999</v>
      </c>
      <c r="E264" s="275">
        <f t="shared" si="320"/>
        <v>0.59918845807033361</v>
      </c>
      <c r="F264" s="275">
        <v>2.1466899999999995</v>
      </c>
      <c r="G264" s="275">
        <f t="shared" si="321"/>
        <v>1.929407806582506</v>
      </c>
    </row>
    <row r="265" spans="2:7" ht="12.5" x14ac:dyDescent="0.25">
      <c r="B265" s="275">
        <v>49</v>
      </c>
      <c r="C265" s="126">
        <v>0.53549999999999998</v>
      </c>
      <c r="D265" s="275">
        <v>0.32150000000000001</v>
      </c>
      <c r="E265" s="275">
        <f t="shared" si="320"/>
        <v>0.60037348272642399</v>
      </c>
      <c r="F265" s="275">
        <v>2.0746599999999997</v>
      </c>
      <c r="G265" s="275">
        <f t="shared" si="321"/>
        <v>1.8683562745098037</v>
      </c>
    </row>
    <row r="266" spans="2:7" ht="12.5" x14ac:dyDescent="0.25">
      <c r="B266" s="275">
        <v>49.5</v>
      </c>
      <c r="C266" s="275">
        <v>0.51849999999999996</v>
      </c>
      <c r="D266" s="275">
        <v>0.312</v>
      </c>
      <c r="E266" s="275">
        <f t="shared" si="320"/>
        <v>0.60173577627772423</v>
      </c>
      <c r="F266" s="275">
        <v>1.9977299999999998</v>
      </c>
      <c r="G266" s="275">
        <f t="shared" si="321"/>
        <v>1.8031584185149467</v>
      </c>
    </row>
    <row r="267" spans="2:7" ht="12.5" x14ac:dyDescent="0.25">
      <c r="B267" s="275">
        <v>50</v>
      </c>
      <c r="C267" s="126">
        <v>0.50150000000000006</v>
      </c>
      <c r="D267" s="275">
        <v>0.30249999999999999</v>
      </c>
      <c r="E267" s="275">
        <f t="shared" si="320"/>
        <v>0.60319042871385831</v>
      </c>
      <c r="F267" s="275">
        <v>1.9207999999999998</v>
      </c>
      <c r="G267" s="275">
        <f t="shared" si="321"/>
        <v>1.7379122632103683</v>
      </c>
    </row>
    <row r="268" spans="2:7" ht="12.5" x14ac:dyDescent="0.25">
      <c r="B268" s="275">
        <v>50.5</v>
      </c>
      <c r="C268" s="275">
        <v>0.48575000000000002</v>
      </c>
      <c r="D268" s="275">
        <v>0.29349999999999998</v>
      </c>
      <c r="E268" s="275">
        <f t="shared" si="320"/>
        <v>0.60422027792074107</v>
      </c>
      <c r="F268" s="275">
        <v>1.86592</v>
      </c>
      <c r="G268" s="275">
        <f t="shared" si="321"/>
        <v>1.6911400514668036</v>
      </c>
    </row>
    <row r="269" spans="2:7" ht="12.5" x14ac:dyDescent="0.25">
      <c r="B269" s="275">
        <v>51</v>
      </c>
      <c r="C269" s="126">
        <v>0.47</v>
      </c>
      <c r="D269" s="275">
        <v>0.28449999999999998</v>
      </c>
      <c r="E269" s="275">
        <f t="shared" si="320"/>
        <v>0.60531914893617023</v>
      </c>
      <c r="F269" s="275">
        <v>1.81104</v>
      </c>
      <c r="G269" s="275">
        <f t="shared" si="321"/>
        <v>1.6443857872340426</v>
      </c>
    </row>
    <row r="270" spans="2:7" ht="12.5" x14ac:dyDescent="0.25">
      <c r="B270" s="275">
        <v>51.5</v>
      </c>
      <c r="C270" s="275">
        <v>0.45550000000000002</v>
      </c>
      <c r="D270" s="275">
        <v>0.27625</v>
      </c>
      <c r="E270" s="275">
        <f t="shared" si="320"/>
        <v>0.60647639956092203</v>
      </c>
      <c r="F270" s="275">
        <v>1.7257799999999999</v>
      </c>
      <c r="G270" s="275">
        <f t="shared" si="321"/>
        <v>1.5699672612513718</v>
      </c>
    </row>
    <row r="271" spans="2:7" ht="12.5" x14ac:dyDescent="0.25">
      <c r="B271" s="275">
        <v>52</v>
      </c>
      <c r="C271" s="126">
        <v>0.441</v>
      </c>
      <c r="D271" s="275">
        <v>0.26800000000000002</v>
      </c>
      <c r="E271" s="275">
        <f t="shared" si="320"/>
        <v>0.60770975056689347</v>
      </c>
      <c r="F271" s="275">
        <v>1.64052</v>
      </c>
      <c r="G271" s="275">
        <f t="shared" si="321"/>
        <v>1.4954400000000001</v>
      </c>
    </row>
    <row r="272" spans="2:7" ht="12.5" x14ac:dyDescent="0.25">
      <c r="B272" s="275">
        <v>52.5</v>
      </c>
      <c r="C272" s="275">
        <v>0.42774999999999996</v>
      </c>
      <c r="D272" s="275">
        <v>0.26024999999999998</v>
      </c>
      <c r="E272" s="275">
        <f t="shared" si="320"/>
        <v>0.60841613091759206</v>
      </c>
      <c r="F272" s="275">
        <v>1.57192</v>
      </c>
      <c r="G272" s="275">
        <f t="shared" si="321"/>
        <v>1.4345722267679721</v>
      </c>
    </row>
    <row r="273" spans="2:7" ht="12.5" x14ac:dyDescent="0.25">
      <c r="B273" s="275">
        <v>53</v>
      </c>
      <c r="C273" s="126">
        <v>0.41449999999999998</v>
      </c>
      <c r="D273" s="275">
        <v>0.2525</v>
      </c>
      <c r="E273" s="275">
        <f t="shared" si="320"/>
        <v>0.60916767189384802</v>
      </c>
      <c r="F273" s="275">
        <v>1.50332</v>
      </c>
      <c r="G273" s="275">
        <f t="shared" si="321"/>
        <v>1.3736609167671894</v>
      </c>
    </row>
    <row r="274" spans="2:7" ht="12.5" x14ac:dyDescent="0.25">
      <c r="B274" s="275">
        <v>53.5</v>
      </c>
      <c r="C274" s="275">
        <v>0.40225</v>
      </c>
      <c r="D274" s="275">
        <v>0.2455</v>
      </c>
      <c r="E274" s="275">
        <f t="shared" si="320"/>
        <v>0.61031696706028593</v>
      </c>
      <c r="F274" s="275">
        <v>1.42835</v>
      </c>
      <c r="G274" s="275">
        <f t="shared" si="321"/>
        <v>1.3076193598508392</v>
      </c>
    </row>
    <row r="275" spans="2:7" ht="12.5" x14ac:dyDescent="0.25">
      <c r="B275" s="275">
        <v>54</v>
      </c>
      <c r="C275" s="126">
        <v>0.39</v>
      </c>
      <c r="D275" s="275">
        <v>0.23849999999999999</v>
      </c>
      <c r="E275" s="275">
        <f t="shared" si="320"/>
        <v>0.61153846153846148</v>
      </c>
      <c r="F275" s="275">
        <v>1.3533799999999998</v>
      </c>
      <c r="G275" s="275">
        <f t="shared" si="321"/>
        <v>1.2414658846153843</v>
      </c>
    </row>
    <row r="276" spans="2:7" ht="12.5" x14ac:dyDescent="0.25">
      <c r="B276" s="275">
        <v>54.5</v>
      </c>
      <c r="C276" s="275">
        <v>0.37875000000000003</v>
      </c>
      <c r="D276" s="275">
        <v>0.23199999999999998</v>
      </c>
      <c r="E276" s="275">
        <f t="shared" si="320"/>
        <v>0.61254125412541249</v>
      </c>
      <c r="F276" s="275">
        <v>1.2833099999999997</v>
      </c>
      <c r="G276" s="275">
        <f t="shared" si="321"/>
        <v>1.1791204752475244</v>
      </c>
    </row>
    <row r="277" spans="2:7" ht="12.5" x14ac:dyDescent="0.25">
      <c r="B277" s="275">
        <v>55</v>
      </c>
      <c r="C277" s="126">
        <v>0.36749999999999999</v>
      </c>
      <c r="D277" s="275">
        <v>0.22550000000000001</v>
      </c>
      <c r="E277" s="275">
        <f t="shared" si="320"/>
        <v>0.61360544217687074</v>
      </c>
      <c r="F277" s="275">
        <v>1.2132399999999999</v>
      </c>
      <c r="G277" s="275">
        <f t="shared" si="321"/>
        <v>1.116676</v>
      </c>
    </row>
    <row r="278" spans="2:7" ht="12.5" x14ac:dyDescent="0.25">
      <c r="B278" s="275">
        <v>55.5</v>
      </c>
      <c r="C278" s="275">
        <v>0.35725000000000001</v>
      </c>
      <c r="D278" s="275">
        <v>0.21950000000000003</v>
      </c>
      <c r="E278" s="275">
        <f t="shared" si="320"/>
        <v>0.61441567529741081</v>
      </c>
      <c r="F278" s="275">
        <v>1.1490499999999999</v>
      </c>
      <c r="G278" s="275">
        <f t="shared" si="321"/>
        <v>1.0589914975507349</v>
      </c>
    </row>
    <row r="279" spans="2:7" ht="12.5" x14ac:dyDescent="0.25">
      <c r="B279" s="275">
        <v>56</v>
      </c>
      <c r="C279" s="126">
        <v>0.34700000000000003</v>
      </c>
      <c r="D279" s="275">
        <v>0.21350000000000002</v>
      </c>
      <c r="E279" s="275">
        <f t="shared" si="320"/>
        <v>0.61527377521613835</v>
      </c>
      <c r="F279" s="275">
        <v>1.0848599999999999</v>
      </c>
      <c r="G279" s="275">
        <f t="shared" si="321"/>
        <v>1.0012288616714697</v>
      </c>
    </row>
    <row r="280" spans="2:7" ht="12.5" x14ac:dyDescent="0.25">
      <c r="B280" s="275">
        <v>56.5</v>
      </c>
      <c r="C280" s="275">
        <v>0.33725000000000005</v>
      </c>
      <c r="D280" s="275">
        <v>0.20774999999999999</v>
      </c>
      <c r="E280" s="275">
        <f t="shared" si="320"/>
        <v>0.61601186063750912</v>
      </c>
      <c r="F280" s="275">
        <v>1.0182199999999999</v>
      </c>
      <c r="G280" s="275">
        <f t="shared" si="321"/>
        <v>0.94085339510748678</v>
      </c>
    </row>
    <row r="281" spans="2:7" ht="12.5" x14ac:dyDescent="0.25">
      <c r="B281" s="275">
        <v>57</v>
      </c>
      <c r="C281" s="126">
        <v>0.32750000000000001</v>
      </c>
      <c r="D281" s="275">
        <v>0.20199999999999999</v>
      </c>
      <c r="E281" s="275">
        <f t="shared" si="320"/>
        <v>0.61679389312977095</v>
      </c>
      <c r="F281" s="275">
        <v>0.95157999999999987</v>
      </c>
      <c r="G281" s="275">
        <f t="shared" si="321"/>
        <v>0.88039309923664111</v>
      </c>
    </row>
    <row r="282" spans="2:7" ht="12.5" x14ac:dyDescent="0.25">
      <c r="B282" s="275">
        <v>57.5</v>
      </c>
      <c r="C282" s="275">
        <v>0.31874999999999998</v>
      </c>
      <c r="D282" s="275">
        <v>0.19674999999999998</v>
      </c>
      <c r="E282" s="275">
        <f t="shared" si="320"/>
        <v>0.61725490196078425</v>
      </c>
      <c r="F282" s="275">
        <v>0.89277999999999991</v>
      </c>
      <c r="G282" s="275">
        <f t="shared" si="321"/>
        <v>0.82660924705882333</v>
      </c>
    </row>
    <row r="283" spans="2:7" ht="12.5" x14ac:dyDescent="0.25">
      <c r="B283" s="275">
        <v>58</v>
      </c>
      <c r="C283" s="126">
        <v>0.31</v>
      </c>
      <c r="D283" s="275">
        <v>0.1915</v>
      </c>
      <c r="E283" s="275">
        <f t="shared" si="320"/>
        <v>0.61774193548387102</v>
      </c>
      <c r="F283" s="275">
        <v>0.83397999999999994</v>
      </c>
      <c r="G283" s="275">
        <f t="shared" si="321"/>
        <v>0.77277662903225808</v>
      </c>
    </row>
    <row r="284" spans="2:7" ht="12.5" x14ac:dyDescent="0.25">
      <c r="B284" s="275">
        <v>58.5</v>
      </c>
      <c r="C284" s="275">
        <v>0.30174999999999996</v>
      </c>
      <c r="D284" s="275">
        <v>0.18675</v>
      </c>
      <c r="E284" s="275">
        <f t="shared" si="320"/>
        <v>0.61888980944490479</v>
      </c>
      <c r="F284" s="275">
        <v>0.78498000000000001</v>
      </c>
      <c r="G284" s="275">
        <f t="shared" si="321"/>
        <v>0.72872418392709215</v>
      </c>
    </row>
    <row r="285" spans="2:7" ht="12.5" x14ac:dyDescent="0.25">
      <c r="B285" s="275">
        <v>59</v>
      </c>
      <c r="C285" s="126">
        <v>0.29349999999999998</v>
      </c>
      <c r="D285" s="275">
        <v>0.182</v>
      </c>
      <c r="E285" s="275">
        <f t="shared" si="320"/>
        <v>0.62010221465076665</v>
      </c>
      <c r="F285" s="275">
        <v>0.73597999999999997</v>
      </c>
      <c r="G285" s="275">
        <f t="shared" si="321"/>
        <v>0.68457424190800686</v>
      </c>
    </row>
    <row r="286" spans="2:7" ht="12.5" x14ac:dyDescent="0.25">
      <c r="B286" s="275">
        <v>59.5</v>
      </c>
      <c r="C286" s="275">
        <v>0.28574999999999995</v>
      </c>
      <c r="D286" s="275">
        <v>0.17749999999999999</v>
      </c>
      <c r="E286" s="275">
        <f t="shared" si="320"/>
        <v>0.62117235345581812</v>
      </c>
      <c r="F286" s="275">
        <v>0.67276999999999998</v>
      </c>
      <c r="G286" s="275">
        <f t="shared" si="321"/>
        <v>0.62685918635170612</v>
      </c>
    </row>
    <row r="287" spans="2:7" ht="12.5" x14ac:dyDescent="0.25">
      <c r="B287" s="275">
        <v>60</v>
      </c>
      <c r="C287" s="126">
        <v>0.27799999999999997</v>
      </c>
      <c r="D287" s="275">
        <v>0.17299999999999999</v>
      </c>
      <c r="E287" s="275">
        <f t="shared" si="320"/>
        <v>0.62230215827338131</v>
      </c>
      <c r="F287" s="275">
        <v>0.60955999999999999</v>
      </c>
      <c r="G287" s="275">
        <f t="shared" si="321"/>
        <v>0.56899575539568348</v>
      </c>
    </row>
    <row r="288" spans="2:7" ht="12.5" x14ac:dyDescent="0.25">
      <c r="B288" s="275">
        <v>60.5</v>
      </c>
      <c r="C288" s="275">
        <v>0.27074999999999994</v>
      </c>
      <c r="D288" s="275">
        <v>0.16874999999999998</v>
      </c>
      <c r="E288" s="275">
        <f t="shared" si="320"/>
        <v>0.62326869806094187</v>
      </c>
      <c r="F288" s="275">
        <v>0.55516999999999994</v>
      </c>
      <c r="G288" s="275">
        <f t="shared" si="321"/>
        <v>0.51903012465373954</v>
      </c>
    </row>
    <row r="289" spans="2:7" ht="12.5" x14ac:dyDescent="0.25">
      <c r="B289" s="275">
        <v>61</v>
      </c>
      <c r="C289" s="126">
        <v>0.26349999999999996</v>
      </c>
      <c r="D289" s="275">
        <v>0.16449999999999998</v>
      </c>
      <c r="E289" s="275">
        <f t="shared" si="320"/>
        <v>0.62428842504743831</v>
      </c>
      <c r="F289" s="275">
        <v>0.50078</v>
      </c>
      <c r="G289" s="275">
        <f t="shared" si="321"/>
        <v>0.46894673624288424</v>
      </c>
    </row>
    <row r="290" spans="2:7" ht="12.5" x14ac:dyDescent="0.25">
      <c r="B290" s="275">
        <v>61.5</v>
      </c>
      <c r="C290" s="275">
        <v>0.25700000000000001</v>
      </c>
      <c r="D290" s="275">
        <v>0.16049999999999998</v>
      </c>
      <c r="E290" s="275">
        <f t="shared" si="320"/>
        <v>0.62451361867704269</v>
      </c>
      <c r="F290" s="275">
        <v>0.45324999999999999</v>
      </c>
      <c r="G290" s="275">
        <f t="shared" si="321"/>
        <v>0.42459119649805432</v>
      </c>
    </row>
    <row r="291" spans="2:7" ht="12.5" x14ac:dyDescent="0.25">
      <c r="B291" s="275">
        <v>62</v>
      </c>
      <c r="C291" s="126">
        <v>0.2505</v>
      </c>
      <c r="D291" s="275">
        <v>0.1565</v>
      </c>
      <c r="E291" s="275">
        <f t="shared" si="320"/>
        <v>0.62475049900199597</v>
      </c>
      <c r="F291" s="275">
        <v>0.40571999999999997</v>
      </c>
      <c r="G291" s="275">
        <f t="shared" si="321"/>
        <v>0.38021065868263471</v>
      </c>
    </row>
    <row r="292" spans="2:7" ht="12.5" x14ac:dyDescent="0.25">
      <c r="B292" s="275">
        <v>62.5</v>
      </c>
      <c r="C292" s="275">
        <v>0.24425000000000002</v>
      </c>
      <c r="D292" s="275">
        <v>0.15275</v>
      </c>
      <c r="E292" s="275">
        <f t="shared" si="320"/>
        <v>0.62538382804503578</v>
      </c>
      <c r="F292" s="275">
        <v>0.36407</v>
      </c>
      <c r="G292" s="275">
        <f t="shared" si="321"/>
        <v>0.34152523541453428</v>
      </c>
    </row>
    <row r="293" spans="2:7" ht="12.5" x14ac:dyDescent="0.25">
      <c r="B293" s="275">
        <v>63</v>
      </c>
      <c r="C293" s="126">
        <v>0.23800000000000002</v>
      </c>
      <c r="D293" s="275">
        <v>0.14899999999999999</v>
      </c>
      <c r="E293" s="275">
        <f t="shared" si="320"/>
        <v>0.62605042016806711</v>
      </c>
      <c r="F293" s="275">
        <v>0.32241999999999998</v>
      </c>
      <c r="G293" s="275">
        <f t="shared" si="321"/>
        <v>0.30277676470588233</v>
      </c>
    </row>
    <row r="294" spans="2:7" ht="12.5" x14ac:dyDescent="0.25">
      <c r="B294" s="275">
        <v>63.5</v>
      </c>
      <c r="C294" s="275">
        <v>0.23225000000000001</v>
      </c>
      <c r="D294" s="275">
        <v>0.14550000000000002</v>
      </c>
      <c r="E294" s="275">
        <f t="shared" si="320"/>
        <v>0.62648008611410122</v>
      </c>
      <c r="F294" s="275">
        <v>0.28517999999999999</v>
      </c>
      <c r="G294" s="275">
        <f t="shared" si="321"/>
        <v>0.26798938643702908</v>
      </c>
    </row>
    <row r="295" spans="2:7" ht="12.5" x14ac:dyDescent="0.25">
      <c r="B295" s="275">
        <v>64</v>
      </c>
      <c r="C295" s="126">
        <v>0.22650000000000001</v>
      </c>
      <c r="D295" s="275">
        <v>0.14200000000000002</v>
      </c>
      <c r="E295" s="275">
        <f t="shared" si="320"/>
        <v>0.62693156732891842</v>
      </c>
      <c r="F295" s="275">
        <v>0.24793999999999999</v>
      </c>
      <c r="G295" s="275">
        <f t="shared" si="321"/>
        <v>0.23316211920529803</v>
      </c>
    </row>
    <row r="296" spans="2:7" ht="12.5" x14ac:dyDescent="0.25">
      <c r="B296" s="275">
        <v>64.5</v>
      </c>
      <c r="C296" s="275">
        <v>0.221</v>
      </c>
      <c r="D296" s="275">
        <v>0.13875000000000001</v>
      </c>
      <c r="E296" s="275">
        <f t="shared" si="320"/>
        <v>0.62782805429864263</v>
      </c>
      <c r="F296" s="275">
        <v>0.21609</v>
      </c>
      <c r="G296" s="275">
        <f t="shared" si="321"/>
        <v>0.20350104638009053</v>
      </c>
    </row>
    <row r="297" spans="2:7" ht="12.5" x14ac:dyDescent="0.25">
      <c r="B297" s="275">
        <v>65</v>
      </c>
      <c r="C297" s="126">
        <v>0.2155</v>
      </c>
      <c r="D297" s="275">
        <v>0.13550000000000001</v>
      </c>
      <c r="E297" s="275">
        <f t="shared" si="320"/>
        <v>0.62877030162412995</v>
      </c>
      <c r="F297" s="275">
        <v>0.18424000000000001</v>
      </c>
      <c r="G297" s="275">
        <f t="shared" si="321"/>
        <v>0.17376696055684457</v>
      </c>
    </row>
    <row r="298" spans="2:7" ht="12.5" x14ac:dyDescent="0.25">
      <c r="B298" s="275">
        <v>65.5</v>
      </c>
      <c r="C298" s="275">
        <v>0.21049999999999999</v>
      </c>
      <c r="D298" s="275">
        <v>0.13250000000000001</v>
      </c>
      <c r="E298" s="275">
        <f t="shared" si="320"/>
        <v>0.62945368171021387</v>
      </c>
      <c r="F298" s="275">
        <v>0.15925</v>
      </c>
      <c r="G298" s="275">
        <f t="shared" si="321"/>
        <v>0.15036074821852735</v>
      </c>
    </row>
    <row r="299" spans="2:7" ht="12.5" x14ac:dyDescent="0.25">
      <c r="B299" s="275">
        <v>66</v>
      </c>
      <c r="C299" s="126">
        <v>0.20549999999999999</v>
      </c>
      <c r="D299" s="275">
        <v>0.1295</v>
      </c>
      <c r="E299" s="275">
        <f t="shared" si="320"/>
        <v>0.63017031630170317</v>
      </c>
      <c r="F299" s="275">
        <v>0.13425999999999999</v>
      </c>
      <c r="G299" s="275">
        <f t="shared" si="321"/>
        <v>0.12691</v>
      </c>
    </row>
    <row r="300" spans="2:7" ht="12.5" x14ac:dyDescent="0.25">
      <c r="B300" s="275">
        <v>66.5</v>
      </c>
      <c r="C300" s="275">
        <v>0.20074999999999998</v>
      </c>
      <c r="D300" s="275">
        <v>0.1265</v>
      </c>
      <c r="E300" s="275">
        <f t="shared" si="320"/>
        <v>0.63013698630136994</v>
      </c>
      <c r="F300" s="275">
        <v>0.11809</v>
      </c>
      <c r="G300" s="275">
        <f t="shared" si="321"/>
        <v>0.11161931506849318</v>
      </c>
    </row>
    <row r="301" spans="2:7" ht="12.5" x14ac:dyDescent="0.25">
      <c r="B301" s="275">
        <v>67</v>
      </c>
      <c r="C301" s="126">
        <v>0.19600000000000001</v>
      </c>
      <c r="D301" s="275">
        <v>0.1235</v>
      </c>
      <c r="E301" s="275">
        <f t="shared" si="320"/>
        <v>0.63010204081632648</v>
      </c>
      <c r="F301" s="275">
        <v>0.10192</v>
      </c>
      <c r="G301" s="275">
        <f t="shared" si="321"/>
        <v>9.6329999999999999E-2</v>
      </c>
    </row>
    <row r="302" spans="2:7" ht="12.5" x14ac:dyDescent="0.25">
      <c r="B302" s="275">
        <v>67.5</v>
      </c>
      <c r="C302" s="275">
        <v>0.1915</v>
      </c>
      <c r="D302" s="275">
        <v>0.12075</v>
      </c>
      <c r="E302" s="275">
        <f t="shared" si="320"/>
        <v>0.63054830287206265</v>
      </c>
      <c r="F302" s="275">
        <v>8.8200000000000001E-2</v>
      </c>
      <c r="G302" s="275">
        <f t="shared" si="321"/>
        <v>8.3421540469973882E-2</v>
      </c>
    </row>
    <row r="303" spans="2:7" ht="12.5" x14ac:dyDescent="0.25">
      <c r="B303" s="275">
        <v>68</v>
      </c>
      <c r="C303" s="126">
        <v>0.187</v>
      </c>
      <c r="D303" s="275">
        <v>0.11799999999999999</v>
      </c>
      <c r="E303" s="275">
        <f t="shared" si="320"/>
        <v>0.63101604278074863</v>
      </c>
      <c r="F303" s="275">
        <v>7.4479999999999991E-2</v>
      </c>
      <c r="G303" s="275">
        <f t="shared" si="321"/>
        <v>7.0497112299465231E-2</v>
      </c>
    </row>
    <row r="304" spans="2:7" ht="12.5" x14ac:dyDescent="0.25">
      <c r="B304" s="275">
        <v>68.5</v>
      </c>
      <c r="C304" s="275">
        <v>0.18275000000000002</v>
      </c>
      <c r="D304" s="275">
        <v>0.11549999999999999</v>
      </c>
      <c r="E304" s="275">
        <f t="shared" si="320"/>
        <v>0.63201094391244861</v>
      </c>
      <c r="F304" s="275">
        <v>6.5169999999999992E-2</v>
      </c>
      <c r="G304" s="275">
        <f t="shared" si="321"/>
        <v>6.1782229822161409E-2</v>
      </c>
    </row>
    <row r="305" spans="2:7" ht="12.5" x14ac:dyDescent="0.25">
      <c r="B305" s="275">
        <v>69</v>
      </c>
      <c r="C305" s="126">
        <v>0.17850000000000002</v>
      </c>
      <c r="D305" s="275">
        <v>0.11299999999999999</v>
      </c>
      <c r="E305" s="275">
        <f t="shared" si="320"/>
        <v>0.63305322128851527</v>
      </c>
      <c r="F305" s="275">
        <v>5.586E-2</v>
      </c>
      <c r="G305" s="275">
        <f t="shared" si="321"/>
        <v>5.3043529411764698E-2</v>
      </c>
    </row>
    <row r="306" spans="2:7" ht="12.5" x14ac:dyDescent="0.25">
      <c r="B306" s="275">
        <v>69.5</v>
      </c>
      <c r="C306" s="275">
        <v>0.17449999999999999</v>
      </c>
      <c r="D306" s="275">
        <v>0.1105</v>
      </c>
      <c r="E306" s="275">
        <f t="shared" si="320"/>
        <v>0.63323782234957027</v>
      </c>
      <c r="F306" s="275">
        <v>4.9490000000000006E-2</v>
      </c>
      <c r="G306" s="275">
        <f t="shared" si="321"/>
        <v>4.7008409742120359E-2</v>
      </c>
    </row>
    <row r="307" spans="2:7" ht="12.5" x14ac:dyDescent="0.25">
      <c r="B307" s="275">
        <v>70</v>
      </c>
      <c r="C307" s="126">
        <v>0.17049999999999998</v>
      </c>
      <c r="D307" s="275">
        <v>0.10800000000000001</v>
      </c>
      <c r="E307" s="275">
        <f t="shared" si="320"/>
        <v>0.63343108504398837</v>
      </c>
      <c r="F307" s="275">
        <v>4.3120000000000006E-2</v>
      </c>
      <c r="G307" s="275">
        <f t="shared" si="321"/>
        <v>4.0970322580645174E-2</v>
      </c>
    </row>
    <row r="308" spans="2:7" ht="12.5" x14ac:dyDescent="0.25">
      <c r="B308" s="275">
        <v>70.5</v>
      </c>
      <c r="C308" s="275">
        <v>0.16674999999999998</v>
      </c>
      <c r="D308" s="275">
        <v>0.10575000000000001</v>
      </c>
      <c r="E308" s="275">
        <f t="shared" si="320"/>
        <v>0.63418290854572723</v>
      </c>
      <c r="F308" s="275">
        <v>3.8710000000000001E-2</v>
      </c>
      <c r="G308" s="275">
        <f t="shared" si="321"/>
        <v>3.6823830584707652E-2</v>
      </c>
    </row>
    <row r="309" spans="2:7" ht="12.5" x14ac:dyDescent="0.25">
      <c r="B309" s="275">
        <v>71</v>
      </c>
      <c r="C309" s="126">
        <v>0.16299999999999998</v>
      </c>
      <c r="D309" s="275">
        <v>0.10349999999999999</v>
      </c>
      <c r="E309" s="275">
        <f t="shared" si="320"/>
        <v>0.63496932515337423</v>
      </c>
      <c r="F309" s="275">
        <v>3.4299999999999997E-2</v>
      </c>
      <c r="G309" s="275">
        <f t="shared" si="321"/>
        <v>3.2669171779141103E-2</v>
      </c>
    </row>
    <row r="310" spans="2:7" ht="12.5" x14ac:dyDescent="0.25">
      <c r="B310" s="275">
        <v>71.5</v>
      </c>
      <c r="C310" s="275">
        <v>0.15949999999999998</v>
      </c>
      <c r="D310" s="275">
        <v>0.10125000000000001</v>
      </c>
      <c r="E310" s="275">
        <f t="shared" si="320"/>
        <v>0.63479623824451425</v>
      </c>
      <c r="F310" s="275">
        <v>3.0379999999999997E-2</v>
      </c>
      <c r="G310" s="275">
        <f t="shared" si="321"/>
        <v>2.8927664576802514E-2</v>
      </c>
    </row>
    <row r="311" spans="2:7" ht="12.5" x14ac:dyDescent="0.25">
      <c r="B311" s="275">
        <v>72</v>
      </c>
      <c r="C311" s="126">
        <v>0.156</v>
      </c>
      <c r="D311" s="275">
        <v>9.9000000000000005E-2</v>
      </c>
      <c r="E311" s="275">
        <f t="shared" si="320"/>
        <v>0.63461538461538469</v>
      </c>
      <c r="F311" s="275">
        <v>2.6460000000000001E-2</v>
      </c>
      <c r="G311" s="275">
        <f t="shared" si="321"/>
        <v>2.5187884615384619E-2</v>
      </c>
    </row>
    <row r="312" spans="2:7" ht="12.5" x14ac:dyDescent="0.25">
      <c r="B312" s="275">
        <v>72.5</v>
      </c>
      <c r="C312" s="275">
        <v>0.15275</v>
      </c>
      <c r="D312" s="275">
        <v>9.7000000000000003E-2</v>
      </c>
      <c r="E312" s="275">
        <f t="shared" si="320"/>
        <v>0.63502454991816693</v>
      </c>
      <c r="F312" s="275">
        <v>2.4010000000000004E-2</v>
      </c>
      <c r="G312" s="275">
        <f t="shared" si="321"/>
        <v>2.2870409165302787E-2</v>
      </c>
    </row>
    <row r="313" spans="2:7" ht="12.5" x14ac:dyDescent="0.25">
      <c r="B313" s="275">
        <v>73</v>
      </c>
      <c r="C313" s="126">
        <v>0.14949999999999999</v>
      </c>
      <c r="D313" s="275">
        <v>9.5000000000000001E-2</v>
      </c>
      <c r="E313" s="275">
        <f t="shared" si="320"/>
        <v>0.63545150501672243</v>
      </c>
      <c r="F313" s="275">
        <v>2.1560000000000003E-2</v>
      </c>
      <c r="G313" s="275">
        <f t="shared" si="321"/>
        <v>2.0550501672240807E-2</v>
      </c>
    </row>
    <row r="314" spans="2:7" ht="12.5" x14ac:dyDescent="0.25">
      <c r="B314" s="275">
        <v>73.5</v>
      </c>
      <c r="C314" s="275">
        <v>0.14649999999999999</v>
      </c>
      <c r="D314" s="275">
        <v>9.325E-2</v>
      </c>
      <c r="E314" s="275">
        <f t="shared" si="320"/>
        <v>0.63651877133105805</v>
      </c>
      <c r="F314" s="275">
        <v>1.9599999999999999E-2</v>
      </c>
      <c r="G314" s="275">
        <f t="shared" si="321"/>
        <v>1.8713651877133107E-2</v>
      </c>
    </row>
    <row r="315" spans="2:7" ht="12.5" x14ac:dyDescent="0.25">
      <c r="B315" s="275">
        <v>74</v>
      </c>
      <c r="C315" s="126">
        <v>0.14349999999999999</v>
      </c>
      <c r="D315" s="275">
        <v>9.1499999999999998E-2</v>
      </c>
      <c r="E315" s="275">
        <f t="shared" si="320"/>
        <v>0.63763066202090601</v>
      </c>
      <c r="F315" s="275">
        <v>1.7639999999999999E-2</v>
      </c>
      <c r="G315" s="275">
        <f t="shared" si="321"/>
        <v>1.6871707317073173E-2</v>
      </c>
    </row>
    <row r="316" spans="2:7" ht="12.5" x14ac:dyDescent="0.25">
      <c r="B316" s="275">
        <v>74.5</v>
      </c>
      <c r="C316" s="275">
        <v>0.14050000000000001</v>
      </c>
      <c r="D316" s="275">
        <v>8.9499999999999996E-2</v>
      </c>
      <c r="E316" s="275">
        <f t="shared" si="320"/>
        <v>0.63701067615658358</v>
      </c>
      <c r="F316" s="275">
        <v>1.617E-2</v>
      </c>
      <c r="G316" s="275">
        <f t="shared" si="321"/>
        <v>1.5450693950177936E-2</v>
      </c>
    </row>
    <row r="317" spans="2:7" ht="12.5" x14ac:dyDescent="0.25">
      <c r="B317" s="275">
        <v>75</v>
      </c>
      <c r="C317" s="126">
        <v>0.13750000000000001</v>
      </c>
      <c r="D317" s="275">
        <v>8.7500000000000008E-2</v>
      </c>
      <c r="E317" s="275">
        <f t="shared" si="320"/>
        <v>0.63636363636363635</v>
      </c>
      <c r="F317" s="275">
        <v>1.47E-2</v>
      </c>
      <c r="G317" s="275">
        <f t="shared" si="321"/>
        <v>1.403181818181818E-2</v>
      </c>
    </row>
    <row r="318" spans="2:7" ht="12.5" x14ac:dyDescent="0.25">
      <c r="B318" s="275">
        <v>75.5</v>
      </c>
      <c r="C318" s="275">
        <v>0.13475000000000001</v>
      </c>
      <c r="D318" s="275">
        <v>8.5749999999999993E-2</v>
      </c>
      <c r="E318" s="275">
        <f t="shared" si="320"/>
        <v>0.63636363636363624</v>
      </c>
      <c r="F318" s="275">
        <v>1.372E-2</v>
      </c>
      <c r="G318" s="275">
        <f t="shared" si="321"/>
        <v>1.3096363636363635E-2</v>
      </c>
    </row>
    <row r="319" spans="2:7" ht="12.5" x14ac:dyDescent="0.25">
      <c r="B319" s="275">
        <v>76</v>
      </c>
      <c r="C319" s="126">
        <v>0.13200000000000001</v>
      </c>
      <c r="D319" s="275">
        <v>8.3999999999999991E-2</v>
      </c>
      <c r="E319" s="275">
        <f t="shared" si="320"/>
        <v>0.63636363636363624</v>
      </c>
      <c r="F319" s="275">
        <v>1.274E-2</v>
      </c>
      <c r="G319" s="275">
        <f t="shared" si="321"/>
        <v>1.2160909090909087E-2</v>
      </c>
    </row>
    <row r="320" spans="2:7" ht="12.5" x14ac:dyDescent="0.25">
      <c r="B320" s="275">
        <v>76.5</v>
      </c>
      <c r="C320" s="275">
        <v>0.12925</v>
      </c>
      <c r="D320" s="275">
        <v>8.249999999999999E-2</v>
      </c>
      <c r="E320" s="275">
        <f t="shared" si="320"/>
        <v>0.63829787234042545</v>
      </c>
      <c r="F320" s="275">
        <v>1.1269999999999999E-2</v>
      </c>
      <c r="G320" s="275">
        <f t="shared" si="321"/>
        <v>1.0790425531914892E-2</v>
      </c>
    </row>
    <row r="321" spans="2:7" ht="12.5" x14ac:dyDescent="0.25">
      <c r="B321" s="275">
        <v>77</v>
      </c>
      <c r="C321" s="126">
        <v>0.1265</v>
      </c>
      <c r="D321" s="275">
        <v>8.0999999999999989E-2</v>
      </c>
      <c r="E321" s="275">
        <f t="shared" si="320"/>
        <v>0.64031620553359669</v>
      </c>
      <c r="F321" s="275">
        <v>9.7999999999999997E-3</v>
      </c>
      <c r="G321" s="275">
        <f t="shared" si="321"/>
        <v>9.4126482213438712E-3</v>
      </c>
    </row>
    <row r="322" spans="2:7" ht="12.5" x14ac:dyDescent="0.25">
      <c r="B322" s="275">
        <v>77.5</v>
      </c>
      <c r="C322" s="275">
        <v>0.124</v>
      </c>
      <c r="D322" s="275">
        <v>7.9499999999999987E-2</v>
      </c>
      <c r="E322" s="275">
        <f t="shared" si="320"/>
        <v>0.64112903225806439</v>
      </c>
      <c r="F322" s="275">
        <v>8.3299999999999989E-3</v>
      </c>
      <c r="G322" s="275">
        <f t="shared" si="321"/>
        <v>8.0109072580645136E-3</v>
      </c>
    </row>
    <row r="323" spans="2:7" ht="12.5" x14ac:dyDescent="0.25">
      <c r="B323" s="275">
        <v>78</v>
      </c>
      <c r="C323" s="126">
        <v>0.1215</v>
      </c>
      <c r="D323" s="275">
        <v>7.8E-2</v>
      </c>
      <c r="E323" s="275">
        <f t="shared" si="320"/>
        <v>0.64197530864197527</v>
      </c>
      <c r="F323" s="275">
        <v>6.8599999999999989E-3</v>
      </c>
      <c r="G323" s="275">
        <f t="shared" si="321"/>
        <v>6.6059259259259248E-3</v>
      </c>
    </row>
    <row r="324" spans="2:7" ht="12.5" x14ac:dyDescent="0.25">
      <c r="B324" s="275">
        <v>78.5</v>
      </c>
      <c r="C324" s="275">
        <v>0.11924999999999999</v>
      </c>
      <c r="D324" s="275">
        <v>7.6499999999999999E-2</v>
      </c>
      <c r="E324" s="275">
        <f t="shared" si="320"/>
        <v>0.64150943396226412</v>
      </c>
      <c r="F324" s="275">
        <v>4.8999999999999998E-3</v>
      </c>
      <c r="G324" s="275">
        <f t="shared" si="321"/>
        <v>4.7150943396226412E-3</v>
      </c>
    </row>
    <row r="325" spans="2:7" ht="12.5" x14ac:dyDescent="0.25">
      <c r="B325" s="275">
        <v>79</v>
      </c>
      <c r="C325" s="126">
        <v>0.11700000000000001</v>
      </c>
      <c r="D325" s="275">
        <v>7.4999999999999997E-2</v>
      </c>
      <c r="E325" s="275">
        <f t="shared" si="320"/>
        <v>0.64102564102564097</v>
      </c>
      <c r="F325" s="275">
        <v>2.9399999999999999E-3</v>
      </c>
      <c r="G325" s="275">
        <f t="shared" si="321"/>
        <v>2.8269230769230767E-3</v>
      </c>
    </row>
    <row r="326" spans="2:7" ht="12.5" x14ac:dyDescent="0.25">
      <c r="B326" s="275">
        <v>79.5</v>
      </c>
      <c r="C326" s="275">
        <v>0.11474999999999999</v>
      </c>
      <c r="D326" s="275">
        <v>7.3499999999999996E-2</v>
      </c>
      <c r="E326" s="275">
        <f t="shared" si="320"/>
        <v>0.64052287581699352</v>
      </c>
      <c r="F326" s="275">
        <v>1.47E-3</v>
      </c>
      <c r="G326" s="275">
        <f t="shared" si="321"/>
        <v>1.4123529411764707E-3</v>
      </c>
    </row>
    <row r="327" spans="2:7" ht="12.5" x14ac:dyDescent="0.25">
      <c r="B327" s="275">
        <v>80</v>
      </c>
      <c r="C327" s="126">
        <v>0.11249999999999999</v>
      </c>
      <c r="D327" s="275">
        <v>7.1999999999999995E-2</v>
      </c>
      <c r="E327" s="275">
        <f t="shared" si="320"/>
        <v>0.64</v>
      </c>
      <c r="F327" s="275">
        <v>0</v>
      </c>
      <c r="G327" s="275">
        <f t="shared" si="321"/>
        <v>0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>
    <outlinePr summaryBelow="0" summaryRight="0"/>
  </sheetPr>
  <dimension ref="D4:M184"/>
  <sheetViews>
    <sheetView workbookViewId="0"/>
  </sheetViews>
  <sheetFormatPr baseColWidth="10" defaultColWidth="12.6328125" defaultRowHeight="15.75" customHeight="1" x14ac:dyDescent="0.25"/>
  <sheetData>
    <row r="4" spans="4:13" ht="12.5" x14ac:dyDescent="0.25">
      <c r="D4" s="1" t="b">
        <v>1</v>
      </c>
      <c r="E4" s="265">
        <v>0</v>
      </c>
      <c r="F4" s="267">
        <v>0</v>
      </c>
      <c r="G4" s="271">
        <v>2500</v>
      </c>
      <c r="I4" s="276">
        <v>0</v>
      </c>
      <c r="J4" s="277">
        <v>4215.82371278972</v>
      </c>
      <c r="K4" s="278">
        <v>0</v>
      </c>
      <c r="M4" s="88" t="e">
        <f>K4/F4</f>
        <v>#DIV/0!</v>
      </c>
    </row>
    <row r="5" spans="4:13" ht="12.5" hidden="1" x14ac:dyDescent="0.25">
      <c r="E5" s="265"/>
      <c r="F5" s="267">
        <v>1.3719999999999998E-2</v>
      </c>
      <c r="G5" s="271">
        <v>2500</v>
      </c>
    </row>
    <row r="6" spans="4:13" ht="12.5" x14ac:dyDescent="0.25">
      <c r="D6" s="1" t="b">
        <v>1</v>
      </c>
      <c r="E6" s="265">
        <v>1</v>
      </c>
      <c r="F6" s="267">
        <v>2.7439999999999996E-2</v>
      </c>
      <c r="G6" s="271">
        <v>2500</v>
      </c>
      <c r="I6" s="276">
        <v>1</v>
      </c>
      <c r="J6" s="277">
        <v>4215.2166293318496</v>
      </c>
      <c r="K6" s="278">
        <v>3.7725471850747698E-2</v>
      </c>
      <c r="M6" s="88">
        <f>K6/F6</f>
        <v>1.3748349799835169</v>
      </c>
    </row>
    <row r="7" spans="4:13" ht="12.5" hidden="1" x14ac:dyDescent="0.25">
      <c r="E7" s="265"/>
      <c r="F7" s="267">
        <v>4.018E-2</v>
      </c>
      <c r="G7" s="271">
        <v>2500</v>
      </c>
    </row>
    <row r="8" spans="4:13" ht="12.5" x14ac:dyDescent="0.25">
      <c r="D8" s="1" t="b">
        <v>1</v>
      </c>
      <c r="E8" s="274">
        <f>E6+1</f>
        <v>2</v>
      </c>
      <c r="F8" s="267">
        <v>5.2920000000000002E-2</v>
      </c>
      <c r="G8" s="271">
        <v>2500</v>
      </c>
      <c r="I8" s="276">
        <v>2</v>
      </c>
      <c r="J8" s="277">
        <v>4215.3713034576904</v>
      </c>
      <c r="K8" s="278">
        <v>6.6353614283203299E-2</v>
      </c>
      <c r="M8" s="88">
        <f>K8/F8</f>
        <v>1.2538475866062604</v>
      </c>
    </row>
    <row r="9" spans="4:13" ht="12.5" hidden="1" x14ac:dyDescent="0.25">
      <c r="E9" s="265"/>
      <c r="F9" s="267">
        <v>6.5170000000000006E-2</v>
      </c>
      <c r="G9" s="271">
        <v>2500</v>
      </c>
    </row>
    <row r="10" spans="4:13" ht="12.5" x14ac:dyDescent="0.25">
      <c r="D10" s="1" t="b">
        <v>1</v>
      </c>
      <c r="E10" s="274">
        <f>E8+1</f>
        <v>3</v>
      </c>
      <c r="F10" s="267">
        <v>7.7420000000000003E-2</v>
      </c>
      <c r="G10" s="271">
        <v>2500</v>
      </c>
      <c r="I10" s="276">
        <v>3</v>
      </c>
      <c r="J10" s="277">
        <v>4220.9033671229099</v>
      </c>
      <c r="K10" s="278">
        <v>9.7708304579019398E-2</v>
      </c>
      <c r="M10" s="88">
        <f>K10/F10</f>
        <v>1.2620550836866364</v>
      </c>
    </row>
    <row r="11" spans="4:13" ht="12.5" hidden="1" x14ac:dyDescent="0.25">
      <c r="E11" s="265"/>
      <c r="F11" s="267">
        <v>8.967E-2</v>
      </c>
      <c r="G11" s="271">
        <v>2505</v>
      </c>
    </row>
    <row r="12" spans="4:13" ht="12.5" x14ac:dyDescent="0.25">
      <c r="D12" s="1" t="b">
        <v>1</v>
      </c>
      <c r="E12" s="274">
        <f>E10+1</f>
        <v>4</v>
      </c>
      <c r="F12" s="267">
        <v>0.10192</v>
      </c>
      <c r="G12" s="271">
        <v>2510</v>
      </c>
      <c r="I12" s="276">
        <v>4</v>
      </c>
      <c r="J12" s="277">
        <v>4223.0745501512702</v>
      </c>
      <c r="K12" s="278">
        <v>0.12804209726061799</v>
      </c>
      <c r="M12" s="88">
        <f>K12/F12</f>
        <v>1.2563000123687009</v>
      </c>
    </row>
    <row r="13" spans="4:13" ht="12.5" hidden="1" x14ac:dyDescent="0.25">
      <c r="E13" s="265"/>
      <c r="F13" s="267">
        <v>0.11563999999999999</v>
      </c>
      <c r="G13" s="271">
        <v>2510</v>
      </c>
    </row>
    <row r="14" spans="4:13" ht="12.5" x14ac:dyDescent="0.25">
      <c r="D14" s="1" t="b">
        <v>1</v>
      </c>
      <c r="E14" s="274">
        <f>E12+1</f>
        <v>5</v>
      </c>
      <c r="F14" s="267">
        <v>0.12935999999999998</v>
      </c>
      <c r="G14" s="271">
        <v>2510</v>
      </c>
      <c r="I14" s="276">
        <v>5</v>
      </c>
      <c r="J14" s="277">
        <v>4227.4838240071203</v>
      </c>
      <c r="K14" s="278">
        <v>0.16533044434251301</v>
      </c>
      <c r="M14" s="88">
        <f>K14/F14</f>
        <v>1.2780646594195504</v>
      </c>
    </row>
    <row r="15" spans="4:13" ht="12.5" hidden="1" x14ac:dyDescent="0.25">
      <c r="E15" s="265"/>
      <c r="F15" s="267">
        <v>0.14356999999999998</v>
      </c>
      <c r="G15" s="271">
        <v>2515</v>
      </c>
    </row>
    <row r="16" spans="4:13" ht="12.5" x14ac:dyDescent="0.25">
      <c r="D16" s="1" t="b">
        <v>1</v>
      </c>
      <c r="E16" s="274">
        <f>E14+1</f>
        <v>6</v>
      </c>
      <c r="F16" s="267">
        <v>0.15778</v>
      </c>
      <c r="G16" s="271">
        <v>2520</v>
      </c>
      <c r="I16" s="276">
        <v>6</v>
      </c>
      <c r="J16" s="277">
        <v>4232.3836468855097</v>
      </c>
      <c r="K16" s="278">
        <v>0.19822588077099501</v>
      </c>
      <c r="M16" s="88">
        <f>K16/F16</f>
        <v>1.2563435211750222</v>
      </c>
    </row>
    <row r="17" spans="4:13" ht="12.5" hidden="1" x14ac:dyDescent="0.25">
      <c r="E17" s="265"/>
      <c r="F17" s="267">
        <v>0.17052</v>
      </c>
      <c r="G17" s="271">
        <v>2520</v>
      </c>
    </row>
    <row r="18" spans="4:13" ht="12.5" x14ac:dyDescent="0.25">
      <c r="D18" s="1" t="b">
        <v>1</v>
      </c>
      <c r="E18" s="274">
        <f>E16+1</f>
        <v>7</v>
      </c>
      <c r="F18" s="267">
        <v>0.18325999999999998</v>
      </c>
      <c r="G18" s="271">
        <v>2520</v>
      </c>
      <c r="I18" s="276">
        <v>7</v>
      </c>
      <c r="J18" s="277">
        <v>4236.7629856072799</v>
      </c>
      <c r="K18" s="278">
        <v>0.233878127885468</v>
      </c>
      <c r="M18" s="88">
        <f>K18/F18</f>
        <v>1.2762093631205282</v>
      </c>
    </row>
    <row r="19" spans="4:13" ht="12.5" hidden="1" x14ac:dyDescent="0.25">
      <c r="E19" s="265"/>
      <c r="F19" s="267">
        <v>0.19746999999999998</v>
      </c>
      <c r="G19" s="271">
        <v>2515</v>
      </c>
    </row>
    <row r="20" spans="4:13" ht="12.5" x14ac:dyDescent="0.25">
      <c r="D20" s="1" t="b">
        <v>1</v>
      </c>
      <c r="E20" s="274">
        <f>E18+1</f>
        <v>8</v>
      </c>
      <c r="F20" s="267">
        <v>0.21168000000000001</v>
      </c>
      <c r="G20" s="271">
        <v>2510</v>
      </c>
      <c r="I20" s="276">
        <v>8</v>
      </c>
      <c r="J20" s="277">
        <v>4246.5284997282497</v>
      </c>
      <c r="K20" s="278">
        <v>0.267165850630882</v>
      </c>
      <c r="M20" s="88">
        <f>K20/F20</f>
        <v>1.2621213654142196</v>
      </c>
    </row>
    <row r="21" spans="4:13" ht="12.5" hidden="1" x14ac:dyDescent="0.25">
      <c r="E21" s="265"/>
      <c r="F21" s="267">
        <v>0.22687000000000002</v>
      </c>
      <c r="G21" s="271">
        <v>2510</v>
      </c>
    </row>
    <row r="22" spans="4:13" ht="12.5" x14ac:dyDescent="0.25">
      <c r="D22" s="1" t="b">
        <v>1</v>
      </c>
      <c r="E22" s="274">
        <f>E20+1</f>
        <v>9</v>
      </c>
      <c r="F22" s="267">
        <v>0.24206</v>
      </c>
      <c r="G22" s="271">
        <v>2510</v>
      </c>
      <c r="I22" s="276">
        <v>9</v>
      </c>
      <c r="J22" s="277">
        <v>4252.6045913390599</v>
      </c>
      <c r="K22" s="278">
        <v>0.316777712890498</v>
      </c>
      <c r="M22" s="88">
        <f>K22/F22</f>
        <v>1.3086743488825001</v>
      </c>
    </row>
    <row r="23" spans="4:13" ht="12.5" hidden="1" x14ac:dyDescent="0.25">
      <c r="E23" s="265"/>
      <c r="F23" s="267">
        <v>0.25969999999999999</v>
      </c>
      <c r="G23" s="271">
        <v>2510</v>
      </c>
    </row>
    <row r="24" spans="4:13" ht="12.5" x14ac:dyDescent="0.25">
      <c r="D24" s="1" t="b">
        <v>1</v>
      </c>
      <c r="E24" s="274">
        <f>E22+1</f>
        <v>10</v>
      </c>
      <c r="F24" s="267">
        <v>0.27733999999999998</v>
      </c>
      <c r="G24" s="271">
        <v>2510</v>
      </c>
      <c r="I24" s="276">
        <v>10</v>
      </c>
      <c r="J24" s="277">
        <v>4266.2772214645001</v>
      </c>
      <c r="K24" s="278">
        <v>0.34966950179411399</v>
      </c>
      <c r="M24" s="88">
        <f>K24/F24</f>
        <v>1.2607972228820725</v>
      </c>
    </row>
    <row r="25" spans="4:13" ht="12.5" hidden="1" x14ac:dyDescent="0.25">
      <c r="E25" s="265"/>
      <c r="F25" s="267">
        <v>0.29056999999999999</v>
      </c>
      <c r="G25" s="271">
        <v>2510</v>
      </c>
    </row>
    <row r="26" spans="4:13" ht="12.5" x14ac:dyDescent="0.25">
      <c r="D26" s="1" t="b">
        <v>1</v>
      </c>
      <c r="E26" s="274">
        <f>E24+1</f>
        <v>11</v>
      </c>
      <c r="F26" s="267">
        <v>0.30380000000000001</v>
      </c>
      <c r="G26" s="271">
        <v>2510</v>
      </c>
      <c r="I26" s="276">
        <v>11</v>
      </c>
      <c r="J26" s="277">
        <v>4270.7943281790103</v>
      </c>
      <c r="K26" s="278">
        <v>0.372314441620547</v>
      </c>
      <c r="M26" s="88">
        <f>K26/F26</f>
        <v>1.2255248242940979</v>
      </c>
    </row>
    <row r="27" spans="4:13" ht="12.5" hidden="1" x14ac:dyDescent="0.25">
      <c r="E27" s="265"/>
      <c r="F27" s="267">
        <v>0.32241999999999998</v>
      </c>
      <c r="G27" s="271">
        <v>2505</v>
      </c>
    </row>
    <row r="28" spans="4:13" ht="12.5" x14ac:dyDescent="0.25">
      <c r="D28" s="1" t="b">
        <v>1</v>
      </c>
      <c r="E28" s="274">
        <f>E26+1</f>
        <v>12</v>
      </c>
      <c r="F28" s="267">
        <v>0.34103999999999995</v>
      </c>
      <c r="G28" s="271">
        <v>2500</v>
      </c>
      <c r="I28" s="276">
        <v>12</v>
      </c>
      <c r="J28" s="277">
        <v>4280.9410744814804</v>
      </c>
      <c r="K28" s="278">
        <v>0.43141683659805502</v>
      </c>
      <c r="M28" s="88">
        <f>K28/F28</f>
        <v>1.2650036259619255</v>
      </c>
    </row>
    <row r="29" spans="4:13" ht="12.5" hidden="1" x14ac:dyDescent="0.25">
      <c r="E29" s="265"/>
      <c r="F29" s="267">
        <v>0.35868</v>
      </c>
      <c r="G29" s="271">
        <v>2500</v>
      </c>
    </row>
    <row r="30" spans="4:13" ht="12.5" x14ac:dyDescent="0.25">
      <c r="D30" s="1" t="b">
        <v>1</v>
      </c>
      <c r="E30" s="274">
        <f>E28+1</f>
        <v>13</v>
      </c>
      <c r="F30" s="267">
        <v>0.37631999999999999</v>
      </c>
      <c r="G30" s="271">
        <v>2500</v>
      </c>
      <c r="I30" s="276">
        <v>13</v>
      </c>
      <c r="J30" s="277">
        <v>4294.3882719457497</v>
      </c>
      <c r="K30" s="278">
        <v>0.46330475240567198</v>
      </c>
      <c r="M30" s="88">
        <f>K30/F30</f>
        <v>1.2311457068603104</v>
      </c>
    </row>
    <row r="31" spans="4:13" ht="12.5" hidden="1" x14ac:dyDescent="0.25">
      <c r="E31" s="265"/>
      <c r="F31" s="267">
        <v>0.39444999999999997</v>
      </c>
      <c r="G31" s="271">
        <v>2500</v>
      </c>
    </row>
    <row r="32" spans="4:13" ht="12.5" x14ac:dyDescent="0.25">
      <c r="D32" s="1" t="b">
        <v>1</v>
      </c>
      <c r="E32" s="274">
        <f>E30+1</f>
        <v>14</v>
      </c>
      <c r="F32" s="267">
        <v>0.41258</v>
      </c>
      <c r="G32" s="271">
        <v>2500</v>
      </c>
      <c r="I32" s="276">
        <v>14</v>
      </c>
      <c r="J32" s="277">
        <v>4302.1999090837999</v>
      </c>
      <c r="K32" s="278">
        <v>0.52177273361531595</v>
      </c>
      <c r="M32" s="88">
        <f>K32/F32</f>
        <v>1.2646583295732123</v>
      </c>
    </row>
    <row r="33" spans="4:13" ht="12.5" hidden="1" x14ac:dyDescent="0.25">
      <c r="E33" s="265"/>
      <c r="F33" s="267">
        <v>0.43070999999999998</v>
      </c>
      <c r="G33" s="271">
        <v>2500</v>
      </c>
    </row>
    <row r="34" spans="4:13" ht="12.5" x14ac:dyDescent="0.25">
      <c r="D34" s="1" t="b">
        <v>1</v>
      </c>
      <c r="E34" s="274">
        <f>E32+1</f>
        <v>15</v>
      </c>
      <c r="F34" s="267">
        <v>0.44883999999999996</v>
      </c>
      <c r="G34" s="271">
        <v>2500</v>
      </c>
      <c r="I34" s="276">
        <v>15</v>
      </c>
      <c r="J34" s="277">
        <v>4316.7567514743696</v>
      </c>
      <c r="K34" s="278">
        <v>0.55727339970421097</v>
      </c>
      <c r="M34" s="88">
        <f>K34/F34</f>
        <v>1.2415858651283553</v>
      </c>
    </row>
    <row r="35" spans="4:13" ht="12.5" hidden="1" x14ac:dyDescent="0.25">
      <c r="E35" s="265"/>
      <c r="F35" s="267">
        <v>0.46941999999999995</v>
      </c>
      <c r="G35" s="271">
        <v>2500</v>
      </c>
    </row>
    <row r="36" spans="4:13" ht="12.5" x14ac:dyDescent="0.25">
      <c r="D36" s="1" t="b">
        <v>1</v>
      </c>
      <c r="E36" s="274">
        <f>E34+1</f>
        <v>16</v>
      </c>
      <c r="F36" s="267">
        <v>0.49</v>
      </c>
      <c r="G36" s="271">
        <v>2500</v>
      </c>
      <c r="I36" s="276">
        <v>16</v>
      </c>
      <c r="J36" s="277">
        <v>4333.4997280192101</v>
      </c>
      <c r="K36" s="278">
        <v>0.61565906032972495</v>
      </c>
      <c r="M36" s="88">
        <f>K36/F36</f>
        <v>1.256447061897398</v>
      </c>
    </row>
    <row r="37" spans="4:13" ht="12.5" hidden="1" x14ac:dyDescent="0.25">
      <c r="E37" s="265"/>
      <c r="F37" s="267">
        <v>0.51351999999999998</v>
      </c>
      <c r="G37" s="271">
        <v>2495</v>
      </c>
    </row>
    <row r="38" spans="4:13" ht="12.5" x14ac:dyDescent="0.25">
      <c r="D38" s="1" t="b">
        <v>1</v>
      </c>
      <c r="E38" s="274">
        <f>E36+1</f>
        <v>17</v>
      </c>
      <c r="F38" s="267">
        <v>0.53703999999999996</v>
      </c>
      <c r="G38" s="271">
        <v>2490</v>
      </c>
      <c r="I38" s="276">
        <v>17</v>
      </c>
      <c r="J38" s="277">
        <v>4342.03294131649</v>
      </c>
      <c r="K38" s="278">
        <v>0.66556454913963303</v>
      </c>
      <c r="M38" s="88">
        <f>K38/F38</f>
        <v>1.2393202538723989</v>
      </c>
    </row>
    <row r="39" spans="4:13" ht="12.5" hidden="1" x14ac:dyDescent="0.25">
      <c r="E39" s="265"/>
      <c r="F39" s="267">
        <v>0.56006999999999996</v>
      </c>
      <c r="G39" s="271">
        <v>2490</v>
      </c>
    </row>
    <row r="40" spans="4:13" ht="12.5" x14ac:dyDescent="0.25">
      <c r="D40" s="1" t="b">
        <v>1</v>
      </c>
      <c r="E40" s="274">
        <f>E38+1</f>
        <v>18</v>
      </c>
      <c r="F40" s="267">
        <v>0.58309999999999995</v>
      </c>
      <c r="G40" s="271">
        <v>2490</v>
      </c>
      <c r="I40" s="276">
        <v>18</v>
      </c>
      <c r="J40" s="277">
        <v>4357.3756837622504</v>
      </c>
      <c r="K40" s="278">
        <v>0.70900270568960599</v>
      </c>
      <c r="M40" s="88">
        <f>K40/F40</f>
        <v>1.2159195775846443</v>
      </c>
    </row>
    <row r="41" spans="4:13" ht="12.5" hidden="1" x14ac:dyDescent="0.25">
      <c r="E41" s="265"/>
      <c r="F41" s="267">
        <v>0.60613000000000006</v>
      </c>
      <c r="G41" s="271">
        <v>2485</v>
      </c>
    </row>
    <row r="42" spans="4:13" ht="12.5" x14ac:dyDescent="0.25">
      <c r="D42" s="1" t="b">
        <v>1</v>
      </c>
      <c r="E42" s="274">
        <f>E40+1</f>
        <v>19</v>
      </c>
      <c r="F42" s="267">
        <v>0.62916000000000005</v>
      </c>
      <c r="G42" s="271">
        <v>2480</v>
      </c>
      <c r="I42" s="276">
        <v>19</v>
      </c>
      <c r="J42" s="277">
        <v>4372.7691208228998</v>
      </c>
      <c r="K42" s="278">
        <v>0.76764470945628305</v>
      </c>
      <c r="M42" s="88">
        <f>K42/F42</f>
        <v>1.2201104797766593</v>
      </c>
    </row>
    <row r="43" spans="4:13" ht="12.5" hidden="1" x14ac:dyDescent="0.25">
      <c r="E43" s="265"/>
      <c r="F43" s="267">
        <v>0.65219000000000005</v>
      </c>
      <c r="G43" s="271">
        <v>2480</v>
      </c>
    </row>
    <row r="44" spans="4:13" ht="12.5" x14ac:dyDescent="0.25">
      <c r="D44" s="1" t="b">
        <v>1</v>
      </c>
      <c r="E44" s="274">
        <f>E42+1</f>
        <v>20</v>
      </c>
      <c r="F44" s="267">
        <v>0.67522000000000004</v>
      </c>
      <c r="G44" s="271">
        <v>2480</v>
      </c>
      <c r="I44" s="276">
        <v>20</v>
      </c>
      <c r="J44" s="277">
        <v>4386.9028435707596</v>
      </c>
      <c r="K44" s="278">
        <v>0.84107824139167997</v>
      </c>
      <c r="M44" s="88">
        <f>K44/F44</f>
        <v>1.2456358540796777</v>
      </c>
    </row>
    <row r="45" spans="4:13" ht="12.5" hidden="1" x14ac:dyDescent="0.25">
      <c r="E45" s="265"/>
      <c r="F45" s="267">
        <v>0.70511000000000001</v>
      </c>
      <c r="G45" s="271">
        <v>2475</v>
      </c>
    </row>
    <row r="46" spans="4:13" ht="12.5" x14ac:dyDescent="0.25">
      <c r="D46" s="1" t="b">
        <v>1</v>
      </c>
      <c r="E46" s="274">
        <f>E44+1</f>
        <v>21</v>
      </c>
      <c r="F46" s="267">
        <v>0.73499999999999999</v>
      </c>
      <c r="G46" s="271">
        <v>2470</v>
      </c>
      <c r="I46" s="276">
        <v>21</v>
      </c>
      <c r="J46" s="277">
        <v>4393.4157288280703</v>
      </c>
      <c r="K46" s="278">
        <v>0.89353382756364597</v>
      </c>
      <c r="M46" s="88">
        <f>K46/F46</f>
        <v>1.2156922823995184</v>
      </c>
    </row>
    <row r="47" spans="4:13" ht="12.5" hidden="1" x14ac:dyDescent="0.25">
      <c r="E47" s="265"/>
      <c r="F47" s="267">
        <v>0.76586999999999994</v>
      </c>
      <c r="G47" s="271">
        <v>2470</v>
      </c>
    </row>
    <row r="48" spans="4:13" ht="12.5" x14ac:dyDescent="0.25">
      <c r="D48" s="1" t="b">
        <v>1</v>
      </c>
      <c r="E48" s="274">
        <f>E46+1</f>
        <v>22</v>
      </c>
      <c r="F48" s="267">
        <v>0.79673999999999989</v>
      </c>
      <c r="G48" s="271">
        <v>2470</v>
      </c>
      <c r="I48" s="276">
        <v>22</v>
      </c>
      <c r="J48" s="277">
        <v>4412.52497827762</v>
      </c>
      <c r="K48" s="278">
        <v>0.99198864327728398</v>
      </c>
      <c r="M48" s="88">
        <f>K48/F48</f>
        <v>1.2450594212381505</v>
      </c>
    </row>
    <row r="49" spans="4:13" ht="12.5" hidden="1" x14ac:dyDescent="0.25">
      <c r="E49" s="265"/>
      <c r="F49" s="267">
        <v>0.82858999999999994</v>
      </c>
      <c r="G49" s="271">
        <v>2460</v>
      </c>
    </row>
    <row r="50" spans="4:13" ht="12.5" x14ac:dyDescent="0.25">
      <c r="D50" s="1" t="b">
        <v>1</v>
      </c>
      <c r="E50" s="274">
        <f>E48+1</f>
        <v>23</v>
      </c>
      <c r="F50" s="267">
        <v>0.86043999999999998</v>
      </c>
      <c r="G50" s="271">
        <v>2450</v>
      </c>
      <c r="I50" s="276">
        <v>23</v>
      </c>
      <c r="J50" s="277">
        <v>4423.7307887782199</v>
      </c>
      <c r="K50" s="278">
        <v>1.0646920110445399</v>
      </c>
      <c r="M50" s="88">
        <f>K50/F50</f>
        <v>1.2373808877371344</v>
      </c>
    </row>
    <row r="51" spans="4:13" ht="12.5" hidden="1" x14ac:dyDescent="0.25">
      <c r="E51" s="265"/>
      <c r="F51" s="267">
        <v>0.89670000000000005</v>
      </c>
      <c r="G51" s="271">
        <v>2445</v>
      </c>
    </row>
    <row r="52" spans="4:13" ht="12.5" x14ac:dyDescent="0.25">
      <c r="D52" s="1" t="b">
        <v>1</v>
      </c>
      <c r="E52" s="274">
        <f>E50+1</f>
        <v>24</v>
      </c>
      <c r="F52" s="267">
        <v>0.93296000000000001</v>
      </c>
      <c r="G52" s="271">
        <v>2440</v>
      </c>
      <c r="I52" s="276">
        <v>24</v>
      </c>
      <c r="J52" s="277">
        <v>4437.0838772897196</v>
      </c>
      <c r="K52" s="278">
        <v>1.1378034531214201</v>
      </c>
      <c r="M52" s="88">
        <f>K52/F52</f>
        <v>1.219562953525789</v>
      </c>
    </row>
    <row r="53" spans="4:13" ht="12.5" hidden="1" x14ac:dyDescent="0.25">
      <c r="E53" s="265"/>
      <c r="F53" s="267">
        <v>0.97950999999999999</v>
      </c>
      <c r="G53" s="271">
        <v>2430</v>
      </c>
    </row>
    <row r="54" spans="4:13" ht="12.5" x14ac:dyDescent="0.25">
      <c r="D54" s="1" t="b">
        <v>1</v>
      </c>
      <c r="E54" s="274">
        <f>E52+1</f>
        <v>25</v>
      </c>
      <c r="F54" s="267">
        <v>1.02606</v>
      </c>
      <c r="G54" s="271">
        <v>2420</v>
      </c>
      <c r="I54" s="276">
        <v>25</v>
      </c>
      <c r="J54" s="277">
        <v>4445.7039234486701</v>
      </c>
      <c r="K54" s="278">
        <v>1.26410612900712</v>
      </c>
      <c r="M54" s="88">
        <f>K54/F54</f>
        <v>1.2320002036987312</v>
      </c>
    </row>
    <row r="55" spans="4:13" ht="12.5" hidden="1" x14ac:dyDescent="0.25">
      <c r="E55" s="265"/>
      <c r="F55" s="267">
        <v>1.0706500000000001</v>
      </c>
      <c r="G55" s="271">
        <v>2420</v>
      </c>
    </row>
    <row r="56" spans="4:13" ht="12.5" x14ac:dyDescent="0.25">
      <c r="D56" s="1" t="b">
        <v>1</v>
      </c>
      <c r="E56" s="274">
        <f>E54+1</f>
        <v>26</v>
      </c>
      <c r="F56" s="267">
        <v>1.11524</v>
      </c>
      <c r="G56" s="271">
        <v>2420</v>
      </c>
      <c r="I56" s="276">
        <v>26</v>
      </c>
      <c r="J56" s="277">
        <v>4457.5992370245203</v>
      </c>
      <c r="K56" s="278">
        <v>1.33203457433908</v>
      </c>
      <c r="M56" s="88">
        <f>K56/F56</f>
        <v>1.1943927534334133</v>
      </c>
    </row>
    <row r="57" spans="4:13" ht="12.5" hidden="1" x14ac:dyDescent="0.25">
      <c r="E57" s="265"/>
      <c r="F57" s="267">
        <v>1.1588500000000002</v>
      </c>
      <c r="G57" s="271">
        <v>2405</v>
      </c>
    </row>
    <row r="58" spans="4:13" ht="12.5" x14ac:dyDescent="0.25">
      <c r="D58" s="1" t="b">
        <v>1</v>
      </c>
      <c r="E58" s="274">
        <f>E56+1</f>
        <v>27</v>
      </c>
      <c r="F58" s="267">
        <v>1.2024600000000001</v>
      </c>
      <c r="G58" s="271">
        <v>2390</v>
      </c>
      <c r="I58" s="276">
        <v>27</v>
      </c>
      <c r="J58" s="277">
        <v>4455.7655167261801</v>
      </c>
      <c r="K58" s="278">
        <v>1.4551784368514999</v>
      </c>
      <c r="M58" s="88">
        <f>K58/F58</f>
        <v>1.2101678532770319</v>
      </c>
    </row>
    <row r="59" spans="4:13" ht="12.5" hidden="1" x14ac:dyDescent="0.25">
      <c r="E59" s="265"/>
      <c r="F59" s="267">
        <v>1.25146</v>
      </c>
      <c r="G59" s="271">
        <v>2385</v>
      </c>
    </row>
    <row r="60" spans="4:13" ht="12.5" x14ac:dyDescent="0.25">
      <c r="D60" s="1" t="b">
        <v>1</v>
      </c>
      <c r="E60" s="274">
        <f>E58+1</f>
        <v>28</v>
      </c>
      <c r="F60" s="267">
        <v>1.3004599999999999</v>
      </c>
      <c r="G60" s="271">
        <v>2380</v>
      </c>
      <c r="I60" s="276">
        <v>28</v>
      </c>
      <c r="J60" s="277">
        <v>4456.9287097470697</v>
      </c>
      <c r="K60" s="278">
        <v>1.56614671406612</v>
      </c>
      <c r="M60" s="88">
        <f>K60/F60</f>
        <v>1.2043021039217816</v>
      </c>
    </row>
    <row r="61" spans="4:13" ht="12.5" hidden="1" x14ac:dyDescent="0.25">
      <c r="E61" s="265"/>
      <c r="F61" s="267">
        <v>1.3636699999999999</v>
      </c>
      <c r="G61" s="271">
        <v>2360</v>
      </c>
    </row>
    <row r="62" spans="4:13" ht="12.5" x14ac:dyDescent="0.25">
      <c r="D62" s="1" t="b">
        <v>1</v>
      </c>
      <c r="E62" s="274">
        <f>E60+1</f>
        <v>29</v>
      </c>
      <c r="F62" s="267">
        <v>1.4268799999999999</v>
      </c>
      <c r="G62" s="271">
        <v>2340</v>
      </c>
      <c r="I62" s="276">
        <v>29</v>
      </c>
      <c r="J62" s="277">
        <v>4455.8979277894596</v>
      </c>
      <c r="K62" s="278">
        <v>1.67381740290154</v>
      </c>
      <c r="M62" s="88">
        <f>K62/F62</f>
        <v>1.1730610863573252</v>
      </c>
    </row>
    <row r="63" spans="4:13" ht="12.5" hidden="1" x14ac:dyDescent="0.25">
      <c r="E63" s="265"/>
      <c r="F63" s="267">
        <v>1.4891100000000002</v>
      </c>
      <c r="G63" s="271">
        <v>2330</v>
      </c>
    </row>
    <row r="64" spans="4:13" ht="12.5" x14ac:dyDescent="0.25">
      <c r="D64" s="1" t="b">
        <v>1</v>
      </c>
      <c r="E64" s="274">
        <f>E62+1</f>
        <v>30</v>
      </c>
      <c r="F64" s="267">
        <v>1.5513400000000002</v>
      </c>
      <c r="G64" s="271">
        <v>2320</v>
      </c>
      <c r="I64" s="276">
        <v>30</v>
      </c>
      <c r="J64" s="277">
        <v>4440.6451352076401</v>
      </c>
      <c r="K64" s="278">
        <v>1.82481222189227</v>
      </c>
      <c r="M64" s="88">
        <f>K64/F64</f>
        <v>1.1762812935219036</v>
      </c>
    </row>
    <row r="65" spans="4:13" ht="12.5" hidden="1" x14ac:dyDescent="0.25">
      <c r="E65" s="265"/>
      <c r="F65" s="267">
        <v>1.6165099999999999</v>
      </c>
      <c r="G65" s="271">
        <v>2305</v>
      </c>
    </row>
    <row r="66" spans="4:13" ht="12.5" x14ac:dyDescent="0.25">
      <c r="D66" s="1" t="b">
        <v>1</v>
      </c>
      <c r="E66" s="274">
        <f>E64+1</f>
        <v>31</v>
      </c>
      <c r="F66" s="267">
        <v>1.6816799999999998</v>
      </c>
      <c r="G66" s="271">
        <v>2290</v>
      </c>
      <c r="I66" s="276">
        <v>31</v>
      </c>
      <c r="J66" s="277">
        <v>4425.9761807227396</v>
      </c>
      <c r="K66" s="278">
        <v>1.9943298314867499</v>
      </c>
      <c r="M66" s="88">
        <f>K66/F66</f>
        <v>1.1859151749956889</v>
      </c>
    </row>
    <row r="67" spans="4:13" ht="12.5" hidden="1" x14ac:dyDescent="0.25">
      <c r="E67" s="265"/>
      <c r="F67" s="267">
        <v>1.7556699999999998</v>
      </c>
      <c r="G67" s="271">
        <v>2270</v>
      </c>
    </row>
    <row r="68" spans="4:13" ht="12.5" x14ac:dyDescent="0.25">
      <c r="D68" s="1" t="b">
        <v>1</v>
      </c>
      <c r="E68" s="274">
        <f>E66+1</f>
        <v>32</v>
      </c>
      <c r="F68" s="267">
        <v>1.8296599999999998</v>
      </c>
      <c r="G68" s="271">
        <v>2250</v>
      </c>
      <c r="I68" s="276">
        <v>32</v>
      </c>
      <c r="J68" s="277">
        <v>4397.7249764382404</v>
      </c>
      <c r="K68" s="278">
        <v>2.1478236383784202</v>
      </c>
      <c r="M68" s="88">
        <f>K68/F68</f>
        <v>1.173892219526262</v>
      </c>
    </row>
    <row r="69" spans="4:13" ht="12.5" hidden="1" x14ac:dyDescent="0.25">
      <c r="E69" s="265"/>
      <c r="F69" s="267">
        <v>1.9168799999999999</v>
      </c>
      <c r="G69" s="271">
        <v>2235</v>
      </c>
    </row>
    <row r="70" spans="4:13" ht="12.5" x14ac:dyDescent="0.25">
      <c r="D70" s="1" t="b">
        <v>1</v>
      </c>
      <c r="E70" s="274">
        <f>E68+1</f>
        <v>33</v>
      </c>
      <c r="F70" s="267">
        <v>2.0040999999999998</v>
      </c>
      <c r="G70" s="271">
        <v>2220</v>
      </c>
      <c r="I70" s="276">
        <v>33</v>
      </c>
      <c r="J70" s="277">
        <v>4360.4821780546899</v>
      </c>
      <c r="K70" s="278">
        <v>2.33155180619136</v>
      </c>
      <c r="M70" s="88">
        <f>K70/F70</f>
        <v>1.1633909516448082</v>
      </c>
    </row>
    <row r="71" spans="4:13" ht="12.5" hidden="1" x14ac:dyDescent="0.25">
      <c r="E71" s="265"/>
      <c r="F71" s="267">
        <v>2.0859299999999998</v>
      </c>
      <c r="G71" s="271">
        <v>2200</v>
      </c>
    </row>
    <row r="72" spans="4:13" ht="12.5" x14ac:dyDescent="0.25">
      <c r="D72" s="1" t="b">
        <v>1</v>
      </c>
      <c r="E72" s="274">
        <f>E70+1</f>
        <v>34</v>
      </c>
      <c r="F72" s="267">
        <v>2.1677599999999999</v>
      </c>
      <c r="G72" s="271">
        <v>2180</v>
      </c>
      <c r="I72" s="276">
        <v>34</v>
      </c>
      <c r="J72" s="277">
        <v>4307.2454517196802</v>
      </c>
      <c r="K72" s="278">
        <v>2.5245866105356201</v>
      </c>
      <c r="M72" s="88">
        <f>K72/F72</f>
        <v>1.1646061420709028</v>
      </c>
    </row>
    <row r="73" spans="4:13" ht="12.5" hidden="1" x14ac:dyDescent="0.25">
      <c r="E73" s="265"/>
      <c r="F73" s="267">
        <v>2.2417499999999997</v>
      </c>
      <c r="G73" s="271">
        <v>2150</v>
      </c>
    </row>
    <row r="74" spans="4:13" ht="12.5" x14ac:dyDescent="0.25">
      <c r="D74" s="1" t="b">
        <v>1</v>
      </c>
      <c r="E74" s="274">
        <f>E72+1</f>
        <v>35</v>
      </c>
      <c r="F74" s="267">
        <v>2.3157399999999999</v>
      </c>
      <c r="G74" s="271">
        <v>2120</v>
      </c>
      <c r="I74" s="276">
        <v>35</v>
      </c>
      <c r="J74" s="277">
        <v>4248.21111899686</v>
      </c>
      <c r="K74" s="278">
        <v>2.72701402068614</v>
      </c>
      <c r="M74" s="88">
        <f>K74/F74</f>
        <v>1.1775993940106144</v>
      </c>
    </row>
    <row r="75" spans="4:13" ht="12.5" hidden="1" x14ac:dyDescent="0.25">
      <c r="E75" s="265"/>
      <c r="F75" s="267">
        <v>2.38679</v>
      </c>
      <c r="G75" s="271">
        <v>2090</v>
      </c>
    </row>
    <row r="76" spans="4:13" ht="12.5" x14ac:dyDescent="0.25">
      <c r="D76" s="1" t="b">
        <v>1</v>
      </c>
      <c r="E76" s="274">
        <f>E74+1</f>
        <v>36</v>
      </c>
      <c r="F76" s="267">
        <v>2.45784</v>
      </c>
      <c r="G76" s="271">
        <v>2060</v>
      </c>
      <c r="I76" s="276">
        <v>36</v>
      </c>
      <c r="J76" s="277">
        <v>4149.9585885259703</v>
      </c>
      <c r="K76" s="278">
        <v>2.8301269860023899</v>
      </c>
      <c r="M76" s="88">
        <f>K76/F76</f>
        <v>1.1514691704921354</v>
      </c>
    </row>
    <row r="77" spans="4:13" ht="12.5" hidden="1" x14ac:dyDescent="0.25">
      <c r="E77" s="265"/>
      <c r="F77" s="267">
        <v>2.5225200000000001</v>
      </c>
      <c r="G77" s="271">
        <v>2025</v>
      </c>
    </row>
    <row r="78" spans="4:13" ht="12.5" x14ac:dyDescent="0.25">
      <c r="D78" s="1" t="b">
        <v>1</v>
      </c>
      <c r="E78" s="274">
        <f>E76+1</f>
        <v>37</v>
      </c>
      <c r="F78" s="267">
        <v>2.5871999999999997</v>
      </c>
      <c r="G78" s="271">
        <v>1990</v>
      </c>
      <c r="I78" s="276">
        <v>37</v>
      </c>
      <c r="J78" s="277">
        <v>4035.0122262953701</v>
      </c>
      <c r="K78" s="278">
        <v>2.9287670990661598</v>
      </c>
      <c r="M78" s="88">
        <f>K78/F78</f>
        <v>1.1320219152234694</v>
      </c>
    </row>
    <row r="79" spans="4:13" ht="12.5" hidden="1" x14ac:dyDescent="0.25">
      <c r="E79" s="265"/>
      <c r="F79" s="267">
        <v>2.6288499999999999</v>
      </c>
      <c r="G79" s="271">
        <v>1973.5</v>
      </c>
    </row>
    <row r="80" spans="4:13" ht="12.5" x14ac:dyDescent="0.25">
      <c r="D80" s="1" t="b">
        <v>1</v>
      </c>
      <c r="E80" s="274">
        <f>E78+1</f>
        <v>38</v>
      </c>
      <c r="F80" s="267">
        <v>2.6705000000000001</v>
      </c>
      <c r="G80" s="271">
        <v>1957</v>
      </c>
      <c r="I80" s="276">
        <v>38</v>
      </c>
      <c r="J80" s="277">
        <v>3905.0295506765101</v>
      </c>
      <c r="K80" s="278">
        <v>3.0139219705692302</v>
      </c>
      <c r="M80" s="88">
        <f>K80/F80</f>
        <v>1.1285983787939449</v>
      </c>
    </row>
    <row r="81" spans="4:13" ht="12.5" hidden="1" x14ac:dyDescent="0.25">
      <c r="E81" s="265"/>
      <c r="F81" s="267">
        <v>2.6950000000000003</v>
      </c>
      <c r="G81" s="271">
        <v>1927.5</v>
      </c>
    </row>
    <row r="82" spans="4:13" ht="12.5" x14ac:dyDescent="0.25">
      <c r="D82" s="1" t="b">
        <v>1</v>
      </c>
      <c r="E82" s="274">
        <f>E80+1</f>
        <v>39</v>
      </c>
      <c r="F82" s="267">
        <v>2.7195</v>
      </c>
      <c r="G82" s="271">
        <v>1898</v>
      </c>
      <c r="I82" s="276">
        <v>39</v>
      </c>
      <c r="J82" s="277">
        <v>3756.0309494737498</v>
      </c>
      <c r="K82" s="278">
        <v>3.0592091852690801</v>
      </c>
      <c r="M82" s="88">
        <f>K82/F82</f>
        <v>1.1249160453278471</v>
      </c>
    </row>
    <row r="83" spans="4:13" ht="12.5" hidden="1" x14ac:dyDescent="0.25">
      <c r="E83" s="265"/>
      <c r="F83" s="267">
        <v>2.7356699999999998</v>
      </c>
      <c r="G83" s="271">
        <v>1857</v>
      </c>
    </row>
    <row r="84" spans="4:13" ht="12.5" x14ac:dyDescent="0.25">
      <c r="D84" s="1" t="b">
        <v>1</v>
      </c>
      <c r="E84" s="274">
        <f>E82+1</f>
        <v>40</v>
      </c>
      <c r="F84" s="267">
        <v>2.7518400000000001</v>
      </c>
      <c r="G84" s="271">
        <v>1816</v>
      </c>
      <c r="I84" s="276">
        <v>40</v>
      </c>
      <c r="J84" s="277">
        <v>3570.0274154345402</v>
      </c>
      <c r="K84" s="278">
        <v>3.0270979876664001</v>
      </c>
      <c r="M84" s="88">
        <f>K84/F84</f>
        <v>1.1000268866163732</v>
      </c>
    </row>
    <row r="85" spans="4:13" ht="12.5" hidden="1" x14ac:dyDescent="0.25">
      <c r="E85" s="265"/>
      <c r="F85" s="267">
        <v>2.7626200000000001</v>
      </c>
      <c r="G85" s="271">
        <v>1782.5</v>
      </c>
    </row>
    <row r="86" spans="4:13" ht="12.5" x14ac:dyDescent="0.25">
      <c r="D86" s="1" t="b">
        <v>1</v>
      </c>
      <c r="E86" s="274">
        <f>E84+1</f>
        <v>41</v>
      </c>
      <c r="F86" s="267">
        <v>2.7734000000000001</v>
      </c>
      <c r="G86" s="271">
        <v>1749</v>
      </c>
      <c r="I86" s="276">
        <v>41</v>
      </c>
      <c r="J86" s="277">
        <v>3372.0653461194902</v>
      </c>
      <c r="K86" s="278">
        <v>2.9791238306810301</v>
      </c>
      <c r="M86" s="88">
        <f>K86/F86</f>
        <v>1.0741774827579975</v>
      </c>
    </row>
    <row r="87" spans="4:13" ht="12.5" hidden="1" x14ac:dyDescent="0.25">
      <c r="E87" s="265"/>
      <c r="F87" s="267">
        <v>2.7572299999999998</v>
      </c>
      <c r="G87" s="271">
        <v>1715.5</v>
      </c>
    </row>
    <row r="88" spans="4:13" ht="12.5" x14ac:dyDescent="0.25">
      <c r="D88" s="1" t="b">
        <v>1</v>
      </c>
      <c r="E88" s="274">
        <f>E86+1</f>
        <v>42</v>
      </c>
      <c r="F88" s="267">
        <v>2.7410599999999996</v>
      </c>
      <c r="G88" s="271">
        <v>1682</v>
      </c>
      <c r="I88" s="276">
        <v>42</v>
      </c>
      <c r="J88" s="277">
        <v>3153.9100596074099</v>
      </c>
      <c r="K88" s="278">
        <v>2.8570683848609302</v>
      </c>
      <c r="M88" s="88">
        <f>K88/F88</f>
        <v>1.042322453671547</v>
      </c>
    </row>
    <row r="89" spans="4:13" ht="12.5" hidden="1" x14ac:dyDescent="0.25">
      <c r="E89" s="265"/>
      <c r="F89" s="267">
        <v>2.7199899999999997</v>
      </c>
      <c r="G89" s="271">
        <v>1643</v>
      </c>
    </row>
    <row r="90" spans="4:13" ht="12.5" x14ac:dyDescent="0.25">
      <c r="D90" s="1" t="b">
        <v>1</v>
      </c>
      <c r="E90" s="274">
        <f>E88+1</f>
        <v>43</v>
      </c>
      <c r="F90" s="267">
        <v>2.6989199999999998</v>
      </c>
      <c r="G90" s="271">
        <v>1604</v>
      </c>
      <c r="I90" s="276">
        <v>43</v>
      </c>
      <c r="J90" s="277">
        <v>2948.69440740342</v>
      </c>
      <c r="K90" s="278">
        <v>2.7943819565778001</v>
      </c>
      <c r="M90" s="88">
        <f>K90/F90</f>
        <v>1.0353704283853542</v>
      </c>
    </row>
    <row r="91" spans="4:13" ht="12.5" hidden="1" x14ac:dyDescent="0.25">
      <c r="E91" s="265"/>
      <c r="F91" s="267">
        <v>2.6685399999999997</v>
      </c>
      <c r="G91" s="271">
        <v>1562</v>
      </c>
    </row>
    <row r="92" spans="4:13" ht="12.5" x14ac:dyDescent="0.25">
      <c r="D92" s="1" t="b">
        <v>1</v>
      </c>
      <c r="E92" s="274">
        <f>E90+1</f>
        <v>44</v>
      </c>
      <c r="F92" s="267">
        <v>2.6381599999999996</v>
      </c>
      <c r="G92" s="271">
        <v>1520</v>
      </c>
      <c r="I92" s="276">
        <v>44</v>
      </c>
      <c r="J92" s="277">
        <v>2731.9535437581999</v>
      </c>
      <c r="K92" s="278">
        <v>2.6625005947991598</v>
      </c>
      <c r="M92" s="88">
        <f>K92/F92</f>
        <v>1.0092263527606968</v>
      </c>
    </row>
    <row r="93" spans="4:13" ht="12.5" hidden="1" x14ac:dyDescent="0.25">
      <c r="E93" s="265"/>
      <c r="F93" s="267">
        <v>2.5984699999999998</v>
      </c>
      <c r="G93" s="271">
        <v>1481</v>
      </c>
    </row>
    <row r="94" spans="4:13" ht="12.5" x14ac:dyDescent="0.25">
      <c r="D94" s="1" t="b">
        <v>1</v>
      </c>
      <c r="E94" s="274">
        <f>E92+1</f>
        <v>45</v>
      </c>
      <c r="F94" s="267">
        <v>2.5587800000000001</v>
      </c>
      <c r="G94" s="271">
        <v>1442</v>
      </c>
      <c r="I94" s="276">
        <v>45</v>
      </c>
      <c r="J94" s="277">
        <v>2532.22626788765</v>
      </c>
      <c r="K94" s="278">
        <v>2.5355545153475298</v>
      </c>
      <c r="M94" s="88">
        <f>K94/F94</f>
        <v>0.99092321940437622</v>
      </c>
    </row>
    <row r="95" spans="4:13" ht="12.5" hidden="1" x14ac:dyDescent="0.25">
      <c r="E95" s="265"/>
      <c r="F95" s="267">
        <v>2.5107600000000003</v>
      </c>
      <c r="G95" s="271">
        <v>1406</v>
      </c>
    </row>
    <row r="96" spans="4:13" ht="12.5" x14ac:dyDescent="0.25">
      <c r="D96" s="1" t="b">
        <v>1</v>
      </c>
      <c r="E96" s="274">
        <f>E94+1</f>
        <v>46</v>
      </c>
      <c r="F96" s="267">
        <v>2.4627400000000002</v>
      </c>
      <c r="G96" s="271">
        <v>1370</v>
      </c>
      <c r="I96" s="276">
        <v>46</v>
      </c>
      <c r="J96" s="277">
        <v>2328.2254030895501</v>
      </c>
      <c r="K96" s="278">
        <v>2.4165535837740899</v>
      </c>
      <c r="M96" s="88">
        <f>K96/F96</f>
        <v>0.98124592274218547</v>
      </c>
    </row>
    <row r="97" spans="4:13" ht="12.5" hidden="1" x14ac:dyDescent="0.25">
      <c r="E97" s="265"/>
      <c r="F97" s="267">
        <v>2.40639</v>
      </c>
      <c r="G97" s="271">
        <v>1337.5</v>
      </c>
    </row>
    <row r="98" spans="4:13" ht="12.5" x14ac:dyDescent="0.25">
      <c r="D98" s="1" t="b">
        <v>1</v>
      </c>
      <c r="E98" s="274">
        <f>E96+1</f>
        <v>47</v>
      </c>
      <c r="F98" s="267">
        <v>2.3500399999999999</v>
      </c>
      <c r="G98" s="271">
        <v>1305</v>
      </c>
      <c r="I98" s="276">
        <v>47</v>
      </c>
      <c r="J98" s="277">
        <v>2143.2830170183902</v>
      </c>
      <c r="K98" s="278">
        <v>2.2669757090003801</v>
      </c>
      <c r="M98" s="88">
        <f>K98/F98</f>
        <v>0.96465409482407971</v>
      </c>
    </row>
    <row r="99" spans="4:13" ht="12.5" hidden="1" x14ac:dyDescent="0.25">
      <c r="E99" s="265"/>
      <c r="F99" s="267">
        <v>2.2843799999999996</v>
      </c>
      <c r="G99" s="271">
        <v>1273.5</v>
      </c>
    </row>
    <row r="100" spans="4:13" ht="12.5" x14ac:dyDescent="0.25">
      <c r="D100" s="1" t="b">
        <v>1</v>
      </c>
      <c r="E100" s="274">
        <f>E98+1</f>
        <v>48</v>
      </c>
      <c r="F100" s="267">
        <v>2.2187199999999998</v>
      </c>
      <c r="G100" s="271">
        <v>1242</v>
      </c>
      <c r="I100" s="276">
        <v>48</v>
      </c>
      <c r="J100" s="277">
        <v>1960.4026525250199</v>
      </c>
      <c r="K100" s="278">
        <v>2.1145647904185201</v>
      </c>
      <c r="M100" s="88">
        <f>K100/F100</f>
        <v>0.95305617221574612</v>
      </c>
    </row>
    <row r="101" spans="4:13" ht="12.5" hidden="1" x14ac:dyDescent="0.25">
      <c r="E101" s="265"/>
      <c r="F101" s="267">
        <v>2.1466899999999995</v>
      </c>
      <c r="G101" s="271">
        <v>1207</v>
      </c>
    </row>
    <row r="102" spans="4:13" ht="12.5" x14ac:dyDescent="0.25">
      <c r="D102" s="1" t="b">
        <v>1</v>
      </c>
      <c r="E102" s="274">
        <f>E100+1</f>
        <v>49</v>
      </c>
      <c r="F102" s="267">
        <v>2.0746599999999997</v>
      </c>
      <c r="G102" s="271">
        <v>1172</v>
      </c>
      <c r="I102" s="276">
        <v>49</v>
      </c>
      <c r="J102" s="277">
        <v>1790.8348754322799</v>
      </c>
      <c r="K102" s="278">
        <v>1.9872406804135001</v>
      </c>
      <c r="M102" s="88">
        <f>K102/F102</f>
        <v>0.95786330310195422</v>
      </c>
    </row>
    <row r="103" spans="4:13" ht="12.5" hidden="1" x14ac:dyDescent="0.25">
      <c r="E103" s="265"/>
      <c r="F103" s="267">
        <v>1.9977299999999998</v>
      </c>
      <c r="G103" s="271">
        <v>1139</v>
      </c>
    </row>
    <row r="104" spans="4:13" ht="12.5" x14ac:dyDescent="0.25">
      <c r="D104" s="1" t="b">
        <v>1</v>
      </c>
      <c r="E104" s="274">
        <f>E102+1</f>
        <v>50</v>
      </c>
      <c r="F104" s="267">
        <v>1.9207999999999998</v>
      </c>
      <c r="G104" s="271">
        <v>1106</v>
      </c>
      <c r="I104" s="276">
        <v>50</v>
      </c>
      <c r="J104" s="277">
        <v>1643.1815638072301</v>
      </c>
      <c r="K104" s="278">
        <v>1.84409268710838</v>
      </c>
      <c r="M104" s="88">
        <f>K104/F104</f>
        <v>0.96006491415471684</v>
      </c>
    </row>
    <row r="105" spans="4:13" ht="12.5" hidden="1" x14ac:dyDescent="0.25">
      <c r="E105" s="265"/>
      <c r="F105" s="267">
        <v>1.86592</v>
      </c>
      <c r="G105" s="271">
        <v>1081</v>
      </c>
    </row>
    <row r="106" spans="4:13" ht="12.5" x14ac:dyDescent="0.25">
      <c r="D106" s="1" t="b">
        <v>1</v>
      </c>
      <c r="E106" s="274">
        <f>E104+1</f>
        <v>51</v>
      </c>
      <c r="F106" s="267">
        <v>1.81104</v>
      </c>
      <c r="G106" s="271">
        <v>1056</v>
      </c>
      <c r="I106" s="276">
        <v>51</v>
      </c>
      <c r="J106" s="277">
        <v>1490.00621792111</v>
      </c>
      <c r="K106" s="278">
        <v>1.68477575361068</v>
      </c>
      <c r="M106" s="88">
        <f>K106/F106</f>
        <v>0.93028080749772502</v>
      </c>
    </row>
    <row r="107" spans="4:13" ht="12.5" hidden="1" x14ac:dyDescent="0.25">
      <c r="E107" s="265"/>
      <c r="F107" s="267">
        <v>1.7257799999999999</v>
      </c>
      <c r="G107" s="271">
        <v>1023</v>
      </c>
    </row>
    <row r="108" spans="4:13" ht="12.5" x14ac:dyDescent="0.25">
      <c r="D108" s="1" t="b">
        <v>1</v>
      </c>
      <c r="E108" s="274">
        <f>E106+1</f>
        <v>52</v>
      </c>
      <c r="F108" s="267">
        <v>1.64052</v>
      </c>
      <c r="G108" s="271">
        <v>990</v>
      </c>
      <c r="I108" s="276">
        <v>52</v>
      </c>
      <c r="J108" s="277">
        <v>1362.2964936958699</v>
      </c>
      <c r="K108" s="278">
        <v>1.5863725786074701</v>
      </c>
      <c r="M108" s="88">
        <f>K108/F108</f>
        <v>0.9669937450366165</v>
      </c>
    </row>
    <row r="109" spans="4:13" ht="12.5" hidden="1" x14ac:dyDescent="0.25">
      <c r="E109" s="265"/>
      <c r="F109" s="267">
        <v>1.57192</v>
      </c>
      <c r="G109" s="271">
        <v>958.5</v>
      </c>
    </row>
    <row r="110" spans="4:13" ht="12.5" x14ac:dyDescent="0.25">
      <c r="D110" s="1" t="b">
        <v>1</v>
      </c>
      <c r="E110" s="274">
        <f>E108+1</f>
        <v>53</v>
      </c>
      <c r="F110" s="267">
        <v>1.50332</v>
      </c>
      <c r="G110" s="271">
        <v>927</v>
      </c>
      <c r="I110" s="276">
        <v>53</v>
      </c>
      <c r="J110" s="277">
        <v>1238.19795106678</v>
      </c>
      <c r="K110" s="278">
        <v>1.4436279867439801</v>
      </c>
      <c r="M110" s="88">
        <f>K110/F110</f>
        <v>0.96029320886037572</v>
      </c>
    </row>
    <row r="111" spans="4:13" ht="12.5" hidden="1" x14ac:dyDescent="0.25">
      <c r="E111" s="265"/>
      <c r="F111" s="267">
        <v>1.42835</v>
      </c>
      <c r="G111" s="271">
        <v>901</v>
      </c>
    </row>
    <row r="112" spans="4:13" ht="12.5" x14ac:dyDescent="0.25">
      <c r="D112" s="1" t="b">
        <v>1</v>
      </c>
      <c r="E112" s="274">
        <f>E110+1</f>
        <v>54</v>
      </c>
      <c r="F112" s="267">
        <v>1.3533799999999998</v>
      </c>
      <c r="G112" s="271">
        <v>875</v>
      </c>
      <c r="I112" s="276">
        <v>54</v>
      </c>
      <c r="J112" s="277">
        <v>1124.95409636417</v>
      </c>
      <c r="K112" s="278">
        <v>1.2987650311105901</v>
      </c>
      <c r="M112" s="88">
        <f>K112/F112</f>
        <v>0.95964550319244424</v>
      </c>
    </row>
    <row r="113" spans="4:13" ht="12.5" hidden="1" x14ac:dyDescent="0.25">
      <c r="E113" s="265"/>
      <c r="F113" s="267">
        <v>1.2833099999999997</v>
      </c>
      <c r="G113" s="271">
        <v>854.5</v>
      </c>
    </row>
    <row r="114" spans="4:13" ht="12.5" x14ac:dyDescent="0.25">
      <c r="D114" s="1" t="b">
        <v>1</v>
      </c>
      <c r="E114" s="274">
        <f>E112+1</f>
        <v>55</v>
      </c>
      <c r="F114" s="267">
        <v>1.2132399999999999</v>
      </c>
      <c r="G114" s="271">
        <v>834</v>
      </c>
      <c r="I114" s="276">
        <v>55</v>
      </c>
      <c r="J114" s="277">
        <v>1022.68487841256</v>
      </c>
      <c r="K114" s="278">
        <v>1.1576677613963899</v>
      </c>
      <c r="M114" s="88">
        <f>K114/F114</f>
        <v>0.95419518099995881</v>
      </c>
    </row>
    <row r="115" spans="4:13" ht="12.5" hidden="1" x14ac:dyDescent="0.25">
      <c r="E115" s="265"/>
      <c r="F115" s="267">
        <v>1.1490499999999999</v>
      </c>
      <c r="G115" s="271">
        <v>809.5</v>
      </c>
    </row>
    <row r="116" spans="4:13" ht="12.5" x14ac:dyDescent="0.25">
      <c r="D116" s="1" t="b">
        <v>1</v>
      </c>
      <c r="E116" s="274">
        <f>E114+1</f>
        <v>56</v>
      </c>
      <c r="F116" s="267">
        <v>1.0848599999999999</v>
      </c>
      <c r="G116" s="271">
        <v>785</v>
      </c>
      <c r="I116" s="276">
        <v>56</v>
      </c>
      <c r="J116" s="277">
        <v>934.94256967525098</v>
      </c>
      <c r="K116" s="278">
        <v>1.0361552978609401</v>
      </c>
      <c r="M116" s="88">
        <f>K116/F116</f>
        <v>0.95510508071174172</v>
      </c>
    </row>
    <row r="117" spans="4:13" ht="12.5" hidden="1" x14ac:dyDescent="0.25">
      <c r="E117" s="265"/>
      <c r="F117" s="267">
        <v>1.0182199999999999</v>
      </c>
      <c r="G117" s="271">
        <v>763</v>
      </c>
    </row>
    <row r="118" spans="4:13" ht="12.5" x14ac:dyDescent="0.25">
      <c r="D118" s="1" t="b">
        <v>1</v>
      </c>
      <c r="E118" s="274">
        <f>E116+1</f>
        <v>57</v>
      </c>
      <c r="F118" s="267">
        <v>0.95157999999999987</v>
      </c>
      <c r="G118" s="271">
        <v>741</v>
      </c>
      <c r="I118" s="276">
        <v>57</v>
      </c>
      <c r="J118" s="277">
        <v>855.97072997029795</v>
      </c>
      <c r="K118" s="278">
        <v>0.90955281389676801</v>
      </c>
      <c r="M118" s="88">
        <f>K118/F118</f>
        <v>0.95583431124736562</v>
      </c>
    </row>
    <row r="119" spans="4:13" ht="12.5" hidden="1" x14ac:dyDescent="0.25">
      <c r="E119" s="265"/>
      <c r="F119" s="267">
        <v>0.89277999999999991</v>
      </c>
      <c r="G119" s="271">
        <v>722.5</v>
      </c>
    </row>
    <row r="120" spans="4:13" ht="12.5" x14ac:dyDescent="0.25">
      <c r="D120" s="1" t="b">
        <v>1</v>
      </c>
      <c r="E120" s="274">
        <f>E118+1</f>
        <v>58</v>
      </c>
      <c r="F120" s="267">
        <v>0.83397999999999994</v>
      </c>
      <c r="G120" s="271">
        <v>704</v>
      </c>
      <c r="I120" s="276">
        <v>58</v>
      </c>
      <c r="J120" s="277">
        <v>785.68421169876399</v>
      </c>
      <c r="K120" s="278">
        <v>0.77976842956732295</v>
      </c>
      <c r="M120" s="88">
        <f>K120/F120</f>
        <v>0.93499655815166194</v>
      </c>
    </row>
    <row r="121" spans="4:13" ht="12.5" hidden="1" x14ac:dyDescent="0.25">
      <c r="E121" s="265"/>
      <c r="F121" s="267">
        <v>0.78498000000000001</v>
      </c>
      <c r="G121" s="271">
        <v>688.5</v>
      </c>
    </row>
    <row r="122" spans="4:13" ht="12.5" x14ac:dyDescent="0.25">
      <c r="D122" s="1" t="b">
        <v>1</v>
      </c>
      <c r="E122" s="274">
        <f>E120+1</f>
        <v>59</v>
      </c>
      <c r="F122" s="267">
        <v>0.73597999999999997</v>
      </c>
      <c r="G122" s="271">
        <v>673</v>
      </c>
      <c r="I122" s="276">
        <v>59</v>
      </c>
      <c r="J122" s="277">
        <v>726.66426782122403</v>
      </c>
      <c r="K122" s="278">
        <v>0.67204361235093601</v>
      </c>
      <c r="M122" s="88">
        <f>K122/F122</f>
        <v>0.91312754742103863</v>
      </c>
    </row>
    <row r="123" spans="4:13" ht="12.5" hidden="1" x14ac:dyDescent="0.25">
      <c r="E123" s="265"/>
      <c r="F123" s="267">
        <v>0.67276999999999998</v>
      </c>
      <c r="G123" s="271">
        <v>659.5</v>
      </c>
    </row>
    <row r="124" spans="4:13" ht="12.5" x14ac:dyDescent="0.25">
      <c r="D124" s="1" t="b">
        <v>1</v>
      </c>
      <c r="E124" s="274">
        <f>E122+1</f>
        <v>60</v>
      </c>
      <c r="F124" s="267">
        <v>0.60955999999999999</v>
      </c>
      <c r="G124" s="271">
        <v>646</v>
      </c>
      <c r="I124" s="276">
        <v>60</v>
      </c>
      <c r="J124" s="277">
        <v>674.45760085202505</v>
      </c>
      <c r="K124" s="278">
        <v>0.55777625453277302</v>
      </c>
      <c r="M124" s="88">
        <f>K124/F124</f>
        <v>0.91504733665721671</v>
      </c>
    </row>
    <row r="125" spans="4:13" ht="12.5" hidden="1" x14ac:dyDescent="0.25">
      <c r="E125" s="265"/>
      <c r="F125" s="267">
        <v>0.55516999999999994</v>
      </c>
      <c r="G125" s="271">
        <v>633.5</v>
      </c>
    </row>
    <row r="126" spans="4:13" ht="12.5" x14ac:dyDescent="0.25">
      <c r="D126" s="1" t="b">
        <v>1</v>
      </c>
      <c r="E126" s="274">
        <f>E124+1</f>
        <v>61</v>
      </c>
      <c r="F126" s="267">
        <v>0.50078</v>
      </c>
      <c r="G126" s="271">
        <v>621</v>
      </c>
      <c r="I126" s="276">
        <v>61</v>
      </c>
      <c r="J126" s="277">
        <v>634.60604537672805</v>
      </c>
      <c r="K126" s="278">
        <v>0.46126518290391699</v>
      </c>
      <c r="M126" s="88">
        <f>K126/F126</f>
        <v>0.92109346001021808</v>
      </c>
    </row>
    <row r="127" spans="4:13" ht="12.5" hidden="1" x14ac:dyDescent="0.25">
      <c r="E127" s="265"/>
      <c r="F127" s="267">
        <v>0.45324999999999999</v>
      </c>
      <c r="G127" s="271">
        <v>611</v>
      </c>
    </row>
    <row r="128" spans="4:13" ht="12.5" x14ac:dyDescent="0.25">
      <c r="D128" s="1" t="b">
        <v>1</v>
      </c>
      <c r="E128" s="274">
        <f>E126+1</f>
        <v>62</v>
      </c>
      <c r="F128" s="267">
        <v>0.40571999999999997</v>
      </c>
      <c r="G128" s="271">
        <v>601</v>
      </c>
      <c r="I128" s="276">
        <v>62</v>
      </c>
      <c r="J128" s="277">
        <v>600.66932334283104</v>
      </c>
      <c r="K128" s="278">
        <v>0.36605926874806699</v>
      </c>
      <c r="M128" s="88">
        <f>K128/F128</f>
        <v>0.90224605330786511</v>
      </c>
    </row>
    <row r="129" spans="4:13" ht="12.5" hidden="1" x14ac:dyDescent="0.25">
      <c r="E129" s="265"/>
      <c r="F129" s="267">
        <v>0.36407</v>
      </c>
      <c r="G129" s="271">
        <v>593</v>
      </c>
    </row>
    <row r="130" spans="4:13" ht="12.5" x14ac:dyDescent="0.25">
      <c r="D130" s="1" t="b">
        <v>1</v>
      </c>
      <c r="E130" s="274">
        <f>E128+1</f>
        <v>63</v>
      </c>
      <c r="F130" s="267">
        <v>0.32241999999999998</v>
      </c>
      <c r="G130" s="271">
        <v>585</v>
      </c>
      <c r="I130" s="276">
        <v>63</v>
      </c>
      <c r="J130" s="277">
        <v>572.59086754730902</v>
      </c>
      <c r="K130" s="278">
        <v>0.281393486673159</v>
      </c>
      <c r="M130" s="88">
        <f>K130/F130</f>
        <v>0.87275444039811123</v>
      </c>
    </row>
    <row r="131" spans="4:13" ht="12.5" hidden="1" x14ac:dyDescent="0.25">
      <c r="E131" s="265"/>
      <c r="F131" s="267">
        <v>0.28517999999999999</v>
      </c>
      <c r="G131" s="271">
        <v>579</v>
      </c>
    </row>
    <row r="132" spans="4:13" ht="12.5" x14ac:dyDescent="0.25">
      <c r="D132" s="1" t="b">
        <v>1</v>
      </c>
      <c r="E132" s="274">
        <f>E130+1</f>
        <v>64</v>
      </c>
      <c r="F132" s="267">
        <v>0.24793999999999999</v>
      </c>
      <c r="G132" s="271">
        <v>573</v>
      </c>
      <c r="I132" s="276">
        <v>64</v>
      </c>
      <c r="J132" s="277">
        <v>554.91451561474196</v>
      </c>
      <c r="K132" s="278">
        <v>0.21011477677467599</v>
      </c>
      <c r="M132" s="88">
        <f>K132/F132</f>
        <v>0.84744202942113411</v>
      </c>
    </row>
    <row r="133" spans="4:13" ht="12.5" hidden="1" x14ac:dyDescent="0.25">
      <c r="E133" s="265"/>
      <c r="F133" s="267">
        <v>0.21609</v>
      </c>
      <c r="G133" s="271">
        <v>568</v>
      </c>
    </row>
    <row r="134" spans="4:13" ht="12.5" x14ac:dyDescent="0.25">
      <c r="D134" s="1" t="b">
        <v>1</v>
      </c>
      <c r="E134" s="274">
        <f>E132+1</f>
        <v>65</v>
      </c>
      <c r="F134" s="267">
        <v>0.18424000000000001</v>
      </c>
      <c r="G134" s="271">
        <v>563</v>
      </c>
      <c r="I134" s="276">
        <v>65</v>
      </c>
      <c r="J134" s="277">
        <v>539.14451222445302</v>
      </c>
      <c r="K134" s="278">
        <v>0.15138894489589499</v>
      </c>
      <c r="M134" s="88">
        <f>K134/F134</f>
        <v>0.82169422978666407</v>
      </c>
    </row>
    <row r="135" spans="4:13" ht="12.5" hidden="1" x14ac:dyDescent="0.25">
      <c r="E135" s="265"/>
      <c r="F135" s="267">
        <v>0.15925</v>
      </c>
      <c r="G135" s="271">
        <v>559.5</v>
      </c>
    </row>
    <row r="136" spans="4:13" ht="12.5" x14ac:dyDescent="0.25">
      <c r="D136" s="1" t="b">
        <v>1</v>
      </c>
      <c r="E136" s="274">
        <f>E134+1</f>
        <v>66</v>
      </c>
      <c r="F136" s="267">
        <v>0.13425999999999999</v>
      </c>
      <c r="G136" s="271">
        <v>556</v>
      </c>
      <c r="I136" s="276">
        <v>66</v>
      </c>
      <c r="J136" s="277">
        <v>528.99136528223698</v>
      </c>
      <c r="K136" s="278">
        <v>0.10652116963960299</v>
      </c>
      <c r="M136" s="88">
        <f>K136/F136</f>
        <v>0.79339467927605389</v>
      </c>
    </row>
    <row r="137" spans="4:13" ht="12.5" hidden="1" x14ac:dyDescent="0.25">
      <c r="E137" s="265"/>
      <c r="F137" s="267">
        <v>0.11809</v>
      </c>
      <c r="G137" s="271">
        <v>554</v>
      </c>
    </row>
    <row r="138" spans="4:13" ht="12.5" x14ac:dyDescent="0.25">
      <c r="D138" s="1" t="b">
        <v>1</v>
      </c>
      <c r="E138" s="274">
        <f>E136+1</f>
        <v>67</v>
      </c>
      <c r="F138" s="267">
        <v>0.10192</v>
      </c>
      <c r="G138" s="271">
        <v>552</v>
      </c>
      <c r="I138" s="276">
        <v>67</v>
      </c>
      <c r="J138" s="277">
        <v>522.73380816202996</v>
      </c>
      <c r="K138" s="278">
        <v>7.5381307739947098E-2</v>
      </c>
      <c r="M138" s="88">
        <f>K138/F138</f>
        <v>0.73961251707169451</v>
      </c>
    </row>
    <row r="139" spans="4:13" ht="12.5" hidden="1" x14ac:dyDescent="0.25">
      <c r="E139" s="265"/>
      <c r="F139" s="267">
        <v>8.8200000000000001E-2</v>
      </c>
      <c r="G139" s="271">
        <v>550.5</v>
      </c>
    </row>
    <row r="140" spans="4:13" ht="12.5" x14ac:dyDescent="0.25">
      <c r="D140" s="1" t="b">
        <v>1</v>
      </c>
      <c r="E140" s="274">
        <f>E138+1</f>
        <v>68</v>
      </c>
      <c r="F140" s="267">
        <v>7.4479999999999991E-2</v>
      </c>
      <c r="G140" s="271">
        <v>549</v>
      </c>
      <c r="I140" s="276">
        <v>68</v>
      </c>
      <c r="J140" s="277">
        <v>517.48066216439099</v>
      </c>
      <c r="K140" s="278">
        <v>5.3586993907790599E-2</v>
      </c>
      <c r="M140" s="88">
        <f>K140/F140</f>
        <v>0.71948165826786525</v>
      </c>
    </row>
    <row r="141" spans="4:13" ht="12.5" hidden="1" x14ac:dyDescent="0.25">
      <c r="E141" s="265"/>
      <c r="F141" s="267">
        <v>6.5169999999999992E-2</v>
      </c>
      <c r="G141" s="271">
        <v>547.5</v>
      </c>
    </row>
    <row r="142" spans="4:13" ht="12.5" x14ac:dyDescent="0.25">
      <c r="D142" s="1" t="b">
        <v>1</v>
      </c>
      <c r="E142" s="274">
        <f>E140+1</f>
        <v>69</v>
      </c>
      <c r="F142" s="267">
        <v>5.586E-2</v>
      </c>
      <c r="G142" s="271">
        <v>546</v>
      </c>
      <c r="I142" s="276">
        <v>69</v>
      </c>
      <c r="J142" s="277">
        <v>514.05724008323796</v>
      </c>
      <c r="K142" s="278">
        <v>3.8597698111626402E-2</v>
      </c>
      <c r="M142" s="88">
        <f>K142/F142</f>
        <v>0.69097203923427142</v>
      </c>
    </row>
    <row r="143" spans="4:13" ht="12.5" hidden="1" x14ac:dyDescent="0.25">
      <c r="E143" s="265"/>
      <c r="F143" s="267">
        <v>4.9490000000000006E-2</v>
      </c>
      <c r="G143" s="271">
        <v>545</v>
      </c>
    </row>
    <row r="144" spans="4:13" ht="12.5" x14ac:dyDescent="0.25">
      <c r="D144" s="1" t="b">
        <v>1</v>
      </c>
      <c r="E144" s="274">
        <f>E142+1</f>
        <v>70</v>
      </c>
      <c r="F144" s="267">
        <v>4.3120000000000006E-2</v>
      </c>
      <c r="G144" s="271">
        <v>544</v>
      </c>
      <c r="I144" s="276">
        <v>70</v>
      </c>
      <c r="J144" s="277">
        <v>511.33644426815999</v>
      </c>
      <c r="K144" s="278">
        <v>2.81274445889859E-2</v>
      </c>
      <c r="M144" s="88">
        <f>K144/F144</f>
        <v>0.65230622887258571</v>
      </c>
    </row>
    <row r="145" spans="4:13" ht="12.5" hidden="1" x14ac:dyDescent="0.25">
      <c r="E145" s="265"/>
      <c r="F145" s="267">
        <v>3.8710000000000001E-2</v>
      </c>
      <c r="G145" s="271">
        <v>543.5</v>
      </c>
    </row>
    <row r="146" spans="4:13" ht="12.5" x14ac:dyDescent="0.25">
      <c r="D146" s="1" t="b">
        <v>1</v>
      </c>
      <c r="E146" s="274">
        <f>E144+1</f>
        <v>71</v>
      </c>
      <c r="F146" s="267">
        <v>3.4299999999999997E-2</v>
      </c>
      <c r="G146" s="271">
        <v>543</v>
      </c>
      <c r="I146" s="276">
        <v>71</v>
      </c>
      <c r="J146" s="277">
        <v>509.40712148096497</v>
      </c>
      <c r="K146" s="278">
        <v>2.0876080313096901E-2</v>
      </c>
      <c r="M146" s="88">
        <f>K146/F146</f>
        <v>0.60863207909903505</v>
      </c>
    </row>
    <row r="147" spans="4:13" ht="12.5" hidden="1" x14ac:dyDescent="0.25">
      <c r="E147" s="265"/>
      <c r="F147" s="267">
        <v>3.0379999999999997E-2</v>
      </c>
      <c r="G147" s="271">
        <v>542.5</v>
      </c>
    </row>
    <row r="148" spans="4:13" ht="12.5" x14ac:dyDescent="0.25">
      <c r="D148" s="1" t="b">
        <v>1</v>
      </c>
      <c r="E148" s="274">
        <f>E146+1</f>
        <v>72</v>
      </c>
      <c r="F148" s="267">
        <v>2.6460000000000001E-2</v>
      </c>
      <c r="G148" s="271">
        <v>542</v>
      </c>
      <c r="I148" s="276">
        <v>72</v>
      </c>
      <c r="J148" s="277">
        <v>507.88375172258202</v>
      </c>
      <c r="K148" s="278">
        <v>1.5721176453582699E-2</v>
      </c>
      <c r="M148" s="88">
        <f>K148/F148</f>
        <v>0.59414876997667043</v>
      </c>
    </row>
    <row r="149" spans="4:13" ht="12.5" hidden="1" x14ac:dyDescent="0.25">
      <c r="E149" s="265"/>
      <c r="F149" s="267">
        <v>2.4010000000000004E-2</v>
      </c>
      <c r="G149" s="271">
        <v>542</v>
      </c>
    </row>
    <row r="150" spans="4:13" ht="12.5" x14ac:dyDescent="0.25">
      <c r="D150" s="1" t="b">
        <v>1</v>
      </c>
      <c r="E150" s="274">
        <f>E148+1</f>
        <v>73</v>
      </c>
      <c r="F150" s="267">
        <v>2.1560000000000003E-2</v>
      </c>
      <c r="G150" s="271">
        <v>542</v>
      </c>
      <c r="I150" s="276">
        <v>73</v>
      </c>
      <c r="J150" s="277">
        <v>506.82938889377499</v>
      </c>
      <c r="K150" s="278">
        <v>1.2042766221468E-2</v>
      </c>
      <c r="M150" s="88">
        <f>K150/F150</f>
        <v>0.55856986184916502</v>
      </c>
    </row>
    <row r="151" spans="4:13" ht="12.5" hidden="1" x14ac:dyDescent="0.25">
      <c r="E151" s="265"/>
      <c r="F151" s="267">
        <v>1.9599999999999999E-2</v>
      </c>
      <c r="G151" s="271">
        <v>541.5</v>
      </c>
    </row>
    <row r="152" spans="4:13" ht="12.5" x14ac:dyDescent="0.25">
      <c r="D152" s="1" t="b">
        <v>1</v>
      </c>
      <c r="E152" s="274">
        <f>E150+1</f>
        <v>74</v>
      </c>
      <c r="F152" s="267">
        <v>1.7639999999999999E-2</v>
      </c>
      <c r="G152" s="271">
        <v>541</v>
      </c>
      <c r="I152" s="276">
        <v>74</v>
      </c>
      <c r="J152" s="277">
        <v>505.84011131207399</v>
      </c>
      <c r="K152" s="278">
        <v>9.2149462109111999E-3</v>
      </c>
      <c r="M152" s="88">
        <f>K152/F152</f>
        <v>0.52238924098136053</v>
      </c>
    </row>
    <row r="153" spans="4:13" ht="12.5" hidden="1" x14ac:dyDescent="0.25">
      <c r="E153" s="265"/>
      <c r="F153" s="267">
        <v>1.617E-2</v>
      </c>
      <c r="G153" s="271">
        <v>541</v>
      </c>
    </row>
    <row r="154" spans="4:13" ht="12.5" x14ac:dyDescent="0.25">
      <c r="D154" s="1" t="b">
        <v>1</v>
      </c>
      <c r="E154" s="274">
        <f>E152+1</f>
        <v>75</v>
      </c>
      <c r="F154" s="267">
        <v>1.47E-2</v>
      </c>
      <c r="G154" s="271">
        <v>541</v>
      </c>
      <c r="I154" s="276">
        <v>75</v>
      </c>
      <c r="J154" s="277">
        <v>505.14505742393999</v>
      </c>
      <c r="K154" s="278">
        <v>7.1817750705613099E-3</v>
      </c>
      <c r="M154" s="88">
        <f>K154/F154</f>
        <v>0.48855612724906872</v>
      </c>
    </row>
    <row r="155" spans="4:13" ht="12.5" hidden="1" x14ac:dyDescent="0.25">
      <c r="E155" s="265"/>
      <c r="F155" s="267">
        <v>1.372E-2</v>
      </c>
      <c r="G155" s="271">
        <v>540.5</v>
      </c>
    </row>
    <row r="156" spans="4:13" ht="12.5" x14ac:dyDescent="0.25">
      <c r="D156" s="1" t="b">
        <v>1</v>
      </c>
      <c r="E156" s="274">
        <f>E154+1</f>
        <v>76</v>
      </c>
      <c r="F156" s="267">
        <v>1.274E-2</v>
      </c>
      <c r="G156" s="271">
        <v>540</v>
      </c>
      <c r="I156" s="276">
        <v>76</v>
      </c>
      <c r="J156" s="277">
        <v>502.27129957600602</v>
      </c>
      <c r="K156" s="278">
        <v>5.7154062895820798E-3</v>
      </c>
      <c r="M156" s="88">
        <f>K156/F156</f>
        <v>0.44861901802057141</v>
      </c>
    </row>
    <row r="157" spans="4:13" ht="12.5" hidden="1" x14ac:dyDescent="0.25">
      <c r="E157" s="265"/>
      <c r="F157" s="267">
        <v>1.1269999999999999E-2</v>
      </c>
      <c r="G157" s="271">
        <v>539.5</v>
      </c>
    </row>
    <row r="158" spans="4:13" ht="12.5" x14ac:dyDescent="0.25">
      <c r="D158" s="1" t="b">
        <v>1</v>
      </c>
      <c r="E158" s="274">
        <f>E156+1</f>
        <v>77</v>
      </c>
      <c r="F158" s="267">
        <v>9.7999999999999997E-3</v>
      </c>
      <c r="G158" s="271">
        <v>539</v>
      </c>
      <c r="I158" s="276">
        <v>77</v>
      </c>
      <c r="J158" s="277">
        <v>504.41969386595201</v>
      </c>
      <c r="K158" s="278">
        <v>4.4968856876788496E-3</v>
      </c>
      <c r="M158" s="88">
        <f>K158/F158</f>
        <v>0.45886588649784182</v>
      </c>
    </row>
    <row r="159" spans="4:13" ht="12.5" hidden="1" x14ac:dyDescent="0.25">
      <c r="E159" s="265"/>
      <c r="F159" s="267">
        <v>8.3299999999999989E-3</v>
      </c>
      <c r="G159" s="271">
        <v>538.5</v>
      </c>
    </row>
    <row r="160" spans="4:13" ht="12.5" x14ac:dyDescent="0.25">
      <c r="D160" s="1" t="b">
        <v>1</v>
      </c>
      <c r="E160" s="274">
        <f>E158+1</f>
        <v>78</v>
      </c>
      <c r="F160" s="267">
        <v>6.8599999999999989E-3</v>
      </c>
      <c r="G160" s="271">
        <v>538</v>
      </c>
      <c r="I160" s="276">
        <v>78</v>
      </c>
      <c r="J160" s="277">
        <v>503.95020211109397</v>
      </c>
      <c r="K160" s="278">
        <v>3.7683471474787302E-3</v>
      </c>
      <c r="M160" s="88">
        <f>K160/F160</f>
        <v>0.54932174161497538</v>
      </c>
    </row>
    <row r="161" spans="4:13" ht="12.5" hidden="1" x14ac:dyDescent="0.25">
      <c r="E161" s="265"/>
      <c r="F161" s="267">
        <v>4.8999999999999998E-3</v>
      </c>
      <c r="G161" s="271">
        <v>537.5</v>
      </c>
    </row>
    <row r="162" spans="4:13" ht="12.5" x14ac:dyDescent="0.25">
      <c r="D162" s="1" t="b">
        <v>1</v>
      </c>
      <c r="E162" s="274">
        <f>E160+1</f>
        <v>79</v>
      </c>
      <c r="F162" s="267">
        <v>2.9399999999999999E-3</v>
      </c>
      <c r="G162" s="271">
        <v>537</v>
      </c>
      <c r="I162" s="276">
        <v>79</v>
      </c>
      <c r="J162" s="277">
        <v>503.06963066279002</v>
      </c>
      <c r="K162" s="278">
        <v>3.2730883179603099E-3</v>
      </c>
      <c r="M162" s="88">
        <f>K162/F162</f>
        <v>1.1132953462450035</v>
      </c>
    </row>
    <row r="163" spans="4:13" ht="12.5" hidden="1" x14ac:dyDescent="0.25">
      <c r="E163" s="265"/>
      <c r="F163" s="267">
        <v>1.47E-3</v>
      </c>
      <c r="G163" s="271">
        <v>536.5</v>
      </c>
    </row>
    <row r="164" spans="4:13" ht="12.5" x14ac:dyDescent="0.25">
      <c r="D164" s="1" t="b">
        <v>1</v>
      </c>
      <c r="E164" s="274">
        <f>E162+1</f>
        <v>80</v>
      </c>
      <c r="F164" s="267">
        <v>0</v>
      </c>
      <c r="G164" s="271">
        <v>536</v>
      </c>
      <c r="I164" s="276">
        <v>80</v>
      </c>
      <c r="J164" s="277">
        <v>503.287007570659</v>
      </c>
      <c r="K164" s="278">
        <v>2.6637263151518598E-3</v>
      </c>
      <c r="M164" s="88" t="e">
        <f>K164/F164</f>
        <v>#DIV/0!</v>
      </c>
    </row>
    <row r="165" spans="4:13" ht="12.5" x14ac:dyDescent="0.25">
      <c r="I165" s="276">
        <v>81</v>
      </c>
      <c r="J165" s="277">
        <v>503.28169904987197</v>
      </c>
      <c r="K165" s="278">
        <v>2.24692157021948E-3</v>
      </c>
    </row>
    <row r="166" spans="4:13" ht="12.5" x14ac:dyDescent="0.25">
      <c r="I166" s="276">
        <v>82</v>
      </c>
      <c r="J166" s="277">
        <v>503.19916900233301</v>
      </c>
      <c r="K166" s="278">
        <v>1.81995888443024E-3</v>
      </c>
    </row>
    <row r="167" spans="4:13" ht="12.5" x14ac:dyDescent="0.25">
      <c r="I167" s="276">
        <v>83</v>
      </c>
      <c r="J167" s="277">
        <v>503.13165016059799</v>
      </c>
      <c r="K167" s="278">
        <v>1.5353408415681E-3</v>
      </c>
    </row>
    <row r="168" spans="4:13" ht="12.5" x14ac:dyDescent="0.25">
      <c r="I168" s="276">
        <v>84</v>
      </c>
      <c r="J168" s="277">
        <v>503.05804694234803</v>
      </c>
      <c r="K168" s="278">
        <v>1.23429776457191E-3</v>
      </c>
    </row>
    <row r="169" spans="4:13" ht="12.5" x14ac:dyDescent="0.25">
      <c r="I169" s="276">
        <v>85</v>
      </c>
      <c r="J169" s="277">
        <v>502.64166260263198</v>
      </c>
      <c r="K169" s="278">
        <v>1.2132630534953399E-3</v>
      </c>
    </row>
    <row r="170" spans="4:13" ht="12.5" x14ac:dyDescent="0.25">
      <c r="I170" s="276">
        <v>86</v>
      </c>
      <c r="J170" s="277">
        <v>502.65902776858502</v>
      </c>
      <c r="K170" s="278">
        <v>9.7263343912855403E-4</v>
      </c>
    </row>
    <row r="171" spans="4:13" ht="12.5" x14ac:dyDescent="0.25">
      <c r="I171" s="276">
        <v>87</v>
      </c>
      <c r="J171" s="277">
        <v>502.55954169024801</v>
      </c>
      <c r="K171" s="278">
        <v>8.5007583899654297E-4</v>
      </c>
    </row>
    <row r="172" spans="4:13" ht="12.5" x14ac:dyDescent="0.25">
      <c r="I172" s="276">
        <v>88</v>
      </c>
      <c r="J172" s="277">
        <v>502.47748983652201</v>
      </c>
      <c r="K172" s="278">
        <v>7.9751986488994103E-4</v>
      </c>
    </row>
    <row r="173" spans="4:13" ht="12.5" x14ac:dyDescent="0.25">
      <c r="I173" s="276">
        <v>89</v>
      </c>
      <c r="J173" s="277">
        <v>502.51824372753703</v>
      </c>
      <c r="K173" s="278">
        <v>7.1884737164095E-4</v>
      </c>
    </row>
    <row r="174" spans="4:13" ht="12.5" x14ac:dyDescent="0.25">
      <c r="I174" s="276">
        <v>90</v>
      </c>
      <c r="J174" s="277">
        <v>502.36739429456998</v>
      </c>
      <c r="K174" s="278">
        <v>5.3372650972044705E-4</v>
      </c>
    </row>
    <row r="175" spans="4:13" ht="12.5" x14ac:dyDescent="0.25">
      <c r="I175" s="276">
        <v>91</v>
      </c>
      <c r="J175" s="277">
        <v>502.218969319542</v>
      </c>
      <c r="K175" s="278">
        <v>4.15936053158977E-4</v>
      </c>
    </row>
    <row r="176" spans="4:13" ht="12.5" x14ac:dyDescent="0.25">
      <c r="I176" s="276">
        <v>92</v>
      </c>
      <c r="J176" s="277">
        <v>502.467014511586</v>
      </c>
      <c r="K176" s="278">
        <v>3.8702312454318399E-4</v>
      </c>
    </row>
    <row r="177" spans="9:11" ht="12.5" x14ac:dyDescent="0.25">
      <c r="I177" s="276">
        <v>93</v>
      </c>
      <c r="J177" s="277">
        <v>502.395140888208</v>
      </c>
      <c r="K177" s="278">
        <v>3.0731533093616498E-4</v>
      </c>
    </row>
    <row r="178" spans="9:11" ht="12.5" x14ac:dyDescent="0.25">
      <c r="I178" s="276">
        <v>94</v>
      </c>
      <c r="J178" s="277">
        <v>502.42452057939602</v>
      </c>
      <c r="K178" s="278">
        <v>2.8646213737261298E-4</v>
      </c>
    </row>
    <row r="179" spans="9:11" ht="12.5" x14ac:dyDescent="0.25">
      <c r="I179" s="276">
        <v>95</v>
      </c>
      <c r="J179" s="277">
        <v>501.48269260483102</v>
      </c>
      <c r="K179" s="278">
        <v>2.3975786389919001E-4</v>
      </c>
    </row>
    <row r="180" spans="9:11" ht="12.5" x14ac:dyDescent="0.25">
      <c r="I180" s="276">
        <v>96</v>
      </c>
      <c r="J180" s="277">
        <v>501.879185581635</v>
      </c>
      <c r="K180" s="278">
        <v>2.4829613019417701E-4</v>
      </c>
    </row>
    <row r="181" spans="9:11" ht="12.5" x14ac:dyDescent="0.25">
      <c r="I181" s="276">
        <v>97</v>
      </c>
      <c r="J181" s="277">
        <v>502.34187684618797</v>
      </c>
      <c r="K181" s="278">
        <v>1.8617046907786001E-4</v>
      </c>
    </row>
    <row r="182" spans="9:11" ht="12.5" x14ac:dyDescent="0.25">
      <c r="I182" s="276">
        <v>98</v>
      </c>
      <c r="J182" s="277">
        <v>502.34487700460699</v>
      </c>
      <c r="K182" s="278">
        <v>1.7501258556419199E-4</v>
      </c>
    </row>
    <row r="183" spans="9:11" ht="12.5" x14ac:dyDescent="0.25">
      <c r="I183" s="276">
        <v>99</v>
      </c>
      <c r="J183" s="277">
        <v>502.21953022747101</v>
      </c>
      <c r="K183" s="278">
        <v>1.5191143040581501E-4</v>
      </c>
    </row>
    <row r="184" spans="9:11" ht="12.5" x14ac:dyDescent="0.25">
      <c r="I184" s="276">
        <v>100</v>
      </c>
      <c r="J184" s="277">
        <v>502.38051086430698</v>
      </c>
      <c r="K184" s="278">
        <v>1.44936884974075E-4</v>
      </c>
    </row>
  </sheetData>
  <autoFilter ref="D3:G164" xr:uid="{00000000-0009-0000-0000-000006000000}">
    <filterColumn colId="0">
      <filters>
        <filter val="TRUE"/>
      </filters>
    </filterColumn>
  </autoFilter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Coil Chart</vt:lpstr>
      <vt:lpstr>Coil Comparison</vt:lpstr>
      <vt:lpstr>Sim 2.0 100mm</vt:lpstr>
      <vt:lpstr>Sim 2.0 50mm</vt:lpstr>
      <vt:lpstr>Force mapping</vt:lpstr>
      <vt:lpstr>Field Mapping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Erik Friedel</cp:lastModifiedBy>
  <dcterms:modified xsi:type="dcterms:W3CDTF">2025-04-16T18:51:32Z</dcterms:modified>
</cp:coreProperties>
</file>